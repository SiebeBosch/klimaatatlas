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klimaatatlas\data\"/>
    </mc:Choice>
  </mc:AlternateContent>
  <xr:revisionPtr revIDLastSave="0" documentId="13_ncr:1_{2894C143-F5D3-4C3A-B6F2-29A4596491DF}" xr6:coauthVersionLast="47" xr6:coauthVersionMax="47" xr10:uidLastSave="{00000000-0000-0000-0000-000000000000}"/>
  <bookViews>
    <workbookView xWindow="-108" yWindow="-108" windowWidth="23256" windowHeight="12456" firstSheet="2" activeTab="4" xr2:uid="{9ADAACA9-EF25-418D-BCC2-F80BC416CD14}"/>
  </bookViews>
  <sheets>
    <sheet name="Max curven_2_typen" sheetId="4" r:id="rId1"/>
    <sheet name="CURVE_Haarvaten_obv_Kooijpolder" sheetId="3" r:id="rId2"/>
    <sheet name="Formule max afh van diepte" sheetId="2" r:id="rId3"/>
    <sheet name="Tinput for haarvaten 2085" sheetId="6" r:id="rId4"/>
    <sheet name="Tinput for haarvaten Klimaat'14" sheetId="1" r:id="rId5"/>
    <sheet name="Blad1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57" i="6" l="1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D5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P356" i="1"/>
  <c r="O356" i="1"/>
  <c r="N356" i="1"/>
  <c r="M356" i="1"/>
  <c r="L356" i="1"/>
  <c r="K356" i="1"/>
  <c r="J356" i="1"/>
  <c r="I356" i="1"/>
  <c r="H356" i="1"/>
  <c r="G356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M354" i="1"/>
  <c r="L354" i="1"/>
  <c r="K354" i="1"/>
  <c r="J354" i="1"/>
  <c r="I354" i="1"/>
  <c r="H354" i="1"/>
  <c r="G354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P352" i="1"/>
  <c r="O352" i="1"/>
  <c r="N352" i="1"/>
  <c r="M352" i="1"/>
  <c r="L352" i="1"/>
  <c r="K352" i="1"/>
  <c r="J352" i="1"/>
  <c r="I352" i="1"/>
  <c r="H352" i="1"/>
  <c r="G352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K5" i="1"/>
  <c r="J5" i="1"/>
  <c r="I5" i="1"/>
  <c r="H5" i="1"/>
  <c r="G5" i="1"/>
  <c r="F5" i="1"/>
  <c r="E5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H4" i="4"/>
  <c r="H5" i="4" s="1"/>
  <c r="G4" i="4"/>
  <c r="G5" i="4" s="1"/>
  <c r="E4" i="4"/>
  <c r="J4" i="4" s="1"/>
  <c r="J5" i="4" s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" i="4"/>
  <c r="I4" i="4" s="1"/>
  <c r="I5" i="4" s="1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3" i="3"/>
  <c r="E2" i="4" a="1"/>
  <c r="D2" i="4" a="1"/>
  <c r="B2" i="4" a="1"/>
  <c r="C2" i="4" a="1"/>
  <c r="L4" i="6" a="1"/>
  <c r="AC4" i="6" a="1"/>
  <c r="S4" i="6" a="1"/>
  <c r="I4" i="6" a="1"/>
  <c r="AB4" i="6" a="1"/>
  <c r="R4" i="6" a="1"/>
  <c r="H4" i="6" a="1"/>
  <c r="O4" i="6" a="1"/>
  <c r="J4" i="6" a="1"/>
  <c r="AA4" i="6" a="1"/>
  <c r="Q4" i="6" a="1"/>
  <c r="F4" i="1" a="1"/>
  <c r="Y4" i="1" a="1"/>
  <c r="T4" i="6" a="1"/>
  <c r="E4" i="1" a="1"/>
  <c r="Z4" i="6" a="1"/>
  <c r="X4" i="1" a="1"/>
  <c r="R4" i="1" a="1"/>
  <c r="AA4" i="1" a="1"/>
  <c r="P4" i="1" a="1"/>
  <c r="G4" i="6" a="1"/>
  <c r="X4" i="6" a="1"/>
  <c r="N4" i="6" a="1"/>
  <c r="D4" i="6" a="1"/>
  <c r="P4" i="6" a="1"/>
  <c r="N4" i="1" a="1"/>
  <c r="D4" i="1" a="1"/>
  <c r="L4" i="1" a="1"/>
  <c r="U4" i="1" a="1"/>
  <c r="S4" i="1" a="1"/>
  <c r="T4" i="1" a="1"/>
  <c r="AB4" i="1" a="1"/>
  <c r="O4" i="1" a="1"/>
  <c r="Q4" i="1" a="1"/>
  <c r="U4" i="6" a="1"/>
  <c r="F4" i="6" a="1"/>
  <c r="W4" i="1" a="1"/>
  <c r="Y4" i="6" a="1"/>
  <c r="M4" i="1" a="1"/>
  <c r="E4" i="6" a="1"/>
  <c r="V4" i="1" a="1"/>
  <c r="AC4" i="1" a="1"/>
  <c r="K4" i="1" a="1"/>
  <c r="I4" i="1" a="1"/>
  <c r="J4" i="1" a="1"/>
  <c r="H4" i="1" a="1"/>
  <c r="G4" i="1" a="1"/>
  <c r="Z4" i="1" a="1"/>
  <c r="W4" i="6" a="1"/>
  <c r="M4" i="6" a="1"/>
  <c r="K4" i="6" a="1"/>
  <c r="V4" i="6" a="1"/>
  <c r="D2" i="4" l="1"/>
  <c r="E2" i="4"/>
  <c r="B2" i="4"/>
  <c r="C2" i="4"/>
  <c r="E4" i="6"/>
  <c r="Y4" i="6"/>
  <c r="F4" i="6"/>
  <c r="P4" i="6"/>
  <c r="Z4" i="6"/>
  <c r="T4" i="6"/>
  <c r="G4" i="6"/>
  <c r="Q4" i="6"/>
  <c r="AA4" i="6"/>
  <c r="J4" i="6"/>
  <c r="O4" i="6"/>
  <c r="H4" i="6"/>
  <c r="R4" i="6"/>
  <c r="AB4" i="6"/>
  <c r="I4" i="6"/>
  <c r="S4" i="6"/>
  <c r="AC4" i="6"/>
  <c r="L4" i="6"/>
  <c r="V4" i="6"/>
  <c r="K4" i="6"/>
  <c r="M4" i="6"/>
  <c r="W4" i="6"/>
  <c r="U4" i="6"/>
  <c r="D4" i="6"/>
  <c r="N4" i="6"/>
  <c r="X4" i="6"/>
  <c r="D4" i="1"/>
  <c r="O4" i="1"/>
  <c r="J4" i="1"/>
  <c r="T4" i="1"/>
  <c r="K4" i="1"/>
  <c r="U4" i="1"/>
  <c r="L4" i="1"/>
  <c r="V4" i="1"/>
  <c r="M4" i="1"/>
  <c r="W4" i="1"/>
  <c r="N4" i="1"/>
  <c r="X4" i="1"/>
  <c r="E4" i="1"/>
  <c r="Y4" i="1"/>
  <c r="F4" i="1"/>
  <c r="P4" i="1"/>
  <c r="Z4" i="1"/>
  <c r="G4" i="1"/>
  <c r="Q4" i="1"/>
  <c r="AA4" i="1"/>
  <c r="H4" i="1"/>
  <c r="R4" i="1"/>
  <c r="AB4" i="1"/>
  <c r="I4" i="1"/>
  <c r="S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<sst xmlns="http://schemas.openxmlformats.org/spreadsheetml/2006/main" count="30" uniqueCount="18">
  <si>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DagMaximumT(diepte) = Basisreeks Haarvaten - 1,4841*diepte + 3,6472</t>
  </si>
  <si>
    <t>Deze kolom is de HELFT van de amplitude</t>
  </si>
  <si>
    <t>Diepte</t>
  </si>
  <si>
    <t>dTemp_plus</t>
  </si>
  <si>
    <t>Datum</t>
  </si>
  <si>
    <t>Max</t>
  </si>
  <si>
    <t>Min</t>
  </si>
  <si>
    <t>Basisreeks Haarvaten</t>
  </si>
  <si>
    <t>Amplitude</t>
  </si>
  <si>
    <t>Max Plas</t>
  </si>
  <si>
    <t>Max Vaarten</t>
  </si>
  <si>
    <t>Max Plas 2085</t>
  </si>
  <si>
    <t>Max Vaarten 2085</t>
  </si>
  <si>
    <t>Overschrijding 25 graden</t>
  </si>
  <si>
    <t>dagen</t>
  </si>
  <si>
    <t>fractie vh jaar</t>
  </si>
  <si>
    <t>De maxima in de relevante zomermaanden worden hoger met de ondiepte (het water volgt de luchttemperatuur makkelijker wanneer de volume kleiner is)</t>
  </si>
  <si>
    <t>ov.temp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</si>
</sst>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0"/>
      <color theme="1"/>
      <name val="Verdana"/>
      <family val="2"/>
    </font>
    <font>
      <sz val="10"/>
      <color theme="1"/>
      <name val="Verdana"/>
      <family val="2"/>
    </font>
    <font>
      <b/>
      <sz val="16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3" borderId="0" xfId="0" applyNumberFormat="1" applyFill="1"/>
    <xf numFmtId="14" fontId="0" fillId="2" borderId="0" xfId="0" applyNumberFormat="1" applyFill="1" applyAlignment="1">
      <alignment horizontal="center" vertical="center"/>
    </xf>
    <xf numFmtId="2" fontId="0" fillId="2" borderId="0" xfId="0" applyNumberFormat="1" applyFill="1"/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4" borderId="0" xfId="0" applyFill="1"/>
    <xf numFmtId="0" fontId="0" fillId="4" borderId="0" xfId="0" quotePrefix="1" applyFill="1" applyAlignment="1">
      <alignment horizontal="left"/>
    </xf>
    <xf numFmtId="164" fontId="0" fillId="4" borderId="0" xfId="1" applyNumberFormat="1" applyFont="1" applyFill="1"/>
    <xf numFmtId="0" fontId="2" fillId="0" borderId="0" xfId="0" applyFont="1" applyAlignment="1">
      <alignment horizontal="center" wrapText="1"/>
    </xf>
    <xf numFmtId="2" fontId="0" fillId="5" borderId="0" xfId="0" applyNumberFormat="1" applyFill="1"/>
  </cellXfs>
  <cellStyles count="2">
    <cellStyle name="Procent" xfId="1" builtinId="5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 WaterT reeksen Plassen en Kanalen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3.0012477948453166E-2"/>
          <c:y val="0.10207087449202167"/>
          <c:w val="0.95222795921001679"/>
          <c:h val="0.68323927019627106"/>
        </c:manualLayout>
      </c:layout>
      <c:lineChart>
        <c:grouping val="standard"/>
        <c:varyColors val="0"/>
        <c:ser>
          <c:idx val="0"/>
          <c:order val="0"/>
          <c:tx>
            <c:strRef>
              <c:f>'Max curven_2_typen'!#REF!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'Max curven_2_typen'!$A$3:$A$355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44686</c:v>
                </c:pt>
                <c:pt idx="114">
                  <c:v>44687</c:v>
                </c:pt>
                <c:pt idx="115">
                  <c:v>44688</c:v>
                </c:pt>
                <c:pt idx="116">
                  <c:v>44689</c:v>
                </c:pt>
                <c:pt idx="117">
                  <c:v>44690</c:v>
                </c:pt>
                <c:pt idx="118">
                  <c:v>44691</c:v>
                </c:pt>
                <c:pt idx="119">
                  <c:v>44692</c:v>
                </c:pt>
                <c:pt idx="120">
                  <c:v>44693</c:v>
                </c:pt>
                <c:pt idx="121">
                  <c:v>44694</c:v>
                </c:pt>
                <c:pt idx="122">
                  <c:v>44695</c:v>
                </c:pt>
                <c:pt idx="123">
                  <c:v>44696</c:v>
                </c:pt>
                <c:pt idx="124">
                  <c:v>44697</c:v>
                </c:pt>
                <c:pt idx="125">
                  <c:v>44698</c:v>
                </c:pt>
                <c:pt idx="126">
                  <c:v>44699</c:v>
                </c:pt>
                <c:pt idx="127">
                  <c:v>44700</c:v>
                </c:pt>
                <c:pt idx="128">
                  <c:v>44701</c:v>
                </c:pt>
                <c:pt idx="129">
                  <c:v>44702</c:v>
                </c:pt>
                <c:pt idx="130">
                  <c:v>44703</c:v>
                </c:pt>
                <c:pt idx="131">
                  <c:v>44704</c:v>
                </c:pt>
                <c:pt idx="132">
                  <c:v>44705</c:v>
                </c:pt>
                <c:pt idx="133">
                  <c:v>44706</c:v>
                </c:pt>
                <c:pt idx="134">
                  <c:v>44707</c:v>
                </c:pt>
                <c:pt idx="135">
                  <c:v>44708</c:v>
                </c:pt>
                <c:pt idx="136">
                  <c:v>44709</c:v>
                </c:pt>
                <c:pt idx="137">
                  <c:v>44710</c:v>
                </c:pt>
                <c:pt idx="138">
                  <c:v>44711</c:v>
                </c:pt>
                <c:pt idx="139">
                  <c:v>44712</c:v>
                </c:pt>
                <c:pt idx="140">
                  <c:v>44713</c:v>
                </c:pt>
                <c:pt idx="141">
                  <c:v>44714</c:v>
                </c:pt>
                <c:pt idx="142">
                  <c:v>44715</c:v>
                </c:pt>
                <c:pt idx="143">
                  <c:v>44716</c:v>
                </c:pt>
                <c:pt idx="144">
                  <c:v>44717</c:v>
                </c:pt>
                <c:pt idx="145">
                  <c:v>44718</c:v>
                </c:pt>
                <c:pt idx="146">
                  <c:v>44719</c:v>
                </c:pt>
                <c:pt idx="147">
                  <c:v>44720</c:v>
                </c:pt>
                <c:pt idx="148">
                  <c:v>44721</c:v>
                </c:pt>
                <c:pt idx="149">
                  <c:v>44722</c:v>
                </c:pt>
                <c:pt idx="150">
                  <c:v>44723</c:v>
                </c:pt>
                <c:pt idx="151">
                  <c:v>44724</c:v>
                </c:pt>
                <c:pt idx="152">
                  <c:v>44725</c:v>
                </c:pt>
                <c:pt idx="153">
                  <c:v>44726</c:v>
                </c:pt>
                <c:pt idx="154">
                  <c:v>44727</c:v>
                </c:pt>
                <c:pt idx="155">
                  <c:v>44728</c:v>
                </c:pt>
                <c:pt idx="156">
                  <c:v>44729</c:v>
                </c:pt>
                <c:pt idx="157">
                  <c:v>44730</c:v>
                </c:pt>
                <c:pt idx="158">
                  <c:v>44731</c:v>
                </c:pt>
                <c:pt idx="159">
                  <c:v>44732</c:v>
                </c:pt>
                <c:pt idx="160">
                  <c:v>44733</c:v>
                </c:pt>
                <c:pt idx="161">
                  <c:v>44734</c:v>
                </c:pt>
                <c:pt idx="162">
                  <c:v>44735</c:v>
                </c:pt>
                <c:pt idx="163">
                  <c:v>44736</c:v>
                </c:pt>
                <c:pt idx="164">
                  <c:v>44737</c:v>
                </c:pt>
                <c:pt idx="165">
                  <c:v>44738</c:v>
                </c:pt>
                <c:pt idx="166">
                  <c:v>44739</c:v>
                </c:pt>
                <c:pt idx="167">
                  <c:v>44740</c:v>
                </c:pt>
                <c:pt idx="168">
                  <c:v>44741</c:v>
                </c:pt>
                <c:pt idx="169">
                  <c:v>44742</c:v>
                </c:pt>
                <c:pt idx="170">
                  <c:v>44743</c:v>
                </c:pt>
                <c:pt idx="171">
                  <c:v>44744</c:v>
                </c:pt>
                <c:pt idx="172">
                  <c:v>44745</c:v>
                </c:pt>
                <c:pt idx="173">
                  <c:v>44746</c:v>
                </c:pt>
                <c:pt idx="174">
                  <c:v>44747</c:v>
                </c:pt>
                <c:pt idx="175">
                  <c:v>44748</c:v>
                </c:pt>
                <c:pt idx="176">
                  <c:v>44749</c:v>
                </c:pt>
                <c:pt idx="177">
                  <c:v>44750</c:v>
                </c:pt>
                <c:pt idx="178">
                  <c:v>44751</c:v>
                </c:pt>
                <c:pt idx="179">
                  <c:v>44752</c:v>
                </c:pt>
                <c:pt idx="180">
                  <c:v>44753</c:v>
                </c:pt>
                <c:pt idx="181">
                  <c:v>44754</c:v>
                </c:pt>
                <c:pt idx="182">
                  <c:v>44755</c:v>
                </c:pt>
                <c:pt idx="183">
                  <c:v>44756</c:v>
                </c:pt>
                <c:pt idx="184">
                  <c:v>44757</c:v>
                </c:pt>
                <c:pt idx="185">
                  <c:v>44758</c:v>
                </c:pt>
                <c:pt idx="186">
                  <c:v>44759</c:v>
                </c:pt>
                <c:pt idx="187">
                  <c:v>44760</c:v>
                </c:pt>
                <c:pt idx="188">
                  <c:v>44761</c:v>
                </c:pt>
                <c:pt idx="189">
                  <c:v>44762</c:v>
                </c:pt>
                <c:pt idx="190">
                  <c:v>44763</c:v>
                </c:pt>
                <c:pt idx="191">
                  <c:v>44764</c:v>
                </c:pt>
                <c:pt idx="192">
                  <c:v>44765</c:v>
                </c:pt>
                <c:pt idx="193">
                  <c:v>44766</c:v>
                </c:pt>
                <c:pt idx="194">
                  <c:v>44767</c:v>
                </c:pt>
                <c:pt idx="195">
                  <c:v>44768</c:v>
                </c:pt>
                <c:pt idx="196">
                  <c:v>44769</c:v>
                </c:pt>
                <c:pt idx="197">
                  <c:v>44770</c:v>
                </c:pt>
                <c:pt idx="198">
                  <c:v>44771</c:v>
                </c:pt>
                <c:pt idx="199">
                  <c:v>44772</c:v>
                </c:pt>
                <c:pt idx="200">
                  <c:v>44773</c:v>
                </c:pt>
                <c:pt idx="201">
                  <c:v>44774</c:v>
                </c:pt>
                <c:pt idx="202">
                  <c:v>44775</c:v>
                </c:pt>
                <c:pt idx="203">
                  <c:v>44776</c:v>
                </c:pt>
                <c:pt idx="204">
                  <c:v>44777</c:v>
                </c:pt>
                <c:pt idx="205">
                  <c:v>44778</c:v>
                </c:pt>
                <c:pt idx="206">
                  <c:v>44779</c:v>
                </c:pt>
                <c:pt idx="207">
                  <c:v>44780</c:v>
                </c:pt>
                <c:pt idx="208">
                  <c:v>44781</c:v>
                </c:pt>
                <c:pt idx="209">
                  <c:v>44782</c:v>
                </c:pt>
                <c:pt idx="210">
                  <c:v>44783</c:v>
                </c:pt>
                <c:pt idx="211">
                  <c:v>44784</c:v>
                </c:pt>
                <c:pt idx="212">
                  <c:v>44785</c:v>
                </c:pt>
                <c:pt idx="213">
                  <c:v>44786</c:v>
                </c:pt>
                <c:pt idx="214">
                  <c:v>44787</c:v>
                </c:pt>
                <c:pt idx="215">
                  <c:v>44788</c:v>
                </c:pt>
                <c:pt idx="216">
                  <c:v>44789</c:v>
                </c:pt>
                <c:pt idx="217">
                  <c:v>44790</c:v>
                </c:pt>
                <c:pt idx="218">
                  <c:v>44791</c:v>
                </c:pt>
                <c:pt idx="219">
                  <c:v>44792</c:v>
                </c:pt>
                <c:pt idx="220">
                  <c:v>44793</c:v>
                </c:pt>
                <c:pt idx="221">
                  <c:v>44794</c:v>
                </c:pt>
                <c:pt idx="222">
                  <c:v>44795</c:v>
                </c:pt>
                <c:pt idx="223">
                  <c:v>44796</c:v>
                </c:pt>
                <c:pt idx="224">
                  <c:v>44797</c:v>
                </c:pt>
                <c:pt idx="225">
                  <c:v>44798</c:v>
                </c:pt>
                <c:pt idx="226">
                  <c:v>44799</c:v>
                </c:pt>
                <c:pt idx="227">
                  <c:v>44800</c:v>
                </c:pt>
                <c:pt idx="228">
                  <c:v>44801</c:v>
                </c:pt>
                <c:pt idx="229">
                  <c:v>44802</c:v>
                </c:pt>
                <c:pt idx="230">
                  <c:v>44803</c:v>
                </c:pt>
                <c:pt idx="231">
                  <c:v>44804</c:v>
                </c:pt>
                <c:pt idx="232">
                  <c:v>44805</c:v>
                </c:pt>
                <c:pt idx="233">
                  <c:v>44806</c:v>
                </c:pt>
                <c:pt idx="234">
                  <c:v>44807</c:v>
                </c:pt>
                <c:pt idx="235">
                  <c:v>44808</c:v>
                </c:pt>
                <c:pt idx="236">
                  <c:v>44809</c:v>
                </c:pt>
                <c:pt idx="237">
                  <c:v>44810</c:v>
                </c:pt>
                <c:pt idx="238">
                  <c:v>44811</c:v>
                </c:pt>
                <c:pt idx="239">
                  <c:v>44812</c:v>
                </c:pt>
                <c:pt idx="240">
                  <c:v>44813</c:v>
                </c:pt>
                <c:pt idx="241">
                  <c:v>44814</c:v>
                </c:pt>
                <c:pt idx="242">
                  <c:v>44815</c:v>
                </c:pt>
                <c:pt idx="243">
                  <c:v>44816</c:v>
                </c:pt>
                <c:pt idx="244">
                  <c:v>44817</c:v>
                </c:pt>
                <c:pt idx="245">
                  <c:v>44818</c:v>
                </c:pt>
                <c:pt idx="246">
                  <c:v>44819</c:v>
                </c:pt>
                <c:pt idx="247">
                  <c:v>44820</c:v>
                </c:pt>
                <c:pt idx="248">
                  <c:v>44821</c:v>
                </c:pt>
                <c:pt idx="249">
                  <c:v>44822</c:v>
                </c:pt>
                <c:pt idx="250">
                  <c:v>44823</c:v>
                </c:pt>
                <c:pt idx="251">
                  <c:v>44824</c:v>
                </c:pt>
                <c:pt idx="252">
                  <c:v>44825</c:v>
                </c:pt>
                <c:pt idx="253">
                  <c:v>44826</c:v>
                </c:pt>
                <c:pt idx="254">
                  <c:v>44827</c:v>
                </c:pt>
                <c:pt idx="255">
                  <c:v>44828</c:v>
                </c:pt>
                <c:pt idx="256">
                  <c:v>44829</c:v>
                </c:pt>
                <c:pt idx="257">
                  <c:v>44830</c:v>
                </c:pt>
                <c:pt idx="258">
                  <c:v>44831</c:v>
                </c:pt>
                <c:pt idx="259">
                  <c:v>44832</c:v>
                </c:pt>
                <c:pt idx="260">
                  <c:v>44833</c:v>
                </c:pt>
                <c:pt idx="261">
                  <c:v>44834</c:v>
                </c:pt>
                <c:pt idx="262">
                  <c:v>44835</c:v>
                </c:pt>
                <c:pt idx="263">
                  <c:v>44836</c:v>
                </c:pt>
                <c:pt idx="264">
                  <c:v>44837</c:v>
                </c:pt>
                <c:pt idx="265">
                  <c:v>44838</c:v>
                </c:pt>
                <c:pt idx="266">
                  <c:v>44839</c:v>
                </c:pt>
                <c:pt idx="267">
                  <c:v>44840</c:v>
                </c:pt>
                <c:pt idx="268">
                  <c:v>44841</c:v>
                </c:pt>
                <c:pt idx="269">
                  <c:v>44842</c:v>
                </c:pt>
                <c:pt idx="270">
                  <c:v>44843</c:v>
                </c:pt>
                <c:pt idx="271">
                  <c:v>44844</c:v>
                </c:pt>
                <c:pt idx="272">
                  <c:v>44845</c:v>
                </c:pt>
                <c:pt idx="273">
                  <c:v>44846</c:v>
                </c:pt>
                <c:pt idx="274">
                  <c:v>44847</c:v>
                </c:pt>
                <c:pt idx="275">
                  <c:v>44848</c:v>
                </c:pt>
                <c:pt idx="276">
                  <c:v>44849</c:v>
                </c:pt>
                <c:pt idx="277">
                  <c:v>44850</c:v>
                </c:pt>
                <c:pt idx="278">
                  <c:v>44851</c:v>
                </c:pt>
                <c:pt idx="279">
                  <c:v>44852</c:v>
                </c:pt>
                <c:pt idx="280">
                  <c:v>44853</c:v>
                </c:pt>
                <c:pt idx="281">
                  <c:v>44854</c:v>
                </c:pt>
                <c:pt idx="282">
                  <c:v>44855</c:v>
                </c:pt>
                <c:pt idx="283">
                  <c:v>44856</c:v>
                </c:pt>
                <c:pt idx="284">
                  <c:v>44857</c:v>
                </c:pt>
                <c:pt idx="285">
                  <c:v>44858</c:v>
                </c:pt>
                <c:pt idx="286">
                  <c:v>44859</c:v>
                </c:pt>
                <c:pt idx="287">
                  <c:v>44860</c:v>
                </c:pt>
                <c:pt idx="288">
                  <c:v>44861</c:v>
                </c:pt>
                <c:pt idx="289">
                  <c:v>44862</c:v>
                </c:pt>
                <c:pt idx="290">
                  <c:v>44863</c:v>
                </c:pt>
                <c:pt idx="291">
                  <c:v>44864</c:v>
                </c:pt>
                <c:pt idx="292">
                  <c:v>44865</c:v>
                </c:pt>
                <c:pt idx="293">
                  <c:v>44866</c:v>
                </c:pt>
                <c:pt idx="294">
                  <c:v>44867</c:v>
                </c:pt>
                <c:pt idx="295">
                  <c:v>44868</c:v>
                </c:pt>
                <c:pt idx="296">
                  <c:v>44869</c:v>
                </c:pt>
                <c:pt idx="297">
                  <c:v>44870</c:v>
                </c:pt>
                <c:pt idx="298">
                  <c:v>44871</c:v>
                </c:pt>
                <c:pt idx="299">
                  <c:v>44872</c:v>
                </c:pt>
                <c:pt idx="300">
                  <c:v>44873</c:v>
                </c:pt>
                <c:pt idx="301">
                  <c:v>44874</c:v>
                </c:pt>
                <c:pt idx="302">
                  <c:v>44875</c:v>
                </c:pt>
                <c:pt idx="303">
                  <c:v>44876</c:v>
                </c:pt>
                <c:pt idx="304">
                  <c:v>44877</c:v>
                </c:pt>
                <c:pt idx="305">
                  <c:v>44878</c:v>
                </c:pt>
                <c:pt idx="306">
                  <c:v>44879</c:v>
                </c:pt>
                <c:pt idx="307">
                  <c:v>44880</c:v>
                </c:pt>
                <c:pt idx="308">
                  <c:v>44881</c:v>
                </c:pt>
                <c:pt idx="309">
                  <c:v>44882</c:v>
                </c:pt>
                <c:pt idx="310">
                  <c:v>44883</c:v>
                </c:pt>
                <c:pt idx="311">
                  <c:v>44884</c:v>
                </c:pt>
                <c:pt idx="312">
                  <c:v>44885</c:v>
                </c:pt>
                <c:pt idx="313">
                  <c:v>44886</c:v>
                </c:pt>
                <c:pt idx="314">
                  <c:v>44887</c:v>
                </c:pt>
                <c:pt idx="315">
                  <c:v>44888</c:v>
                </c:pt>
                <c:pt idx="316">
                  <c:v>44889</c:v>
                </c:pt>
                <c:pt idx="317">
                  <c:v>44890</c:v>
                </c:pt>
                <c:pt idx="318">
                  <c:v>44891</c:v>
                </c:pt>
                <c:pt idx="319">
                  <c:v>44892</c:v>
                </c:pt>
                <c:pt idx="320">
                  <c:v>44893</c:v>
                </c:pt>
                <c:pt idx="321">
                  <c:v>44894</c:v>
                </c:pt>
                <c:pt idx="322">
                  <c:v>44895</c:v>
                </c:pt>
                <c:pt idx="323">
                  <c:v>44896</c:v>
                </c:pt>
                <c:pt idx="324">
                  <c:v>44897</c:v>
                </c:pt>
                <c:pt idx="325">
                  <c:v>44898</c:v>
                </c:pt>
                <c:pt idx="326">
                  <c:v>44899</c:v>
                </c:pt>
                <c:pt idx="327">
                  <c:v>44900</c:v>
                </c:pt>
                <c:pt idx="328">
                  <c:v>44901</c:v>
                </c:pt>
                <c:pt idx="329">
                  <c:v>44902</c:v>
                </c:pt>
                <c:pt idx="330">
                  <c:v>44903</c:v>
                </c:pt>
                <c:pt idx="331">
                  <c:v>44904</c:v>
                </c:pt>
                <c:pt idx="332">
                  <c:v>44905</c:v>
                </c:pt>
                <c:pt idx="333">
                  <c:v>44906</c:v>
                </c:pt>
                <c:pt idx="334">
                  <c:v>44907</c:v>
                </c:pt>
                <c:pt idx="335">
                  <c:v>44908</c:v>
                </c:pt>
                <c:pt idx="336">
                  <c:v>44909</c:v>
                </c:pt>
                <c:pt idx="337">
                  <c:v>44910</c:v>
                </c:pt>
                <c:pt idx="338">
                  <c:v>44911</c:v>
                </c:pt>
                <c:pt idx="339">
                  <c:v>44912</c:v>
                </c:pt>
                <c:pt idx="340">
                  <c:v>44913</c:v>
                </c:pt>
                <c:pt idx="341">
                  <c:v>44914</c:v>
                </c:pt>
                <c:pt idx="342">
                  <c:v>44915</c:v>
                </c:pt>
                <c:pt idx="343">
                  <c:v>44916</c:v>
                </c:pt>
                <c:pt idx="344">
                  <c:v>44917</c:v>
                </c:pt>
                <c:pt idx="345">
                  <c:v>44918</c:v>
                </c:pt>
                <c:pt idx="346">
                  <c:v>44919</c:v>
                </c:pt>
                <c:pt idx="347">
                  <c:v>44920</c:v>
                </c:pt>
                <c:pt idx="348">
                  <c:v>44921</c:v>
                </c:pt>
                <c:pt idx="349">
                  <c:v>44922</c:v>
                </c:pt>
                <c:pt idx="350">
                  <c:v>44923</c:v>
                </c:pt>
                <c:pt idx="351">
                  <c:v>44924</c:v>
                </c:pt>
                <c:pt idx="352">
                  <c:v>44925</c:v>
                </c:pt>
              </c:numCache>
            </c:numRef>
          </c:cat>
          <c:val>
            <c:numRef>
              <c:f>'Max curven_2_typen'!#REF!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3-4357-992C-645A4FA01879}"/>
            </c:ext>
          </c:extLst>
        </c:ser>
        <c:ser>
          <c:idx val="1"/>
          <c:order val="1"/>
          <c:tx>
            <c:strRef>
              <c:f>'Max curven_2_typen'!$B$1</c:f>
              <c:strCache>
                <c:ptCount val="1"/>
                <c:pt idx="0">
                  <c:v>Max Plas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'Max curven_2_typen'!$A$3:$A$355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44686</c:v>
                </c:pt>
                <c:pt idx="114">
                  <c:v>44687</c:v>
                </c:pt>
                <c:pt idx="115">
                  <c:v>44688</c:v>
                </c:pt>
                <c:pt idx="116">
                  <c:v>44689</c:v>
                </c:pt>
                <c:pt idx="117">
                  <c:v>44690</c:v>
                </c:pt>
                <c:pt idx="118">
                  <c:v>44691</c:v>
                </c:pt>
                <c:pt idx="119">
                  <c:v>44692</c:v>
                </c:pt>
                <c:pt idx="120">
                  <c:v>44693</c:v>
                </c:pt>
                <c:pt idx="121">
                  <c:v>44694</c:v>
                </c:pt>
                <c:pt idx="122">
                  <c:v>44695</c:v>
                </c:pt>
                <c:pt idx="123">
                  <c:v>44696</c:v>
                </c:pt>
                <c:pt idx="124">
                  <c:v>44697</c:v>
                </c:pt>
                <c:pt idx="125">
                  <c:v>44698</c:v>
                </c:pt>
                <c:pt idx="126">
                  <c:v>44699</c:v>
                </c:pt>
                <c:pt idx="127">
                  <c:v>44700</c:v>
                </c:pt>
                <c:pt idx="128">
                  <c:v>44701</c:v>
                </c:pt>
                <c:pt idx="129">
                  <c:v>44702</c:v>
                </c:pt>
                <c:pt idx="130">
                  <c:v>44703</c:v>
                </c:pt>
                <c:pt idx="131">
                  <c:v>44704</c:v>
                </c:pt>
                <c:pt idx="132">
                  <c:v>44705</c:v>
                </c:pt>
                <c:pt idx="133">
                  <c:v>44706</c:v>
                </c:pt>
                <c:pt idx="134">
                  <c:v>44707</c:v>
                </c:pt>
                <c:pt idx="135">
                  <c:v>44708</c:v>
                </c:pt>
                <c:pt idx="136">
                  <c:v>44709</c:v>
                </c:pt>
                <c:pt idx="137">
                  <c:v>44710</c:v>
                </c:pt>
                <c:pt idx="138">
                  <c:v>44711</c:v>
                </c:pt>
                <c:pt idx="139">
                  <c:v>44712</c:v>
                </c:pt>
                <c:pt idx="140">
                  <c:v>44713</c:v>
                </c:pt>
                <c:pt idx="141">
                  <c:v>44714</c:v>
                </c:pt>
                <c:pt idx="142">
                  <c:v>44715</c:v>
                </c:pt>
                <c:pt idx="143">
                  <c:v>44716</c:v>
                </c:pt>
                <c:pt idx="144">
                  <c:v>44717</c:v>
                </c:pt>
                <c:pt idx="145">
                  <c:v>44718</c:v>
                </c:pt>
                <c:pt idx="146">
                  <c:v>44719</c:v>
                </c:pt>
                <c:pt idx="147">
                  <c:v>44720</c:v>
                </c:pt>
                <c:pt idx="148">
                  <c:v>44721</c:v>
                </c:pt>
                <c:pt idx="149">
                  <c:v>44722</c:v>
                </c:pt>
                <c:pt idx="150">
                  <c:v>44723</c:v>
                </c:pt>
                <c:pt idx="151">
                  <c:v>44724</c:v>
                </c:pt>
                <c:pt idx="152">
                  <c:v>44725</c:v>
                </c:pt>
                <c:pt idx="153">
                  <c:v>44726</c:v>
                </c:pt>
                <c:pt idx="154">
                  <c:v>44727</c:v>
                </c:pt>
                <c:pt idx="155">
                  <c:v>44728</c:v>
                </c:pt>
                <c:pt idx="156">
                  <c:v>44729</c:v>
                </c:pt>
                <c:pt idx="157">
                  <c:v>44730</c:v>
                </c:pt>
                <c:pt idx="158">
                  <c:v>44731</c:v>
                </c:pt>
                <c:pt idx="159">
                  <c:v>44732</c:v>
                </c:pt>
                <c:pt idx="160">
                  <c:v>44733</c:v>
                </c:pt>
                <c:pt idx="161">
                  <c:v>44734</c:v>
                </c:pt>
                <c:pt idx="162">
                  <c:v>44735</c:v>
                </c:pt>
                <c:pt idx="163">
                  <c:v>44736</c:v>
                </c:pt>
                <c:pt idx="164">
                  <c:v>44737</c:v>
                </c:pt>
                <c:pt idx="165">
                  <c:v>44738</c:v>
                </c:pt>
                <c:pt idx="166">
                  <c:v>44739</c:v>
                </c:pt>
                <c:pt idx="167">
                  <c:v>44740</c:v>
                </c:pt>
                <c:pt idx="168">
                  <c:v>44741</c:v>
                </c:pt>
                <c:pt idx="169">
                  <c:v>44742</c:v>
                </c:pt>
                <c:pt idx="170">
                  <c:v>44743</c:v>
                </c:pt>
                <c:pt idx="171">
                  <c:v>44744</c:v>
                </c:pt>
                <c:pt idx="172">
                  <c:v>44745</c:v>
                </c:pt>
                <c:pt idx="173">
                  <c:v>44746</c:v>
                </c:pt>
                <c:pt idx="174">
                  <c:v>44747</c:v>
                </c:pt>
                <c:pt idx="175">
                  <c:v>44748</c:v>
                </c:pt>
                <c:pt idx="176">
                  <c:v>44749</c:v>
                </c:pt>
                <c:pt idx="177">
                  <c:v>44750</c:v>
                </c:pt>
                <c:pt idx="178">
                  <c:v>44751</c:v>
                </c:pt>
                <c:pt idx="179">
                  <c:v>44752</c:v>
                </c:pt>
                <c:pt idx="180">
                  <c:v>44753</c:v>
                </c:pt>
                <c:pt idx="181">
                  <c:v>44754</c:v>
                </c:pt>
                <c:pt idx="182">
                  <c:v>44755</c:v>
                </c:pt>
                <c:pt idx="183">
                  <c:v>44756</c:v>
                </c:pt>
                <c:pt idx="184">
                  <c:v>44757</c:v>
                </c:pt>
                <c:pt idx="185">
                  <c:v>44758</c:v>
                </c:pt>
                <c:pt idx="186">
                  <c:v>44759</c:v>
                </c:pt>
                <c:pt idx="187">
                  <c:v>44760</c:v>
                </c:pt>
                <c:pt idx="188">
                  <c:v>44761</c:v>
                </c:pt>
                <c:pt idx="189">
                  <c:v>44762</c:v>
                </c:pt>
                <c:pt idx="190">
                  <c:v>44763</c:v>
                </c:pt>
                <c:pt idx="191">
                  <c:v>44764</c:v>
                </c:pt>
                <c:pt idx="192">
                  <c:v>44765</c:v>
                </c:pt>
                <c:pt idx="193">
                  <c:v>44766</c:v>
                </c:pt>
                <c:pt idx="194">
                  <c:v>44767</c:v>
                </c:pt>
                <c:pt idx="195">
                  <c:v>44768</c:v>
                </c:pt>
                <c:pt idx="196">
                  <c:v>44769</c:v>
                </c:pt>
                <c:pt idx="197">
                  <c:v>44770</c:v>
                </c:pt>
                <c:pt idx="198">
                  <c:v>44771</c:v>
                </c:pt>
                <c:pt idx="199">
                  <c:v>44772</c:v>
                </c:pt>
                <c:pt idx="200">
                  <c:v>44773</c:v>
                </c:pt>
                <c:pt idx="201">
                  <c:v>44774</c:v>
                </c:pt>
                <c:pt idx="202">
                  <c:v>44775</c:v>
                </c:pt>
                <c:pt idx="203">
                  <c:v>44776</c:v>
                </c:pt>
                <c:pt idx="204">
                  <c:v>44777</c:v>
                </c:pt>
                <c:pt idx="205">
                  <c:v>44778</c:v>
                </c:pt>
                <c:pt idx="206">
                  <c:v>44779</c:v>
                </c:pt>
                <c:pt idx="207">
                  <c:v>44780</c:v>
                </c:pt>
                <c:pt idx="208">
                  <c:v>44781</c:v>
                </c:pt>
                <c:pt idx="209">
                  <c:v>44782</c:v>
                </c:pt>
                <c:pt idx="210">
                  <c:v>44783</c:v>
                </c:pt>
                <c:pt idx="211">
                  <c:v>44784</c:v>
                </c:pt>
                <c:pt idx="212">
                  <c:v>44785</c:v>
                </c:pt>
                <c:pt idx="213">
                  <c:v>44786</c:v>
                </c:pt>
                <c:pt idx="214">
                  <c:v>44787</c:v>
                </c:pt>
                <c:pt idx="215">
                  <c:v>44788</c:v>
                </c:pt>
                <c:pt idx="216">
                  <c:v>44789</c:v>
                </c:pt>
                <c:pt idx="217">
                  <c:v>44790</c:v>
                </c:pt>
                <c:pt idx="218">
                  <c:v>44791</c:v>
                </c:pt>
                <c:pt idx="219">
                  <c:v>44792</c:v>
                </c:pt>
                <c:pt idx="220">
                  <c:v>44793</c:v>
                </c:pt>
                <c:pt idx="221">
                  <c:v>44794</c:v>
                </c:pt>
                <c:pt idx="222">
                  <c:v>44795</c:v>
                </c:pt>
                <c:pt idx="223">
                  <c:v>44796</c:v>
                </c:pt>
                <c:pt idx="224">
                  <c:v>44797</c:v>
                </c:pt>
                <c:pt idx="225">
                  <c:v>44798</c:v>
                </c:pt>
                <c:pt idx="226">
                  <c:v>44799</c:v>
                </c:pt>
                <c:pt idx="227">
                  <c:v>44800</c:v>
                </c:pt>
                <c:pt idx="228">
                  <c:v>44801</c:v>
                </c:pt>
                <c:pt idx="229">
                  <c:v>44802</c:v>
                </c:pt>
                <c:pt idx="230">
                  <c:v>44803</c:v>
                </c:pt>
                <c:pt idx="231">
                  <c:v>44804</c:v>
                </c:pt>
                <c:pt idx="232">
                  <c:v>44805</c:v>
                </c:pt>
                <c:pt idx="233">
                  <c:v>44806</c:v>
                </c:pt>
                <c:pt idx="234">
                  <c:v>44807</c:v>
                </c:pt>
                <c:pt idx="235">
                  <c:v>44808</c:v>
                </c:pt>
                <c:pt idx="236">
                  <c:v>44809</c:v>
                </c:pt>
                <c:pt idx="237">
                  <c:v>44810</c:v>
                </c:pt>
                <c:pt idx="238">
                  <c:v>44811</c:v>
                </c:pt>
                <c:pt idx="239">
                  <c:v>44812</c:v>
                </c:pt>
                <c:pt idx="240">
                  <c:v>44813</c:v>
                </c:pt>
                <c:pt idx="241">
                  <c:v>44814</c:v>
                </c:pt>
                <c:pt idx="242">
                  <c:v>44815</c:v>
                </c:pt>
                <c:pt idx="243">
                  <c:v>44816</c:v>
                </c:pt>
                <c:pt idx="244">
                  <c:v>44817</c:v>
                </c:pt>
                <c:pt idx="245">
                  <c:v>44818</c:v>
                </c:pt>
                <c:pt idx="246">
                  <c:v>44819</c:v>
                </c:pt>
                <c:pt idx="247">
                  <c:v>44820</c:v>
                </c:pt>
                <c:pt idx="248">
                  <c:v>44821</c:v>
                </c:pt>
                <c:pt idx="249">
                  <c:v>44822</c:v>
                </c:pt>
                <c:pt idx="250">
                  <c:v>44823</c:v>
                </c:pt>
                <c:pt idx="251">
                  <c:v>44824</c:v>
                </c:pt>
                <c:pt idx="252">
                  <c:v>44825</c:v>
                </c:pt>
                <c:pt idx="253">
                  <c:v>44826</c:v>
                </c:pt>
                <c:pt idx="254">
                  <c:v>44827</c:v>
                </c:pt>
                <c:pt idx="255">
                  <c:v>44828</c:v>
                </c:pt>
                <c:pt idx="256">
                  <c:v>44829</c:v>
                </c:pt>
                <c:pt idx="257">
                  <c:v>44830</c:v>
                </c:pt>
                <c:pt idx="258">
                  <c:v>44831</c:v>
                </c:pt>
                <c:pt idx="259">
                  <c:v>44832</c:v>
                </c:pt>
                <c:pt idx="260">
                  <c:v>44833</c:v>
                </c:pt>
                <c:pt idx="261">
                  <c:v>44834</c:v>
                </c:pt>
                <c:pt idx="262">
                  <c:v>44835</c:v>
                </c:pt>
                <c:pt idx="263">
                  <c:v>44836</c:v>
                </c:pt>
                <c:pt idx="264">
                  <c:v>44837</c:v>
                </c:pt>
                <c:pt idx="265">
                  <c:v>44838</c:v>
                </c:pt>
                <c:pt idx="266">
                  <c:v>44839</c:v>
                </c:pt>
                <c:pt idx="267">
                  <c:v>44840</c:v>
                </c:pt>
                <c:pt idx="268">
                  <c:v>44841</c:v>
                </c:pt>
                <c:pt idx="269">
                  <c:v>44842</c:v>
                </c:pt>
                <c:pt idx="270">
                  <c:v>44843</c:v>
                </c:pt>
                <c:pt idx="271">
                  <c:v>44844</c:v>
                </c:pt>
                <c:pt idx="272">
                  <c:v>44845</c:v>
                </c:pt>
                <c:pt idx="273">
                  <c:v>44846</c:v>
                </c:pt>
                <c:pt idx="274">
                  <c:v>44847</c:v>
                </c:pt>
                <c:pt idx="275">
                  <c:v>44848</c:v>
                </c:pt>
                <c:pt idx="276">
                  <c:v>44849</c:v>
                </c:pt>
                <c:pt idx="277">
                  <c:v>44850</c:v>
                </c:pt>
                <c:pt idx="278">
                  <c:v>44851</c:v>
                </c:pt>
                <c:pt idx="279">
                  <c:v>44852</c:v>
                </c:pt>
                <c:pt idx="280">
                  <c:v>44853</c:v>
                </c:pt>
                <c:pt idx="281">
                  <c:v>44854</c:v>
                </c:pt>
                <c:pt idx="282">
                  <c:v>44855</c:v>
                </c:pt>
                <c:pt idx="283">
                  <c:v>44856</c:v>
                </c:pt>
                <c:pt idx="284">
                  <c:v>44857</c:v>
                </c:pt>
                <c:pt idx="285">
                  <c:v>44858</c:v>
                </c:pt>
                <c:pt idx="286">
                  <c:v>44859</c:v>
                </c:pt>
                <c:pt idx="287">
                  <c:v>44860</c:v>
                </c:pt>
                <c:pt idx="288">
                  <c:v>44861</c:v>
                </c:pt>
                <c:pt idx="289">
                  <c:v>44862</c:v>
                </c:pt>
                <c:pt idx="290">
                  <c:v>44863</c:v>
                </c:pt>
                <c:pt idx="291">
                  <c:v>44864</c:v>
                </c:pt>
                <c:pt idx="292">
                  <c:v>44865</c:v>
                </c:pt>
                <c:pt idx="293">
                  <c:v>44866</c:v>
                </c:pt>
                <c:pt idx="294">
                  <c:v>44867</c:v>
                </c:pt>
                <c:pt idx="295">
                  <c:v>44868</c:v>
                </c:pt>
                <c:pt idx="296">
                  <c:v>44869</c:v>
                </c:pt>
                <c:pt idx="297">
                  <c:v>44870</c:v>
                </c:pt>
                <c:pt idx="298">
                  <c:v>44871</c:v>
                </c:pt>
                <c:pt idx="299">
                  <c:v>44872</c:v>
                </c:pt>
                <c:pt idx="300">
                  <c:v>44873</c:v>
                </c:pt>
                <c:pt idx="301">
                  <c:v>44874</c:v>
                </c:pt>
                <c:pt idx="302">
                  <c:v>44875</c:v>
                </c:pt>
                <c:pt idx="303">
                  <c:v>44876</c:v>
                </c:pt>
                <c:pt idx="304">
                  <c:v>44877</c:v>
                </c:pt>
                <c:pt idx="305">
                  <c:v>44878</c:v>
                </c:pt>
                <c:pt idx="306">
                  <c:v>44879</c:v>
                </c:pt>
                <c:pt idx="307">
                  <c:v>44880</c:v>
                </c:pt>
                <c:pt idx="308">
                  <c:v>44881</c:v>
                </c:pt>
                <c:pt idx="309">
                  <c:v>44882</c:v>
                </c:pt>
                <c:pt idx="310">
                  <c:v>44883</c:v>
                </c:pt>
                <c:pt idx="311">
                  <c:v>44884</c:v>
                </c:pt>
                <c:pt idx="312">
                  <c:v>44885</c:v>
                </c:pt>
                <c:pt idx="313">
                  <c:v>44886</c:v>
                </c:pt>
                <c:pt idx="314">
                  <c:v>44887</c:v>
                </c:pt>
                <c:pt idx="315">
                  <c:v>44888</c:v>
                </c:pt>
                <c:pt idx="316">
                  <c:v>44889</c:v>
                </c:pt>
                <c:pt idx="317">
                  <c:v>44890</c:v>
                </c:pt>
                <c:pt idx="318">
                  <c:v>44891</c:v>
                </c:pt>
                <c:pt idx="319">
                  <c:v>44892</c:v>
                </c:pt>
                <c:pt idx="320">
                  <c:v>44893</c:v>
                </c:pt>
                <c:pt idx="321">
                  <c:v>44894</c:v>
                </c:pt>
                <c:pt idx="322">
                  <c:v>44895</c:v>
                </c:pt>
                <c:pt idx="323">
                  <c:v>44896</c:v>
                </c:pt>
                <c:pt idx="324">
                  <c:v>44897</c:v>
                </c:pt>
                <c:pt idx="325">
                  <c:v>44898</c:v>
                </c:pt>
                <c:pt idx="326">
                  <c:v>44899</c:v>
                </c:pt>
                <c:pt idx="327">
                  <c:v>44900</c:v>
                </c:pt>
                <c:pt idx="328">
                  <c:v>44901</c:v>
                </c:pt>
                <c:pt idx="329">
                  <c:v>44902</c:v>
                </c:pt>
                <c:pt idx="330">
                  <c:v>44903</c:v>
                </c:pt>
                <c:pt idx="331">
                  <c:v>44904</c:v>
                </c:pt>
                <c:pt idx="332">
                  <c:v>44905</c:v>
                </c:pt>
                <c:pt idx="333">
                  <c:v>44906</c:v>
                </c:pt>
                <c:pt idx="334">
                  <c:v>44907</c:v>
                </c:pt>
                <c:pt idx="335">
                  <c:v>44908</c:v>
                </c:pt>
                <c:pt idx="336">
                  <c:v>44909</c:v>
                </c:pt>
                <c:pt idx="337">
                  <c:v>44910</c:v>
                </c:pt>
                <c:pt idx="338">
                  <c:v>44911</c:v>
                </c:pt>
                <c:pt idx="339">
                  <c:v>44912</c:v>
                </c:pt>
                <c:pt idx="340">
                  <c:v>44913</c:v>
                </c:pt>
                <c:pt idx="341">
                  <c:v>44914</c:v>
                </c:pt>
                <c:pt idx="342">
                  <c:v>44915</c:v>
                </c:pt>
                <c:pt idx="343">
                  <c:v>44916</c:v>
                </c:pt>
                <c:pt idx="344">
                  <c:v>44917</c:v>
                </c:pt>
                <c:pt idx="345">
                  <c:v>44918</c:v>
                </c:pt>
                <c:pt idx="346">
                  <c:v>44919</c:v>
                </c:pt>
                <c:pt idx="347">
                  <c:v>44920</c:v>
                </c:pt>
                <c:pt idx="348">
                  <c:v>44921</c:v>
                </c:pt>
                <c:pt idx="349">
                  <c:v>44922</c:v>
                </c:pt>
                <c:pt idx="350">
                  <c:v>44923</c:v>
                </c:pt>
                <c:pt idx="351">
                  <c:v>44924</c:v>
                </c:pt>
                <c:pt idx="352">
                  <c:v>44925</c:v>
                </c:pt>
              </c:numCache>
            </c:numRef>
          </c:cat>
          <c:val>
            <c:numRef>
              <c:f>'Max curven_2_typen'!$B$3:$B$355</c:f>
              <c:numCache>
                <c:formatCode>General</c:formatCode>
                <c:ptCount val="353"/>
                <c:pt idx="0">
                  <c:v>4.3899999999999997</c:v>
                </c:pt>
                <c:pt idx="1">
                  <c:v>4.62</c:v>
                </c:pt>
                <c:pt idx="2">
                  <c:v>4.6500000000000004</c:v>
                </c:pt>
                <c:pt idx="3">
                  <c:v>4.66</c:v>
                </c:pt>
                <c:pt idx="4">
                  <c:v>4.62</c:v>
                </c:pt>
                <c:pt idx="5">
                  <c:v>4.84</c:v>
                </c:pt>
                <c:pt idx="6">
                  <c:v>4.68</c:v>
                </c:pt>
                <c:pt idx="7">
                  <c:v>4.6500000000000004</c:v>
                </c:pt>
                <c:pt idx="8">
                  <c:v>4.5199999999999996</c:v>
                </c:pt>
                <c:pt idx="9">
                  <c:v>4.1399999999999997</c:v>
                </c:pt>
                <c:pt idx="10">
                  <c:v>4.4400000000000004</c:v>
                </c:pt>
                <c:pt idx="11">
                  <c:v>4.7699999999999996</c:v>
                </c:pt>
                <c:pt idx="12">
                  <c:v>4.63</c:v>
                </c:pt>
                <c:pt idx="13">
                  <c:v>4.55</c:v>
                </c:pt>
                <c:pt idx="14">
                  <c:v>4.3899999999999997</c:v>
                </c:pt>
                <c:pt idx="15">
                  <c:v>4.9400000000000004</c:v>
                </c:pt>
                <c:pt idx="16">
                  <c:v>4.8600000000000003</c:v>
                </c:pt>
                <c:pt idx="17">
                  <c:v>5.94</c:v>
                </c:pt>
                <c:pt idx="18">
                  <c:v>5.83</c:v>
                </c:pt>
                <c:pt idx="19">
                  <c:v>5.5</c:v>
                </c:pt>
                <c:pt idx="20">
                  <c:v>5.55</c:v>
                </c:pt>
                <c:pt idx="21">
                  <c:v>5.96</c:v>
                </c:pt>
                <c:pt idx="22" formatCode="0.00">
                  <c:v>6.02</c:v>
                </c:pt>
                <c:pt idx="23" formatCode="0.00">
                  <c:v>6.0550000000000006</c:v>
                </c:pt>
                <c:pt idx="24" formatCode="0.00">
                  <c:v>6.1025000000000009</c:v>
                </c:pt>
                <c:pt idx="25" formatCode="0.00">
                  <c:v>6.1500000000000012</c:v>
                </c:pt>
                <c:pt idx="26" formatCode="0.00">
                  <c:v>6.1975000000000016</c:v>
                </c:pt>
                <c:pt idx="27" formatCode="0.00">
                  <c:v>6.2450000000000019</c:v>
                </c:pt>
                <c:pt idx="28" formatCode="0.00">
                  <c:v>6.2925000000000022</c:v>
                </c:pt>
                <c:pt idx="29" formatCode="0.00">
                  <c:v>6.3400000000000025</c:v>
                </c:pt>
                <c:pt idx="30" formatCode="0.00">
                  <c:v>6.3875000000000028</c:v>
                </c:pt>
                <c:pt idx="31" formatCode="0.00">
                  <c:v>6.4350000000000032</c:v>
                </c:pt>
                <c:pt idx="32" formatCode="0.00">
                  <c:v>6.4825000000000035</c:v>
                </c:pt>
                <c:pt idx="33">
                  <c:v>6.5300000000000038</c:v>
                </c:pt>
                <c:pt idx="34">
                  <c:v>6.53</c:v>
                </c:pt>
                <c:pt idx="35">
                  <c:v>7.85</c:v>
                </c:pt>
                <c:pt idx="36">
                  <c:v>7.88</c:v>
                </c:pt>
                <c:pt idx="37">
                  <c:v>7.62</c:v>
                </c:pt>
                <c:pt idx="38">
                  <c:v>6.88</c:v>
                </c:pt>
                <c:pt idx="39">
                  <c:v>6.98</c:v>
                </c:pt>
                <c:pt idx="40">
                  <c:v>6.91</c:v>
                </c:pt>
                <c:pt idx="41">
                  <c:v>6.29</c:v>
                </c:pt>
                <c:pt idx="42">
                  <c:v>6.55</c:v>
                </c:pt>
                <c:pt idx="43">
                  <c:v>6.56</c:v>
                </c:pt>
                <c:pt idx="44">
                  <c:v>6.17</c:v>
                </c:pt>
                <c:pt idx="45">
                  <c:v>6.29</c:v>
                </c:pt>
                <c:pt idx="46">
                  <c:v>5.97</c:v>
                </c:pt>
                <c:pt idx="47">
                  <c:v>5.74</c:v>
                </c:pt>
                <c:pt idx="48">
                  <c:v>5.54</c:v>
                </c:pt>
                <c:pt idx="49">
                  <c:v>6.08</c:v>
                </c:pt>
                <c:pt idx="50">
                  <c:v>6.08</c:v>
                </c:pt>
                <c:pt idx="51">
                  <c:v>5.92</c:v>
                </c:pt>
                <c:pt idx="52">
                  <c:v>5.77</c:v>
                </c:pt>
                <c:pt idx="53">
                  <c:v>5.75</c:v>
                </c:pt>
                <c:pt idx="54">
                  <c:v>5.87</c:v>
                </c:pt>
                <c:pt idx="55">
                  <c:v>5.67</c:v>
                </c:pt>
                <c:pt idx="56">
                  <c:v>5.77</c:v>
                </c:pt>
                <c:pt idx="57">
                  <c:v>6.38</c:v>
                </c:pt>
                <c:pt idx="58">
                  <c:v>6.77</c:v>
                </c:pt>
                <c:pt idx="59">
                  <c:v>7.6</c:v>
                </c:pt>
                <c:pt idx="60">
                  <c:v>8.4700000000000006</c:v>
                </c:pt>
                <c:pt idx="61">
                  <c:v>9.42</c:v>
                </c:pt>
                <c:pt idx="62">
                  <c:v>9.85</c:v>
                </c:pt>
                <c:pt idx="63">
                  <c:v>9.58</c:v>
                </c:pt>
                <c:pt idx="64">
                  <c:v>10.19</c:v>
                </c:pt>
                <c:pt idx="65">
                  <c:v>10.47</c:v>
                </c:pt>
                <c:pt idx="66">
                  <c:v>10.39</c:v>
                </c:pt>
                <c:pt idx="67">
                  <c:v>9.94</c:v>
                </c:pt>
                <c:pt idx="68">
                  <c:v>9.84</c:v>
                </c:pt>
                <c:pt idx="69">
                  <c:v>10.34</c:v>
                </c:pt>
                <c:pt idx="70">
                  <c:v>12</c:v>
                </c:pt>
                <c:pt idx="71">
                  <c:v>12.85</c:v>
                </c:pt>
                <c:pt idx="72">
                  <c:v>12.22</c:v>
                </c:pt>
                <c:pt idx="73">
                  <c:v>12.56</c:v>
                </c:pt>
                <c:pt idx="74">
                  <c:v>12.64</c:v>
                </c:pt>
                <c:pt idx="75">
                  <c:v>13.8</c:v>
                </c:pt>
                <c:pt idx="76">
                  <c:v>13.23</c:v>
                </c:pt>
                <c:pt idx="77">
                  <c:v>12.35</c:v>
                </c:pt>
                <c:pt idx="78">
                  <c:v>11.57</c:v>
                </c:pt>
                <c:pt idx="79">
                  <c:v>9.2799999999999994</c:v>
                </c:pt>
                <c:pt idx="80">
                  <c:v>8.1199999999999992</c:v>
                </c:pt>
                <c:pt idx="81">
                  <c:v>7.85</c:v>
                </c:pt>
                <c:pt idx="82">
                  <c:v>7.53</c:v>
                </c:pt>
                <c:pt idx="83">
                  <c:v>8.3800000000000008</c:v>
                </c:pt>
                <c:pt idx="84">
                  <c:v>8.7100000000000009</c:v>
                </c:pt>
                <c:pt idx="85">
                  <c:v>9.1</c:v>
                </c:pt>
                <c:pt idx="86">
                  <c:v>8.84</c:v>
                </c:pt>
                <c:pt idx="87">
                  <c:v>8.59</c:v>
                </c:pt>
                <c:pt idx="88">
                  <c:v>10.08</c:v>
                </c:pt>
                <c:pt idx="89">
                  <c:v>9.9499999999999993</c:v>
                </c:pt>
                <c:pt idx="90">
                  <c:v>10.8</c:v>
                </c:pt>
                <c:pt idx="91">
                  <c:v>11.96</c:v>
                </c:pt>
                <c:pt idx="92">
                  <c:v>14.37</c:v>
                </c:pt>
                <c:pt idx="93">
                  <c:v>13.81</c:v>
                </c:pt>
                <c:pt idx="94">
                  <c:v>14.14</c:v>
                </c:pt>
                <c:pt idx="95">
                  <c:v>14.29</c:v>
                </c:pt>
                <c:pt idx="96">
                  <c:v>14.75</c:v>
                </c:pt>
                <c:pt idx="97">
                  <c:v>15.15</c:v>
                </c:pt>
                <c:pt idx="98">
                  <c:v>15.44</c:v>
                </c:pt>
                <c:pt idx="99">
                  <c:v>15.36</c:v>
                </c:pt>
                <c:pt idx="100">
                  <c:v>15.41</c:v>
                </c:pt>
                <c:pt idx="101">
                  <c:v>15.42</c:v>
                </c:pt>
                <c:pt idx="102">
                  <c:v>15.36</c:v>
                </c:pt>
                <c:pt idx="103">
                  <c:v>14.61</c:v>
                </c:pt>
                <c:pt idx="104">
                  <c:v>14</c:v>
                </c:pt>
                <c:pt idx="105">
                  <c:v>13.96</c:v>
                </c:pt>
                <c:pt idx="106">
                  <c:v>14.42</c:v>
                </c:pt>
                <c:pt idx="107">
                  <c:v>13.81</c:v>
                </c:pt>
                <c:pt idx="108">
                  <c:v>13.28</c:v>
                </c:pt>
                <c:pt idx="109">
                  <c:v>15.82</c:v>
                </c:pt>
                <c:pt idx="110">
                  <c:v>16.309999999999999</c:v>
                </c:pt>
                <c:pt idx="111">
                  <c:v>15.01</c:v>
                </c:pt>
                <c:pt idx="112">
                  <c:v>16.79</c:v>
                </c:pt>
                <c:pt idx="113">
                  <c:v>17.11</c:v>
                </c:pt>
                <c:pt idx="114">
                  <c:v>17.54</c:v>
                </c:pt>
                <c:pt idx="115">
                  <c:v>18.440000000000001</c:v>
                </c:pt>
                <c:pt idx="116">
                  <c:v>17.809999999999999</c:v>
                </c:pt>
                <c:pt idx="117">
                  <c:v>19.010000000000002</c:v>
                </c:pt>
                <c:pt idx="118">
                  <c:v>18.190000000000001</c:v>
                </c:pt>
                <c:pt idx="119">
                  <c:v>18</c:v>
                </c:pt>
                <c:pt idx="120">
                  <c:v>17.89</c:v>
                </c:pt>
                <c:pt idx="121">
                  <c:v>17.829999999999998</c:v>
                </c:pt>
                <c:pt idx="122">
                  <c:v>20.14</c:v>
                </c:pt>
                <c:pt idx="123">
                  <c:v>20.03</c:v>
                </c:pt>
                <c:pt idx="124">
                  <c:v>20.28</c:v>
                </c:pt>
                <c:pt idx="125">
                  <c:v>20.010000000000002</c:v>
                </c:pt>
                <c:pt idx="126">
                  <c:v>22.39</c:v>
                </c:pt>
                <c:pt idx="127">
                  <c:v>21.36</c:v>
                </c:pt>
                <c:pt idx="128">
                  <c:v>20.14</c:v>
                </c:pt>
                <c:pt idx="129">
                  <c:v>19.29</c:v>
                </c:pt>
                <c:pt idx="130">
                  <c:v>20.66</c:v>
                </c:pt>
                <c:pt idx="131">
                  <c:v>20.75</c:v>
                </c:pt>
                <c:pt idx="132">
                  <c:v>19.13</c:v>
                </c:pt>
                <c:pt idx="133">
                  <c:v>18.489999999999998</c:v>
                </c:pt>
                <c:pt idx="134">
                  <c:v>18.45</c:v>
                </c:pt>
                <c:pt idx="135">
                  <c:v>18.03</c:v>
                </c:pt>
                <c:pt idx="136">
                  <c:v>17.829999999999998</c:v>
                </c:pt>
                <c:pt idx="137">
                  <c:v>16.93</c:v>
                </c:pt>
                <c:pt idx="138">
                  <c:v>17.559999999999999</c:v>
                </c:pt>
                <c:pt idx="139">
                  <c:v>17.239999999999998</c:v>
                </c:pt>
                <c:pt idx="140">
                  <c:v>17.440000000000001</c:v>
                </c:pt>
                <c:pt idx="141">
                  <c:v>20.3</c:v>
                </c:pt>
                <c:pt idx="142">
                  <c:v>19.649999999999999</c:v>
                </c:pt>
                <c:pt idx="143">
                  <c:v>18.68</c:v>
                </c:pt>
                <c:pt idx="144">
                  <c:v>18.04</c:v>
                </c:pt>
                <c:pt idx="145">
                  <c:v>17.62</c:v>
                </c:pt>
                <c:pt idx="146">
                  <c:v>17.93</c:v>
                </c:pt>
                <c:pt idx="147">
                  <c:v>17.989999999999998</c:v>
                </c:pt>
                <c:pt idx="148">
                  <c:v>18.89</c:v>
                </c:pt>
                <c:pt idx="149">
                  <c:v>19.53</c:v>
                </c:pt>
                <c:pt idx="150">
                  <c:v>20.36</c:v>
                </c:pt>
                <c:pt idx="151">
                  <c:v>20.63</c:v>
                </c:pt>
                <c:pt idx="152">
                  <c:v>20.97</c:v>
                </c:pt>
                <c:pt idx="153">
                  <c:v>21.92</c:v>
                </c:pt>
                <c:pt idx="154">
                  <c:v>22.43</c:v>
                </c:pt>
                <c:pt idx="155">
                  <c:v>24.32</c:v>
                </c:pt>
                <c:pt idx="156">
                  <c:v>23.66</c:v>
                </c:pt>
                <c:pt idx="157">
                  <c:v>24.67</c:v>
                </c:pt>
                <c:pt idx="158">
                  <c:v>23</c:v>
                </c:pt>
                <c:pt idx="159">
                  <c:v>21.05</c:v>
                </c:pt>
                <c:pt idx="160">
                  <c:v>22.97</c:v>
                </c:pt>
                <c:pt idx="161">
                  <c:v>23.21</c:v>
                </c:pt>
                <c:pt idx="162">
                  <c:v>23.83</c:v>
                </c:pt>
                <c:pt idx="163">
                  <c:v>23.71</c:v>
                </c:pt>
                <c:pt idx="164">
                  <c:v>23.51</c:v>
                </c:pt>
                <c:pt idx="165">
                  <c:v>22.73</c:v>
                </c:pt>
                <c:pt idx="166">
                  <c:v>22.26</c:v>
                </c:pt>
                <c:pt idx="167">
                  <c:v>22.91</c:v>
                </c:pt>
                <c:pt idx="168">
                  <c:v>23.31</c:v>
                </c:pt>
                <c:pt idx="169">
                  <c:v>23.32</c:v>
                </c:pt>
                <c:pt idx="170">
                  <c:v>22.07</c:v>
                </c:pt>
                <c:pt idx="171">
                  <c:v>22.22</c:v>
                </c:pt>
                <c:pt idx="172">
                  <c:v>21.63</c:v>
                </c:pt>
                <c:pt idx="173">
                  <c:v>22.15</c:v>
                </c:pt>
                <c:pt idx="174">
                  <c:v>22.48</c:v>
                </c:pt>
                <c:pt idx="175">
                  <c:v>22.33</c:v>
                </c:pt>
                <c:pt idx="176">
                  <c:v>21.31</c:v>
                </c:pt>
                <c:pt idx="177">
                  <c:v>21.55</c:v>
                </c:pt>
                <c:pt idx="178">
                  <c:v>21.85</c:v>
                </c:pt>
                <c:pt idx="179">
                  <c:v>21.47</c:v>
                </c:pt>
                <c:pt idx="180">
                  <c:v>24.83</c:v>
                </c:pt>
                <c:pt idx="181">
                  <c:v>23.59</c:v>
                </c:pt>
                <c:pt idx="182">
                  <c:v>24.31</c:v>
                </c:pt>
                <c:pt idx="183">
                  <c:v>24.72</c:v>
                </c:pt>
                <c:pt idx="184">
                  <c:v>23.13</c:v>
                </c:pt>
                <c:pt idx="185">
                  <c:v>23.15</c:v>
                </c:pt>
                <c:pt idx="186">
                  <c:v>24.41</c:v>
                </c:pt>
                <c:pt idx="187">
                  <c:v>27.81</c:v>
                </c:pt>
                <c:pt idx="188">
                  <c:v>25.38</c:v>
                </c:pt>
                <c:pt idx="189">
                  <c:v>24.93</c:v>
                </c:pt>
                <c:pt idx="190">
                  <c:v>24.29</c:v>
                </c:pt>
                <c:pt idx="191">
                  <c:v>23.33</c:v>
                </c:pt>
                <c:pt idx="192">
                  <c:v>27.12</c:v>
                </c:pt>
                <c:pt idx="193">
                  <c:v>24.49</c:v>
                </c:pt>
                <c:pt idx="194">
                  <c:v>23.76</c:v>
                </c:pt>
                <c:pt idx="195">
                  <c:v>22.73</c:v>
                </c:pt>
                <c:pt idx="196">
                  <c:v>22.29</c:v>
                </c:pt>
                <c:pt idx="197">
                  <c:v>21.59</c:v>
                </c:pt>
                <c:pt idx="198">
                  <c:v>23.79</c:v>
                </c:pt>
                <c:pt idx="199">
                  <c:v>23.15</c:v>
                </c:pt>
                <c:pt idx="200">
                  <c:v>22.14</c:v>
                </c:pt>
                <c:pt idx="201">
                  <c:v>23.01</c:v>
                </c:pt>
                <c:pt idx="202">
                  <c:v>22.88</c:v>
                </c:pt>
                <c:pt idx="203">
                  <c:v>23.85</c:v>
                </c:pt>
                <c:pt idx="204">
                  <c:v>24.73</c:v>
                </c:pt>
                <c:pt idx="205">
                  <c:v>23.69</c:v>
                </c:pt>
                <c:pt idx="206">
                  <c:v>23.75</c:v>
                </c:pt>
                <c:pt idx="207">
                  <c:v>25.87</c:v>
                </c:pt>
                <c:pt idx="208">
                  <c:v>23.48</c:v>
                </c:pt>
                <c:pt idx="209">
                  <c:v>22.92</c:v>
                </c:pt>
                <c:pt idx="210">
                  <c:v>23.35</c:v>
                </c:pt>
                <c:pt idx="211">
                  <c:v>23.98</c:v>
                </c:pt>
                <c:pt idx="212">
                  <c:v>24.83</c:v>
                </c:pt>
                <c:pt idx="213">
                  <c:v>25.38</c:v>
                </c:pt>
                <c:pt idx="214">
                  <c:v>26.04</c:v>
                </c:pt>
                <c:pt idx="215">
                  <c:v>25.36</c:v>
                </c:pt>
                <c:pt idx="216">
                  <c:v>24.85</c:v>
                </c:pt>
                <c:pt idx="217">
                  <c:v>24.17</c:v>
                </c:pt>
                <c:pt idx="218">
                  <c:v>24.41</c:v>
                </c:pt>
                <c:pt idx="219">
                  <c:v>23.79</c:v>
                </c:pt>
                <c:pt idx="220">
                  <c:v>23.78</c:v>
                </c:pt>
                <c:pt idx="221">
                  <c:v>23.19</c:v>
                </c:pt>
                <c:pt idx="222">
                  <c:v>24.17</c:v>
                </c:pt>
                <c:pt idx="223">
                  <c:v>24.97</c:v>
                </c:pt>
                <c:pt idx="224">
                  <c:v>25.91</c:v>
                </c:pt>
                <c:pt idx="225">
                  <c:v>25.35</c:v>
                </c:pt>
                <c:pt idx="226">
                  <c:v>24.2</c:v>
                </c:pt>
                <c:pt idx="227">
                  <c:v>22.47</c:v>
                </c:pt>
                <c:pt idx="228">
                  <c:v>21.61</c:v>
                </c:pt>
                <c:pt idx="229">
                  <c:v>21.31</c:v>
                </c:pt>
                <c:pt idx="230">
                  <c:v>21.13</c:v>
                </c:pt>
                <c:pt idx="231">
                  <c:v>20.68</c:v>
                </c:pt>
                <c:pt idx="232">
                  <c:v>20.52</c:v>
                </c:pt>
                <c:pt idx="233">
                  <c:v>20.41</c:v>
                </c:pt>
                <c:pt idx="234">
                  <c:v>20.420000000000002</c:v>
                </c:pt>
                <c:pt idx="235">
                  <c:v>21.51</c:v>
                </c:pt>
                <c:pt idx="236">
                  <c:v>21.81</c:v>
                </c:pt>
                <c:pt idx="237">
                  <c:v>22.22</c:v>
                </c:pt>
                <c:pt idx="238">
                  <c:v>22.13</c:v>
                </c:pt>
                <c:pt idx="239">
                  <c:v>22</c:v>
                </c:pt>
                <c:pt idx="240">
                  <c:v>21.27</c:v>
                </c:pt>
                <c:pt idx="241">
                  <c:v>20.41</c:v>
                </c:pt>
                <c:pt idx="242">
                  <c:v>23.66</c:v>
                </c:pt>
                <c:pt idx="243">
                  <c:v>20.92</c:v>
                </c:pt>
                <c:pt idx="244">
                  <c:v>21.73</c:v>
                </c:pt>
                <c:pt idx="245">
                  <c:v>21.18</c:v>
                </c:pt>
                <c:pt idx="246">
                  <c:v>20.47</c:v>
                </c:pt>
                <c:pt idx="247">
                  <c:v>19.2</c:v>
                </c:pt>
                <c:pt idx="248">
                  <c:v>17.98</c:v>
                </c:pt>
                <c:pt idx="249">
                  <c:v>16.98</c:v>
                </c:pt>
                <c:pt idx="250">
                  <c:v>16.23</c:v>
                </c:pt>
                <c:pt idx="251">
                  <c:v>16.28</c:v>
                </c:pt>
                <c:pt idx="252">
                  <c:v>16.54</c:v>
                </c:pt>
                <c:pt idx="253">
                  <c:v>16.5</c:v>
                </c:pt>
                <c:pt idx="254">
                  <c:v>16.190000000000001</c:v>
                </c:pt>
                <c:pt idx="255">
                  <c:v>16.059999999999999</c:v>
                </c:pt>
                <c:pt idx="256">
                  <c:v>15.96</c:v>
                </c:pt>
                <c:pt idx="257">
                  <c:v>15.55</c:v>
                </c:pt>
                <c:pt idx="258">
                  <c:v>14.61</c:v>
                </c:pt>
                <c:pt idx="259">
                  <c:v>14.35</c:v>
                </c:pt>
                <c:pt idx="260">
                  <c:v>15.54</c:v>
                </c:pt>
                <c:pt idx="261">
                  <c:v>14.49</c:v>
                </c:pt>
                <c:pt idx="262">
                  <c:v>14.27</c:v>
                </c:pt>
                <c:pt idx="263">
                  <c:v>14.68</c:v>
                </c:pt>
                <c:pt idx="264">
                  <c:v>14.78</c:v>
                </c:pt>
                <c:pt idx="265">
                  <c:v>14.94</c:v>
                </c:pt>
                <c:pt idx="266">
                  <c:v>14.76</c:v>
                </c:pt>
                <c:pt idx="267">
                  <c:v>14.61</c:v>
                </c:pt>
                <c:pt idx="268">
                  <c:v>14.13</c:v>
                </c:pt>
                <c:pt idx="269">
                  <c:v>14.02</c:v>
                </c:pt>
                <c:pt idx="270">
                  <c:v>14.07</c:v>
                </c:pt>
                <c:pt idx="271">
                  <c:v>13.52</c:v>
                </c:pt>
                <c:pt idx="272">
                  <c:v>12.86</c:v>
                </c:pt>
                <c:pt idx="273">
                  <c:v>13.05</c:v>
                </c:pt>
                <c:pt idx="274">
                  <c:v>13.03</c:v>
                </c:pt>
                <c:pt idx="275">
                  <c:v>13.21</c:v>
                </c:pt>
                <c:pt idx="276">
                  <c:v>13.5</c:v>
                </c:pt>
                <c:pt idx="277">
                  <c:v>13.65</c:v>
                </c:pt>
                <c:pt idx="278">
                  <c:v>14.31</c:v>
                </c:pt>
                <c:pt idx="279">
                  <c:v>13.88</c:v>
                </c:pt>
                <c:pt idx="280">
                  <c:v>13.09</c:v>
                </c:pt>
                <c:pt idx="281">
                  <c:v>13.34</c:v>
                </c:pt>
                <c:pt idx="282">
                  <c:v>13.55</c:v>
                </c:pt>
                <c:pt idx="283">
                  <c:v>13.52</c:v>
                </c:pt>
                <c:pt idx="284">
                  <c:v>13.72</c:v>
                </c:pt>
                <c:pt idx="285">
                  <c:v>13.82</c:v>
                </c:pt>
                <c:pt idx="286">
                  <c:v>13.88</c:v>
                </c:pt>
                <c:pt idx="287">
                  <c:v>13.97</c:v>
                </c:pt>
                <c:pt idx="288">
                  <c:v>14.24</c:v>
                </c:pt>
                <c:pt idx="289">
                  <c:v>14.5</c:v>
                </c:pt>
                <c:pt idx="290">
                  <c:v>15.51</c:v>
                </c:pt>
                <c:pt idx="291">
                  <c:v>14.23</c:v>
                </c:pt>
                <c:pt idx="292">
                  <c:v>13.78</c:v>
                </c:pt>
                <c:pt idx="293">
                  <c:v>13.35</c:v>
                </c:pt>
                <c:pt idx="294">
                  <c:v>12.7</c:v>
                </c:pt>
                <c:pt idx="295">
                  <c:v>12.5</c:v>
                </c:pt>
                <c:pt idx="296">
                  <c:v>11.89</c:v>
                </c:pt>
                <c:pt idx="297">
                  <c:v>11.41</c:v>
                </c:pt>
                <c:pt idx="298">
                  <c:v>11.24</c:v>
                </c:pt>
                <c:pt idx="299">
                  <c:v>11.24</c:v>
                </c:pt>
                <c:pt idx="300">
                  <c:v>11.21</c:v>
                </c:pt>
                <c:pt idx="301">
                  <c:v>11.1</c:v>
                </c:pt>
                <c:pt idx="302">
                  <c:v>11.06</c:v>
                </c:pt>
                <c:pt idx="303">
                  <c:v>11.02</c:v>
                </c:pt>
                <c:pt idx="304">
                  <c:v>10.55</c:v>
                </c:pt>
                <c:pt idx="305">
                  <c:v>10.25</c:v>
                </c:pt>
                <c:pt idx="306">
                  <c:v>9.6300000000000008</c:v>
                </c:pt>
                <c:pt idx="307">
                  <c:v>9.75</c:v>
                </c:pt>
                <c:pt idx="308">
                  <c:v>9.69</c:v>
                </c:pt>
                <c:pt idx="309">
                  <c:v>9.49</c:v>
                </c:pt>
                <c:pt idx="310">
                  <c:v>9.1999999999999993</c:v>
                </c:pt>
                <c:pt idx="311">
                  <c:v>7.74</c:v>
                </c:pt>
                <c:pt idx="312">
                  <c:v>6.88</c:v>
                </c:pt>
                <c:pt idx="313">
                  <c:v>6.7</c:v>
                </c:pt>
                <c:pt idx="314">
                  <c:v>6.82</c:v>
                </c:pt>
                <c:pt idx="315">
                  <c:v>6.97</c:v>
                </c:pt>
                <c:pt idx="316">
                  <c:v>7.18</c:v>
                </c:pt>
                <c:pt idx="317">
                  <c:v>7.03</c:v>
                </c:pt>
                <c:pt idx="318">
                  <c:v>6.94</c:v>
                </c:pt>
                <c:pt idx="319">
                  <c:v>7.1</c:v>
                </c:pt>
                <c:pt idx="320">
                  <c:v>7.37</c:v>
                </c:pt>
                <c:pt idx="321">
                  <c:v>7.33</c:v>
                </c:pt>
                <c:pt idx="322">
                  <c:v>7.07</c:v>
                </c:pt>
                <c:pt idx="323">
                  <c:v>6.76</c:v>
                </c:pt>
                <c:pt idx="324">
                  <c:v>5.95</c:v>
                </c:pt>
                <c:pt idx="325">
                  <c:v>5.14</c:v>
                </c:pt>
                <c:pt idx="326">
                  <c:v>4.43</c:v>
                </c:pt>
                <c:pt idx="327">
                  <c:v>4.66</c:v>
                </c:pt>
                <c:pt idx="328">
                  <c:v>4.54</c:v>
                </c:pt>
                <c:pt idx="329">
                  <c:v>4.41</c:v>
                </c:pt>
                <c:pt idx="330">
                  <c:v>4.28</c:v>
                </c:pt>
                <c:pt idx="331">
                  <c:v>3.89</c:v>
                </c:pt>
                <c:pt idx="332">
                  <c:v>3.27</c:v>
                </c:pt>
                <c:pt idx="333">
                  <c:v>3.21</c:v>
                </c:pt>
                <c:pt idx="334">
                  <c:v>2.84</c:v>
                </c:pt>
                <c:pt idx="335">
                  <c:v>2.2599999999999998</c:v>
                </c:pt>
                <c:pt idx="336">
                  <c:v>1.42</c:v>
                </c:pt>
                <c:pt idx="337">
                  <c:v>1.44</c:v>
                </c:pt>
                <c:pt idx="338">
                  <c:v>1.5</c:v>
                </c:pt>
                <c:pt idx="339">
                  <c:v>1.54</c:v>
                </c:pt>
                <c:pt idx="340">
                  <c:v>1.81</c:v>
                </c:pt>
                <c:pt idx="341">
                  <c:v>2.71</c:v>
                </c:pt>
                <c:pt idx="342">
                  <c:v>3.25</c:v>
                </c:pt>
                <c:pt idx="343">
                  <c:v>9.48</c:v>
                </c:pt>
                <c:pt idx="344">
                  <c:v>4.6100000000000003</c:v>
                </c:pt>
                <c:pt idx="345">
                  <c:v>4.79</c:v>
                </c:pt>
                <c:pt idx="346">
                  <c:v>5.21</c:v>
                </c:pt>
                <c:pt idx="347">
                  <c:v>5.49</c:v>
                </c:pt>
                <c:pt idx="348">
                  <c:v>5.27</c:v>
                </c:pt>
                <c:pt idx="349">
                  <c:v>6.12</c:v>
                </c:pt>
                <c:pt idx="350">
                  <c:v>6.6</c:v>
                </c:pt>
                <c:pt idx="351">
                  <c:v>6.7</c:v>
                </c:pt>
                <c:pt idx="352">
                  <c:v>8.11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A3-4357-992C-645A4FA01879}"/>
            </c:ext>
          </c:extLst>
        </c:ser>
        <c:ser>
          <c:idx val="2"/>
          <c:order val="2"/>
          <c:tx>
            <c:strRef>
              <c:f>'Max curven_2_typen'!$C$1</c:f>
              <c:strCache>
                <c:ptCount val="1"/>
                <c:pt idx="0">
                  <c:v>Max Vaarten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'Max curven_2_typen'!$A$3:$A$355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44686</c:v>
                </c:pt>
                <c:pt idx="114">
                  <c:v>44687</c:v>
                </c:pt>
                <c:pt idx="115">
                  <c:v>44688</c:v>
                </c:pt>
                <c:pt idx="116">
                  <c:v>44689</c:v>
                </c:pt>
                <c:pt idx="117">
                  <c:v>44690</c:v>
                </c:pt>
                <c:pt idx="118">
                  <c:v>44691</c:v>
                </c:pt>
                <c:pt idx="119">
                  <c:v>44692</c:v>
                </c:pt>
                <c:pt idx="120">
                  <c:v>44693</c:v>
                </c:pt>
                <c:pt idx="121">
                  <c:v>44694</c:v>
                </c:pt>
                <c:pt idx="122">
                  <c:v>44695</c:v>
                </c:pt>
                <c:pt idx="123">
                  <c:v>44696</c:v>
                </c:pt>
                <c:pt idx="124">
                  <c:v>44697</c:v>
                </c:pt>
                <c:pt idx="125">
                  <c:v>44698</c:v>
                </c:pt>
                <c:pt idx="126">
                  <c:v>44699</c:v>
                </c:pt>
                <c:pt idx="127">
                  <c:v>44700</c:v>
                </c:pt>
                <c:pt idx="128">
                  <c:v>44701</c:v>
                </c:pt>
                <c:pt idx="129">
                  <c:v>44702</c:v>
                </c:pt>
                <c:pt idx="130">
                  <c:v>44703</c:v>
                </c:pt>
                <c:pt idx="131">
                  <c:v>44704</c:v>
                </c:pt>
                <c:pt idx="132">
                  <c:v>44705</c:v>
                </c:pt>
                <c:pt idx="133">
                  <c:v>44706</c:v>
                </c:pt>
                <c:pt idx="134">
                  <c:v>44707</c:v>
                </c:pt>
                <c:pt idx="135">
                  <c:v>44708</c:v>
                </c:pt>
                <c:pt idx="136">
                  <c:v>44709</c:v>
                </c:pt>
                <c:pt idx="137">
                  <c:v>44710</c:v>
                </c:pt>
                <c:pt idx="138">
                  <c:v>44711</c:v>
                </c:pt>
                <c:pt idx="139">
                  <c:v>44712</c:v>
                </c:pt>
                <c:pt idx="140">
                  <c:v>44713</c:v>
                </c:pt>
                <c:pt idx="141">
                  <c:v>44714</c:v>
                </c:pt>
                <c:pt idx="142">
                  <c:v>44715</c:v>
                </c:pt>
                <c:pt idx="143">
                  <c:v>44716</c:v>
                </c:pt>
                <c:pt idx="144">
                  <c:v>44717</c:v>
                </c:pt>
                <c:pt idx="145">
                  <c:v>44718</c:v>
                </c:pt>
                <c:pt idx="146">
                  <c:v>44719</c:v>
                </c:pt>
                <c:pt idx="147">
                  <c:v>44720</c:v>
                </c:pt>
                <c:pt idx="148">
                  <c:v>44721</c:v>
                </c:pt>
                <c:pt idx="149">
                  <c:v>44722</c:v>
                </c:pt>
                <c:pt idx="150">
                  <c:v>44723</c:v>
                </c:pt>
                <c:pt idx="151">
                  <c:v>44724</c:v>
                </c:pt>
                <c:pt idx="152">
                  <c:v>44725</c:v>
                </c:pt>
                <c:pt idx="153">
                  <c:v>44726</c:v>
                </c:pt>
                <c:pt idx="154">
                  <c:v>44727</c:v>
                </c:pt>
                <c:pt idx="155">
                  <c:v>44728</c:v>
                </c:pt>
                <c:pt idx="156">
                  <c:v>44729</c:v>
                </c:pt>
                <c:pt idx="157">
                  <c:v>44730</c:v>
                </c:pt>
                <c:pt idx="158">
                  <c:v>44731</c:v>
                </c:pt>
                <c:pt idx="159">
                  <c:v>44732</c:v>
                </c:pt>
                <c:pt idx="160">
                  <c:v>44733</c:v>
                </c:pt>
                <c:pt idx="161">
                  <c:v>44734</c:v>
                </c:pt>
                <c:pt idx="162">
                  <c:v>44735</c:v>
                </c:pt>
                <c:pt idx="163">
                  <c:v>44736</c:v>
                </c:pt>
                <c:pt idx="164">
                  <c:v>44737</c:v>
                </c:pt>
                <c:pt idx="165">
                  <c:v>44738</c:v>
                </c:pt>
                <c:pt idx="166">
                  <c:v>44739</c:v>
                </c:pt>
                <c:pt idx="167">
                  <c:v>44740</c:v>
                </c:pt>
                <c:pt idx="168">
                  <c:v>44741</c:v>
                </c:pt>
                <c:pt idx="169">
                  <c:v>44742</c:v>
                </c:pt>
                <c:pt idx="170">
                  <c:v>44743</c:v>
                </c:pt>
                <c:pt idx="171">
                  <c:v>44744</c:v>
                </c:pt>
                <c:pt idx="172">
                  <c:v>44745</c:v>
                </c:pt>
                <c:pt idx="173">
                  <c:v>44746</c:v>
                </c:pt>
                <c:pt idx="174">
                  <c:v>44747</c:v>
                </c:pt>
                <c:pt idx="175">
                  <c:v>44748</c:v>
                </c:pt>
                <c:pt idx="176">
                  <c:v>44749</c:v>
                </c:pt>
                <c:pt idx="177">
                  <c:v>44750</c:v>
                </c:pt>
                <c:pt idx="178">
                  <c:v>44751</c:v>
                </c:pt>
                <c:pt idx="179">
                  <c:v>44752</c:v>
                </c:pt>
                <c:pt idx="180">
                  <c:v>44753</c:v>
                </c:pt>
                <c:pt idx="181">
                  <c:v>44754</c:v>
                </c:pt>
                <c:pt idx="182">
                  <c:v>44755</c:v>
                </c:pt>
                <c:pt idx="183">
                  <c:v>44756</c:v>
                </c:pt>
                <c:pt idx="184">
                  <c:v>44757</c:v>
                </c:pt>
                <c:pt idx="185">
                  <c:v>44758</c:v>
                </c:pt>
                <c:pt idx="186">
                  <c:v>44759</c:v>
                </c:pt>
                <c:pt idx="187">
                  <c:v>44760</c:v>
                </c:pt>
                <c:pt idx="188">
                  <c:v>44761</c:v>
                </c:pt>
                <c:pt idx="189">
                  <c:v>44762</c:v>
                </c:pt>
                <c:pt idx="190">
                  <c:v>44763</c:v>
                </c:pt>
                <c:pt idx="191">
                  <c:v>44764</c:v>
                </c:pt>
                <c:pt idx="192">
                  <c:v>44765</c:v>
                </c:pt>
                <c:pt idx="193">
                  <c:v>44766</c:v>
                </c:pt>
                <c:pt idx="194">
                  <c:v>44767</c:v>
                </c:pt>
                <c:pt idx="195">
                  <c:v>44768</c:v>
                </c:pt>
                <c:pt idx="196">
                  <c:v>44769</c:v>
                </c:pt>
                <c:pt idx="197">
                  <c:v>44770</c:v>
                </c:pt>
                <c:pt idx="198">
                  <c:v>44771</c:v>
                </c:pt>
                <c:pt idx="199">
                  <c:v>44772</c:v>
                </c:pt>
                <c:pt idx="200">
                  <c:v>44773</c:v>
                </c:pt>
                <c:pt idx="201">
                  <c:v>44774</c:v>
                </c:pt>
                <c:pt idx="202">
                  <c:v>44775</c:v>
                </c:pt>
                <c:pt idx="203">
                  <c:v>44776</c:v>
                </c:pt>
                <c:pt idx="204">
                  <c:v>44777</c:v>
                </c:pt>
                <c:pt idx="205">
                  <c:v>44778</c:v>
                </c:pt>
                <c:pt idx="206">
                  <c:v>44779</c:v>
                </c:pt>
                <c:pt idx="207">
                  <c:v>44780</c:v>
                </c:pt>
                <c:pt idx="208">
                  <c:v>44781</c:v>
                </c:pt>
                <c:pt idx="209">
                  <c:v>44782</c:v>
                </c:pt>
                <c:pt idx="210">
                  <c:v>44783</c:v>
                </c:pt>
                <c:pt idx="211">
                  <c:v>44784</c:v>
                </c:pt>
                <c:pt idx="212">
                  <c:v>44785</c:v>
                </c:pt>
                <c:pt idx="213">
                  <c:v>44786</c:v>
                </c:pt>
                <c:pt idx="214">
                  <c:v>44787</c:v>
                </c:pt>
                <c:pt idx="215">
                  <c:v>44788</c:v>
                </c:pt>
                <c:pt idx="216">
                  <c:v>44789</c:v>
                </c:pt>
                <c:pt idx="217">
                  <c:v>44790</c:v>
                </c:pt>
                <c:pt idx="218">
                  <c:v>44791</c:v>
                </c:pt>
                <c:pt idx="219">
                  <c:v>44792</c:v>
                </c:pt>
                <c:pt idx="220">
                  <c:v>44793</c:v>
                </c:pt>
                <c:pt idx="221">
                  <c:v>44794</c:v>
                </c:pt>
                <c:pt idx="222">
                  <c:v>44795</c:v>
                </c:pt>
                <c:pt idx="223">
                  <c:v>44796</c:v>
                </c:pt>
                <c:pt idx="224">
                  <c:v>44797</c:v>
                </c:pt>
                <c:pt idx="225">
                  <c:v>44798</c:v>
                </c:pt>
                <c:pt idx="226">
                  <c:v>44799</c:v>
                </c:pt>
                <c:pt idx="227">
                  <c:v>44800</c:v>
                </c:pt>
                <c:pt idx="228">
                  <c:v>44801</c:v>
                </c:pt>
                <c:pt idx="229">
                  <c:v>44802</c:v>
                </c:pt>
                <c:pt idx="230">
                  <c:v>44803</c:v>
                </c:pt>
                <c:pt idx="231">
                  <c:v>44804</c:v>
                </c:pt>
                <c:pt idx="232">
                  <c:v>44805</c:v>
                </c:pt>
                <c:pt idx="233">
                  <c:v>44806</c:v>
                </c:pt>
                <c:pt idx="234">
                  <c:v>44807</c:v>
                </c:pt>
                <c:pt idx="235">
                  <c:v>44808</c:v>
                </c:pt>
                <c:pt idx="236">
                  <c:v>44809</c:v>
                </c:pt>
                <c:pt idx="237">
                  <c:v>44810</c:v>
                </c:pt>
                <c:pt idx="238">
                  <c:v>44811</c:v>
                </c:pt>
                <c:pt idx="239">
                  <c:v>44812</c:v>
                </c:pt>
                <c:pt idx="240">
                  <c:v>44813</c:v>
                </c:pt>
                <c:pt idx="241">
                  <c:v>44814</c:v>
                </c:pt>
                <c:pt idx="242">
                  <c:v>44815</c:v>
                </c:pt>
                <c:pt idx="243">
                  <c:v>44816</c:v>
                </c:pt>
                <c:pt idx="244">
                  <c:v>44817</c:v>
                </c:pt>
                <c:pt idx="245">
                  <c:v>44818</c:v>
                </c:pt>
                <c:pt idx="246">
                  <c:v>44819</c:v>
                </c:pt>
                <c:pt idx="247">
                  <c:v>44820</c:v>
                </c:pt>
                <c:pt idx="248">
                  <c:v>44821</c:v>
                </c:pt>
                <c:pt idx="249">
                  <c:v>44822</c:v>
                </c:pt>
                <c:pt idx="250">
                  <c:v>44823</c:v>
                </c:pt>
                <c:pt idx="251">
                  <c:v>44824</c:v>
                </c:pt>
                <c:pt idx="252">
                  <c:v>44825</c:v>
                </c:pt>
                <c:pt idx="253">
                  <c:v>44826</c:v>
                </c:pt>
                <c:pt idx="254">
                  <c:v>44827</c:v>
                </c:pt>
                <c:pt idx="255">
                  <c:v>44828</c:v>
                </c:pt>
                <c:pt idx="256">
                  <c:v>44829</c:v>
                </c:pt>
                <c:pt idx="257">
                  <c:v>44830</c:v>
                </c:pt>
                <c:pt idx="258">
                  <c:v>44831</c:v>
                </c:pt>
                <c:pt idx="259">
                  <c:v>44832</c:v>
                </c:pt>
                <c:pt idx="260">
                  <c:v>44833</c:v>
                </c:pt>
                <c:pt idx="261">
                  <c:v>44834</c:v>
                </c:pt>
                <c:pt idx="262">
                  <c:v>44835</c:v>
                </c:pt>
                <c:pt idx="263">
                  <c:v>44836</c:v>
                </c:pt>
                <c:pt idx="264">
                  <c:v>44837</c:v>
                </c:pt>
                <c:pt idx="265">
                  <c:v>44838</c:v>
                </c:pt>
                <c:pt idx="266">
                  <c:v>44839</c:v>
                </c:pt>
                <c:pt idx="267">
                  <c:v>44840</c:v>
                </c:pt>
                <c:pt idx="268">
                  <c:v>44841</c:v>
                </c:pt>
                <c:pt idx="269">
                  <c:v>44842</c:v>
                </c:pt>
                <c:pt idx="270">
                  <c:v>44843</c:v>
                </c:pt>
                <c:pt idx="271">
                  <c:v>44844</c:v>
                </c:pt>
                <c:pt idx="272">
                  <c:v>44845</c:v>
                </c:pt>
                <c:pt idx="273">
                  <c:v>44846</c:v>
                </c:pt>
                <c:pt idx="274">
                  <c:v>44847</c:v>
                </c:pt>
                <c:pt idx="275">
                  <c:v>44848</c:v>
                </c:pt>
                <c:pt idx="276">
                  <c:v>44849</c:v>
                </c:pt>
                <c:pt idx="277">
                  <c:v>44850</c:v>
                </c:pt>
                <c:pt idx="278">
                  <c:v>44851</c:v>
                </c:pt>
                <c:pt idx="279">
                  <c:v>44852</c:v>
                </c:pt>
                <c:pt idx="280">
                  <c:v>44853</c:v>
                </c:pt>
                <c:pt idx="281">
                  <c:v>44854</c:v>
                </c:pt>
                <c:pt idx="282">
                  <c:v>44855</c:v>
                </c:pt>
                <c:pt idx="283">
                  <c:v>44856</c:v>
                </c:pt>
                <c:pt idx="284">
                  <c:v>44857</c:v>
                </c:pt>
                <c:pt idx="285">
                  <c:v>44858</c:v>
                </c:pt>
                <c:pt idx="286">
                  <c:v>44859</c:v>
                </c:pt>
                <c:pt idx="287">
                  <c:v>44860</c:v>
                </c:pt>
                <c:pt idx="288">
                  <c:v>44861</c:v>
                </c:pt>
                <c:pt idx="289">
                  <c:v>44862</c:v>
                </c:pt>
                <c:pt idx="290">
                  <c:v>44863</c:v>
                </c:pt>
                <c:pt idx="291">
                  <c:v>44864</c:v>
                </c:pt>
                <c:pt idx="292">
                  <c:v>44865</c:v>
                </c:pt>
                <c:pt idx="293">
                  <c:v>44866</c:v>
                </c:pt>
                <c:pt idx="294">
                  <c:v>44867</c:v>
                </c:pt>
                <c:pt idx="295">
                  <c:v>44868</c:v>
                </c:pt>
                <c:pt idx="296">
                  <c:v>44869</c:v>
                </c:pt>
                <c:pt idx="297">
                  <c:v>44870</c:v>
                </c:pt>
                <c:pt idx="298">
                  <c:v>44871</c:v>
                </c:pt>
                <c:pt idx="299">
                  <c:v>44872</c:v>
                </c:pt>
                <c:pt idx="300">
                  <c:v>44873</c:v>
                </c:pt>
                <c:pt idx="301">
                  <c:v>44874</c:v>
                </c:pt>
                <c:pt idx="302">
                  <c:v>44875</c:v>
                </c:pt>
                <c:pt idx="303">
                  <c:v>44876</c:v>
                </c:pt>
                <c:pt idx="304">
                  <c:v>44877</c:v>
                </c:pt>
                <c:pt idx="305">
                  <c:v>44878</c:v>
                </c:pt>
                <c:pt idx="306">
                  <c:v>44879</c:v>
                </c:pt>
                <c:pt idx="307">
                  <c:v>44880</c:v>
                </c:pt>
                <c:pt idx="308">
                  <c:v>44881</c:v>
                </c:pt>
                <c:pt idx="309">
                  <c:v>44882</c:v>
                </c:pt>
                <c:pt idx="310">
                  <c:v>44883</c:v>
                </c:pt>
                <c:pt idx="311">
                  <c:v>44884</c:v>
                </c:pt>
                <c:pt idx="312">
                  <c:v>44885</c:v>
                </c:pt>
                <c:pt idx="313">
                  <c:v>44886</c:v>
                </c:pt>
                <c:pt idx="314">
                  <c:v>44887</c:v>
                </c:pt>
                <c:pt idx="315">
                  <c:v>44888</c:v>
                </c:pt>
                <c:pt idx="316">
                  <c:v>44889</c:v>
                </c:pt>
                <c:pt idx="317">
                  <c:v>44890</c:v>
                </c:pt>
                <c:pt idx="318">
                  <c:v>44891</c:v>
                </c:pt>
                <c:pt idx="319">
                  <c:v>44892</c:v>
                </c:pt>
                <c:pt idx="320">
                  <c:v>44893</c:v>
                </c:pt>
                <c:pt idx="321">
                  <c:v>44894</c:v>
                </c:pt>
                <c:pt idx="322">
                  <c:v>44895</c:v>
                </c:pt>
                <c:pt idx="323">
                  <c:v>44896</c:v>
                </c:pt>
                <c:pt idx="324">
                  <c:v>44897</c:v>
                </c:pt>
                <c:pt idx="325">
                  <c:v>44898</c:v>
                </c:pt>
                <c:pt idx="326">
                  <c:v>44899</c:v>
                </c:pt>
                <c:pt idx="327">
                  <c:v>44900</c:v>
                </c:pt>
                <c:pt idx="328">
                  <c:v>44901</c:v>
                </c:pt>
                <c:pt idx="329">
                  <c:v>44902</c:v>
                </c:pt>
                <c:pt idx="330">
                  <c:v>44903</c:v>
                </c:pt>
                <c:pt idx="331">
                  <c:v>44904</c:v>
                </c:pt>
                <c:pt idx="332">
                  <c:v>44905</c:v>
                </c:pt>
                <c:pt idx="333">
                  <c:v>44906</c:v>
                </c:pt>
                <c:pt idx="334">
                  <c:v>44907</c:v>
                </c:pt>
                <c:pt idx="335">
                  <c:v>44908</c:v>
                </c:pt>
                <c:pt idx="336">
                  <c:v>44909</c:v>
                </c:pt>
                <c:pt idx="337">
                  <c:v>44910</c:v>
                </c:pt>
                <c:pt idx="338">
                  <c:v>44911</c:v>
                </c:pt>
                <c:pt idx="339">
                  <c:v>44912</c:v>
                </c:pt>
                <c:pt idx="340">
                  <c:v>44913</c:v>
                </c:pt>
                <c:pt idx="341">
                  <c:v>44914</c:v>
                </c:pt>
                <c:pt idx="342">
                  <c:v>44915</c:v>
                </c:pt>
                <c:pt idx="343">
                  <c:v>44916</c:v>
                </c:pt>
                <c:pt idx="344">
                  <c:v>44917</c:v>
                </c:pt>
                <c:pt idx="345">
                  <c:v>44918</c:v>
                </c:pt>
                <c:pt idx="346">
                  <c:v>44919</c:v>
                </c:pt>
                <c:pt idx="347">
                  <c:v>44920</c:v>
                </c:pt>
                <c:pt idx="348">
                  <c:v>44921</c:v>
                </c:pt>
                <c:pt idx="349">
                  <c:v>44922</c:v>
                </c:pt>
                <c:pt idx="350">
                  <c:v>44923</c:v>
                </c:pt>
                <c:pt idx="351">
                  <c:v>44924</c:v>
                </c:pt>
                <c:pt idx="352">
                  <c:v>44925</c:v>
                </c:pt>
              </c:numCache>
            </c:numRef>
          </c:cat>
          <c:val>
            <c:numRef>
              <c:f>'Max curven_2_typen'!$C$3:$C$355</c:f>
              <c:numCache>
                <c:formatCode>0.00</c:formatCode>
                <c:ptCount val="353"/>
                <c:pt idx="0">
                  <c:v>6.34</c:v>
                </c:pt>
                <c:pt idx="1">
                  <c:v>6.55</c:v>
                </c:pt>
                <c:pt idx="2">
                  <c:v>6.4749999999999996</c:v>
                </c:pt>
                <c:pt idx="3">
                  <c:v>6.5600000000000005</c:v>
                </c:pt>
                <c:pt idx="4">
                  <c:v>6.52</c:v>
                </c:pt>
                <c:pt idx="5">
                  <c:v>6.32</c:v>
                </c:pt>
                <c:pt idx="6">
                  <c:v>6.9049999999999994</c:v>
                </c:pt>
                <c:pt idx="7">
                  <c:v>6.49</c:v>
                </c:pt>
                <c:pt idx="8">
                  <c:v>5.5750000000000002</c:v>
                </c:pt>
                <c:pt idx="9">
                  <c:v>5.23</c:v>
                </c:pt>
                <c:pt idx="10">
                  <c:v>5.2649999999999997</c:v>
                </c:pt>
                <c:pt idx="11">
                  <c:v>6.67</c:v>
                </c:pt>
                <c:pt idx="12">
                  <c:v>6.7850000000000001</c:v>
                </c:pt>
                <c:pt idx="13">
                  <c:v>6.97</c:v>
                </c:pt>
                <c:pt idx="14">
                  <c:v>6.6899999999999995</c:v>
                </c:pt>
                <c:pt idx="15">
                  <c:v>5.66</c:v>
                </c:pt>
                <c:pt idx="16">
                  <c:v>6.875</c:v>
                </c:pt>
                <c:pt idx="17">
                  <c:v>6.51</c:v>
                </c:pt>
                <c:pt idx="18">
                  <c:v>7.2050000000000001</c:v>
                </c:pt>
                <c:pt idx="19">
                  <c:v>6.3100000000000005</c:v>
                </c:pt>
                <c:pt idx="20">
                  <c:v>6.8599999999999994</c:v>
                </c:pt>
                <c:pt idx="21">
                  <c:v>7.2750000000000004</c:v>
                </c:pt>
                <c:pt idx="22">
                  <c:v>7.370000000000001</c:v>
                </c:pt>
                <c:pt idx="23">
                  <c:v>7.34</c:v>
                </c:pt>
                <c:pt idx="24">
                  <c:v>6.79</c:v>
                </c:pt>
                <c:pt idx="25">
                  <c:v>7.7750000000000004</c:v>
                </c:pt>
                <c:pt idx="26">
                  <c:v>7.125</c:v>
                </c:pt>
                <c:pt idx="27">
                  <c:v>7.5250000000000004</c:v>
                </c:pt>
                <c:pt idx="28">
                  <c:v>8.19</c:v>
                </c:pt>
                <c:pt idx="29">
                  <c:v>8.25</c:v>
                </c:pt>
                <c:pt idx="30">
                  <c:v>7.745000000000001</c:v>
                </c:pt>
                <c:pt idx="31">
                  <c:v>7.5400000000000009</c:v>
                </c:pt>
                <c:pt idx="32">
                  <c:v>6.75</c:v>
                </c:pt>
                <c:pt idx="33">
                  <c:v>7.16</c:v>
                </c:pt>
                <c:pt idx="34">
                  <c:v>7.67</c:v>
                </c:pt>
                <c:pt idx="35">
                  <c:v>8</c:v>
                </c:pt>
                <c:pt idx="36">
                  <c:v>8.6999999999999993</c:v>
                </c:pt>
                <c:pt idx="37">
                  <c:v>8.27</c:v>
                </c:pt>
                <c:pt idx="38">
                  <c:v>7.84</c:v>
                </c:pt>
                <c:pt idx="39">
                  <c:v>7.5500000000000007</c:v>
                </c:pt>
                <c:pt idx="40">
                  <c:v>7.4850000000000003</c:v>
                </c:pt>
                <c:pt idx="41">
                  <c:v>6.88</c:v>
                </c:pt>
                <c:pt idx="42">
                  <c:v>6.9649999999999999</c:v>
                </c:pt>
                <c:pt idx="43">
                  <c:v>7.2650000000000006</c:v>
                </c:pt>
                <c:pt idx="44">
                  <c:v>6.8550000000000004</c:v>
                </c:pt>
                <c:pt idx="45">
                  <c:v>7.2249999999999996</c:v>
                </c:pt>
                <c:pt idx="46">
                  <c:v>7</c:v>
                </c:pt>
                <c:pt idx="47">
                  <c:v>6.96</c:v>
                </c:pt>
                <c:pt idx="48">
                  <c:v>7.0500000000000007</c:v>
                </c:pt>
                <c:pt idx="49">
                  <c:v>8.02</c:v>
                </c:pt>
                <c:pt idx="50">
                  <c:v>7.2850000000000001</c:v>
                </c:pt>
                <c:pt idx="51">
                  <c:v>7.8849999999999998</c:v>
                </c:pt>
                <c:pt idx="52">
                  <c:v>7.1199999999999992</c:v>
                </c:pt>
                <c:pt idx="53">
                  <c:v>6.875</c:v>
                </c:pt>
                <c:pt idx="54">
                  <c:v>7.4849999999999994</c:v>
                </c:pt>
                <c:pt idx="55">
                  <c:v>7.32</c:v>
                </c:pt>
                <c:pt idx="56">
                  <c:v>7.2650000000000006</c:v>
                </c:pt>
                <c:pt idx="57">
                  <c:v>7.52</c:v>
                </c:pt>
                <c:pt idx="58">
                  <c:v>7.5250000000000004</c:v>
                </c:pt>
                <c:pt idx="59">
                  <c:v>8.6449999999999996</c:v>
                </c:pt>
                <c:pt idx="60">
                  <c:v>9.1150000000000002</c:v>
                </c:pt>
                <c:pt idx="61">
                  <c:v>10</c:v>
                </c:pt>
                <c:pt idx="62">
                  <c:v>10.66</c:v>
                </c:pt>
                <c:pt idx="63">
                  <c:v>9.8850000000000016</c:v>
                </c:pt>
                <c:pt idx="64">
                  <c:v>10.399999999999999</c:v>
                </c:pt>
                <c:pt idx="65">
                  <c:v>10.41</c:v>
                </c:pt>
                <c:pt idx="66">
                  <c:v>10.654999999999999</c:v>
                </c:pt>
                <c:pt idx="67">
                  <c:v>10.055</c:v>
                </c:pt>
                <c:pt idx="68">
                  <c:v>10.585000000000001</c:v>
                </c:pt>
                <c:pt idx="69">
                  <c:v>11.48</c:v>
                </c:pt>
                <c:pt idx="70">
                  <c:v>12.129999999999999</c:v>
                </c:pt>
                <c:pt idx="71">
                  <c:v>12</c:v>
                </c:pt>
                <c:pt idx="72">
                  <c:v>11.52</c:v>
                </c:pt>
                <c:pt idx="73">
                  <c:v>12.370000000000001</c:v>
                </c:pt>
                <c:pt idx="74">
                  <c:v>12.664999999999999</c:v>
                </c:pt>
                <c:pt idx="75">
                  <c:v>13.22</c:v>
                </c:pt>
                <c:pt idx="76">
                  <c:v>12.670000000000002</c:v>
                </c:pt>
                <c:pt idx="77">
                  <c:v>12.395</c:v>
                </c:pt>
                <c:pt idx="78">
                  <c:v>11.809999999999999</c:v>
                </c:pt>
                <c:pt idx="79">
                  <c:v>10.34</c:v>
                </c:pt>
                <c:pt idx="80">
                  <c:v>9.4499999999999993</c:v>
                </c:pt>
                <c:pt idx="81">
                  <c:v>9.8550000000000004</c:v>
                </c:pt>
                <c:pt idx="82">
                  <c:v>9.2850000000000001</c:v>
                </c:pt>
                <c:pt idx="83">
                  <c:v>9.3249999999999993</c:v>
                </c:pt>
                <c:pt idx="84">
                  <c:v>9.32</c:v>
                </c:pt>
                <c:pt idx="85">
                  <c:v>9.65</c:v>
                </c:pt>
                <c:pt idx="86">
                  <c:v>9.23</c:v>
                </c:pt>
                <c:pt idx="87">
                  <c:v>9.4600000000000009</c:v>
                </c:pt>
                <c:pt idx="88">
                  <c:v>10.3</c:v>
                </c:pt>
                <c:pt idx="89">
                  <c:v>10.59</c:v>
                </c:pt>
                <c:pt idx="90">
                  <c:v>11.129999999999999</c:v>
                </c:pt>
                <c:pt idx="91">
                  <c:v>12.52</c:v>
                </c:pt>
                <c:pt idx="92">
                  <c:v>12.99</c:v>
                </c:pt>
                <c:pt idx="93">
                  <c:v>13.18</c:v>
                </c:pt>
                <c:pt idx="94">
                  <c:v>13.965</c:v>
                </c:pt>
                <c:pt idx="95">
                  <c:v>14.18</c:v>
                </c:pt>
                <c:pt idx="96">
                  <c:v>14.49</c:v>
                </c:pt>
                <c:pt idx="97">
                  <c:v>14.744999999999999</c:v>
                </c:pt>
                <c:pt idx="98">
                  <c:v>15.21</c:v>
                </c:pt>
                <c:pt idx="99">
                  <c:v>15.225</c:v>
                </c:pt>
                <c:pt idx="100">
                  <c:v>15.57</c:v>
                </c:pt>
                <c:pt idx="101">
                  <c:v>15.700000000000001</c:v>
                </c:pt>
                <c:pt idx="102">
                  <c:v>15.555</c:v>
                </c:pt>
                <c:pt idx="103">
                  <c:v>14.850000000000001</c:v>
                </c:pt>
                <c:pt idx="104">
                  <c:v>14.875</c:v>
                </c:pt>
                <c:pt idx="105">
                  <c:v>14.475</c:v>
                </c:pt>
                <c:pt idx="106">
                  <c:v>14.8</c:v>
                </c:pt>
                <c:pt idx="107">
                  <c:v>14.395</c:v>
                </c:pt>
                <c:pt idx="108">
                  <c:v>14.215</c:v>
                </c:pt>
                <c:pt idx="109">
                  <c:v>14.785</c:v>
                </c:pt>
                <c:pt idx="110">
                  <c:v>15.26</c:v>
                </c:pt>
                <c:pt idx="111">
                  <c:v>14.984999999999999</c:v>
                </c:pt>
                <c:pt idx="112">
                  <c:v>15.66</c:v>
                </c:pt>
                <c:pt idx="113">
                  <c:v>15.79</c:v>
                </c:pt>
                <c:pt idx="114">
                  <c:v>17</c:v>
                </c:pt>
                <c:pt idx="115">
                  <c:v>17.445</c:v>
                </c:pt>
                <c:pt idx="116">
                  <c:v>17.535</c:v>
                </c:pt>
                <c:pt idx="117">
                  <c:v>18.240000000000002</c:v>
                </c:pt>
                <c:pt idx="118">
                  <c:v>17.829999999999998</c:v>
                </c:pt>
                <c:pt idx="119">
                  <c:v>18</c:v>
                </c:pt>
                <c:pt idx="120">
                  <c:v>18.585000000000001</c:v>
                </c:pt>
                <c:pt idx="121">
                  <c:v>18.685000000000002</c:v>
                </c:pt>
                <c:pt idx="122">
                  <c:v>18.504999999999999</c:v>
                </c:pt>
                <c:pt idx="123">
                  <c:v>18.93</c:v>
                </c:pt>
                <c:pt idx="124">
                  <c:v>19.229999999999997</c:v>
                </c:pt>
                <c:pt idx="125">
                  <c:v>20.015000000000001</c:v>
                </c:pt>
                <c:pt idx="126">
                  <c:v>20.41</c:v>
                </c:pt>
                <c:pt idx="127">
                  <c:v>20.185000000000002</c:v>
                </c:pt>
                <c:pt idx="128">
                  <c:v>19.734999999999999</c:v>
                </c:pt>
                <c:pt idx="129">
                  <c:v>19.670000000000002</c:v>
                </c:pt>
                <c:pt idx="130">
                  <c:v>19.995000000000001</c:v>
                </c:pt>
                <c:pt idx="131">
                  <c:v>20.309999999999999</c:v>
                </c:pt>
                <c:pt idx="132">
                  <c:v>19.89</c:v>
                </c:pt>
                <c:pt idx="133">
                  <c:v>19.18</c:v>
                </c:pt>
                <c:pt idx="134">
                  <c:v>19.18</c:v>
                </c:pt>
                <c:pt idx="135">
                  <c:v>18.934999999999999</c:v>
                </c:pt>
                <c:pt idx="136">
                  <c:v>18.765000000000001</c:v>
                </c:pt>
                <c:pt idx="137">
                  <c:v>18.11</c:v>
                </c:pt>
                <c:pt idx="138">
                  <c:v>18.174999999999997</c:v>
                </c:pt>
                <c:pt idx="139">
                  <c:v>18.34</c:v>
                </c:pt>
                <c:pt idx="140">
                  <c:v>18.16</c:v>
                </c:pt>
                <c:pt idx="141">
                  <c:v>18.814999999999998</c:v>
                </c:pt>
                <c:pt idx="142">
                  <c:v>19.495000000000001</c:v>
                </c:pt>
                <c:pt idx="143">
                  <c:v>19.11</c:v>
                </c:pt>
                <c:pt idx="144">
                  <c:v>18.899999999999999</c:v>
                </c:pt>
                <c:pt idx="145">
                  <c:v>18.66</c:v>
                </c:pt>
                <c:pt idx="146">
                  <c:v>19.03</c:v>
                </c:pt>
                <c:pt idx="147">
                  <c:v>18.645</c:v>
                </c:pt>
                <c:pt idx="148">
                  <c:v>19.96</c:v>
                </c:pt>
                <c:pt idx="149">
                  <c:v>20.14</c:v>
                </c:pt>
                <c:pt idx="150">
                  <c:v>20.535</c:v>
                </c:pt>
                <c:pt idx="151">
                  <c:v>21.015000000000001</c:v>
                </c:pt>
                <c:pt idx="152">
                  <c:v>21.11</c:v>
                </c:pt>
                <c:pt idx="153">
                  <c:v>20.914999999999999</c:v>
                </c:pt>
                <c:pt idx="154">
                  <c:v>21.700000000000003</c:v>
                </c:pt>
                <c:pt idx="155">
                  <c:v>22.655000000000001</c:v>
                </c:pt>
                <c:pt idx="156">
                  <c:v>22.799999999999997</c:v>
                </c:pt>
                <c:pt idx="157">
                  <c:v>23.22</c:v>
                </c:pt>
                <c:pt idx="158">
                  <c:v>22.414999999999999</c:v>
                </c:pt>
                <c:pt idx="159">
                  <c:v>21.81</c:v>
                </c:pt>
                <c:pt idx="160">
                  <c:v>22.28</c:v>
                </c:pt>
                <c:pt idx="161">
                  <c:v>22.72</c:v>
                </c:pt>
                <c:pt idx="162">
                  <c:v>23.285</c:v>
                </c:pt>
                <c:pt idx="163">
                  <c:v>23.63</c:v>
                </c:pt>
                <c:pt idx="164">
                  <c:v>23.39</c:v>
                </c:pt>
                <c:pt idx="165">
                  <c:v>22.89</c:v>
                </c:pt>
                <c:pt idx="166">
                  <c:v>22.6</c:v>
                </c:pt>
                <c:pt idx="167">
                  <c:v>23.255000000000003</c:v>
                </c:pt>
                <c:pt idx="168">
                  <c:v>23.204999999999998</c:v>
                </c:pt>
                <c:pt idx="169">
                  <c:v>23.310000000000002</c:v>
                </c:pt>
                <c:pt idx="170">
                  <c:v>22.95</c:v>
                </c:pt>
                <c:pt idx="171">
                  <c:v>22.645000000000003</c:v>
                </c:pt>
                <c:pt idx="172">
                  <c:v>22.545000000000002</c:v>
                </c:pt>
                <c:pt idx="173">
                  <c:v>23.09</c:v>
                </c:pt>
                <c:pt idx="174">
                  <c:v>23.05</c:v>
                </c:pt>
                <c:pt idx="175">
                  <c:v>22.87</c:v>
                </c:pt>
                <c:pt idx="176">
                  <c:v>22.185000000000002</c:v>
                </c:pt>
                <c:pt idx="177">
                  <c:v>22.509999999999998</c:v>
                </c:pt>
                <c:pt idx="178">
                  <c:v>22.175000000000001</c:v>
                </c:pt>
                <c:pt idx="179">
                  <c:v>22.164999999999999</c:v>
                </c:pt>
                <c:pt idx="180">
                  <c:v>22.82</c:v>
                </c:pt>
                <c:pt idx="181">
                  <c:v>23.134999999999998</c:v>
                </c:pt>
                <c:pt idx="182">
                  <c:v>23.62</c:v>
                </c:pt>
                <c:pt idx="183">
                  <c:v>23.625</c:v>
                </c:pt>
                <c:pt idx="184">
                  <c:v>23.535</c:v>
                </c:pt>
                <c:pt idx="185">
                  <c:v>23.414999999999999</c:v>
                </c:pt>
                <c:pt idx="186">
                  <c:v>23.57</c:v>
                </c:pt>
                <c:pt idx="187">
                  <c:v>24.39</c:v>
                </c:pt>
                <c:pt idx="188">
                  <c:v>25.174999999999997</c:v>
                </c:pt>
                <c:pt idx="189">
                  <c:v>25.240000000000002</c:v>
                </c:pt>
                <c:pt idx="190">
                  <c:v>24.66</c:v>
                </c:pt>
                <c:pt idx="191">
                  <c:v>23.645</c:v>
                </c:pt>
                <c:pt idx="192">
                  <c:v>23.674999999999997</c:v>
                </c:pt>
                <c:pt idx="193">
                  <c:v>24.164999999999999</c:v>
                </c:pt>
                <c:pt idx="194">
                  <c:v>24.115000000000002</c:v>
                </c:pt>
                <c:pt idx="195">
                  <c:v>23.615000000000002</c:v>
                </c:pt>
                <c:pt idx="196">
                  <c:v>23.03</c:v>
                </c:pt>
                <c:pt idx="197">
                  <c:v>22.89</c:v>
                </c:pt>
                <c:pt idx="198">
                  <c:v>22.755000000000003</c:v>
                </c:pt>
                <c:pt idx="199">
                  <c:v>22.875</c:v>
                </c:pt>
                <c:pt idx="200">
                  <c:v>22.515000000000001</c:v>
                </c:pt>
                <c:pt idx="201">
                  <c:v>23.060000000000002</c:v>
                </c:pt>
                <c:pt idx="202">
                  <c:v>23.344999999999999</c:v>
                </c:pt>
                <c:pt idx="203">
                  <c:v>23.984999999999999</c:v>
                </c:pt>
                <c:pt idx="204">
                  <c:v>24.185000000000002</c:v>
                </c:pt>
                <c:pt idx="205">
                  <c:v>23.58</c:v>
                </c:pt>
                <c:pt idx="206">
                  <c:v>23.25</c:v>
                </c:pt>
                <c:pt idx="207">
                  <c:v>23.164999999999999</c:v>
                </c:pt>
                <c:pt idx="208">
                  <c:v>23.08</c:v>
                </c:pt>
                <c:pt idx="209">
                  <c:v>23.28</c:v>
                </c:pt>
                <c:pt idx="210">
                  <c:v>23.619999999999997</c:v>
                </c:pt>
                <c:pt idx="211">
                  <c:v>24.215</c:v>
                </c:pt>
                <c:pt idx="212">
                  <c:v>24.785</c:v>
                </c:pt>
                <c:pt idx="213">
                  <c:v>25.134999999999998</c:v>
                </c:pt>
                <c:pt idx="214">
                  <c:v>25.21</c:v>
                </c:pt>
                <c:pt idx="215">
                  <c:v>25.305</c:v>
                </c:pt>
                <c:pt idx="216">
                  <c:v>25.045000000000002</c:v>
                </c:pt>
                <c:pt idx="217">
                  <c:v>24.66</c:v>
                </c:pt>
                <c:pt idx="218">
                  <c:v>24.175000000000001</c:v>
                </c:pt>
                <c:pt idx="219">
                  <c:v>24.035</c:v>
                </c:pt>
                <c:pt idx="220">
                  <c:v>23.8</c:v>
                </c:pt>
                <c:pt idx="221">
                  <c:v>23.585000000000001</c:v>
                </c:pt>
                <c:pt idx="222">
                  <c:v>24.1</c:v>
                </c:pt>
                <c:pt idx="223">
                  <c:v>24.17</c:v>
                </c:pt>
                <c:pt idx="224">
                  <c:v>24.305</c:v>
                </c:pt>
                <c:pt idx="225">
                  <c:v>24.755000000000003</c:v>
                </c:pt>
                <c:pt idx="226">
                  <c:v>24.17</c:v>
                </c:pt>
                <c:pt idx="227">
                  <c:v>23.42</c:v>
                </c:pt>
                <c:pt idx="228">
                  <c:v>22.82</c:v>
                </c:pt>
                <c:pt idx="229">
                  <c:v>22.335000000000001</c:v>
                </c:pt>
                <c:pt idx="230">
                  <c:v>21.995000000000001</c:v>
                </c:pt>
                <c:pt idx="231">
                  <c:v>21.575000000000003</c:v>
                </c:pt>
                <c:pt idx="232">
                  <c:v>21.765000000000001</c:v>
                </c:pt>
                <c:pt idx="233">
                  <c:v>21.715</c:v>
                </c:pt>
                <c:pt idx="234">
                  <c:v>21.83</c:v>
                </c:pt>
                <c:pt idx="235">
                  <c:v>21.975000000000001</c:v>
                </c:pt>
                <c:pt idx="236">
                  <c:v>22.094999999999999</c:v>
                </c:pt>
                <c:pt idx="237">
                  <c:v>22.795000000000002</c:v>
                </c:pt>
                <c:pt idx="238">
                  <c:v>22.585000000000001</c:v>
                </c:pt>
                <c:pt idx="239">
                  <c:v>22.454999999999998</c:v>
                </c:pt>
                <c:pt idx="240">
                  <c:v>21.78</c:v>
                </c:pt>
                <c:pt idx="241">
                  <c:v>21.355</c:v>
                </c:pt>
                <c:pt idx="242">
                  <c:v>21.215</c:v>
                </c:pt>
                <c:pt idx="243">
                  <c:v>21.484999999999999</c:v>
                </c:pt>
                <c:pt idx="244">
                  <c:v>21.594999999999999</c:v>
                </c:pt>
                <c:pt idx="245">
                  <c:v>21.185000000000002</c:v>
                </c:pt>
                <c:pt idx="246">
                  <c:v>20.734999999999999</c:v>
                </c:pt>
                <c:pt idx="247">
                  <c:v>20.05</c:v>
                </c:pt>
                <c:pt idx="248">
                  <c:v>19.105</c:v>
                </c:pt>
                <c:pt idx="249">
                  <c:v>18.465</c:v>
                </c:pt>
                <c:pt idx="250">
                  <c:v>17.035</c:v>
                </c:pt>
                <c:pt idx="251">
                  <c:v>17.130000000000003</c:v>
                </c:pt>
                <c:pt idx="252">
                  <c:v>17.62</c:v>
                </c:pt>
                <c:pt idx="253">
                  <c:v>17.21</c:v>
                </c:pt>
                <c:pt idx="254">
                  <c:v>17.195</c:v>
                </c:pt>
                <c:pt idx="255">
                  <c:v>17.145</c:v>
                </c:pt>
                <c:pt idx="256">
                  <c:v>16.91</c:v>
                </c:pt>
                <c:pt idx="257">
                  <c:v>16.575000000000003</c:v>
                </c:pt>
                <c:pt idx="258">
                  <c:v>16.074999999999999</c:v>
                </c:pt>
                <c:pt idx="259">
                  <c:v>15.030000000000001</c:v>
                </c:pt>
                <c:pt idx="260">
                  <c:v>14.690000000000001</c:v>
                </c:pt>
                <c:pt idx="261">
                  <c:v>14.46</c:v>
                </c:pt>
                <c:pt idx="262">
                  <c:v>14.774999999999999</c:v>
                </c:pt>
                <c:pt idx="263">
                  <c:v>15.195</c:v>
                </c:pt>
                <c:pt idx="264">
                  <c:v>15.27</c:v>
                </c:pt>
                <c:pt idx="265">
                  <c:v>15.305</c:v>
                </c:pt>
                <c:pt idx="266">
                  <c:v>15.275</c:v>
                </c:pt>
                <c:pt idx="267">
                  <c:v>15.620000000000001</c:v>
                </c:pt>
                <c:pt idx="268">
                  <c:v>15.245000000000001</c:v>
                </c:pt>
                <c:pt idx="269">
                  <c:v>15.125</c:v>
                </c:pt>
                <c:pt idx="270">
                  <c:v>15.035</c:v>
                </c:pt>
                <c:pt idx="271">
                  <c:v>14.83</c:v>
                </c:pt>
                <c:pt idx="272">
                  <c:v>14.895</c:v>
                </c:pt>
                <c:pt idx="273">
                  <c:v>14.574999999999999</c:v>
                </c:pt>
                <c:pt idx="274">
                  <c:v>14.7</c:v>
                </c:pt>
                <c:pt idx="275">
                  <c:v>14.29</c:v>
                </c:pt>
                <c:pt idx="276">
                  <c:v>14.395</c:v>
                </c:pt>
                <c:pt idx="277">
                  <c:v>14.530000000000001</c:v>
                </c:pt>
                <c:pt idx="278">
                  <c:v>14.705</c:v>
                </c:pt>
                <c:pt idx="279">
                  <c:v>14.469999999999999</c:v>
                </c:pt>
                <c:pt idx="280">
                  <c:v>14.535</c:v>
                </c:pt>
                <c:pt idx="281">
                  <c:v>14.1</c:v>
                </c:pt>
                <c:pt idx="282">
                  <c:v>14.66</c:v>
                </c:pt>
                <c:pt idx="283">
                  <c:v>14.574999999999999</c:v>
                </c:pt>
                <c:pt idx="284">
                  <c:v>14.484999999999999</c:v>
                </c:pt>
                <c:pt idx="285">
                  <c:v>14.495000000000001</c:v>
                </c:pt>
                <c:pt idx="286">
                  <c:v>14.690000000000001</c:v>
                </c:pt>
                <c:pt idx="287">
                  <c:v>14.79</c:v>
                </c:pt>
                <c:pt idx="288">
                  <c:v>14.745000000000001</c:v>
                </c:pt>
                <c:pt idx="289">
                  <c:v>15.004999999999999</c:v>
                </c:pt>
                <c:pt idx="290">
                  <c:v>15.095000000000001</c:v>
                </c:pt>
                <c:pt idx="291">
                  <c:v>15.41</c:v>
                </c:pt>
                <c:pt idx="292">
                  <c:v>15.06</c:v>
                </c:pt>
                <c:pt idx="293">
                  <c:v>14.61</c:v>
                </c:pt>
                <c:pt idx="294">
                  <c:v>14.61</c:v>
                </c:pt>
                <c:pt idx="295">
                  <c:v>13.645</c:v>
                </c:pt>
                <c:pt idx="296">
                  <c:v>13.885</c:v>
                </c:pt>
                <c:pt idx="297">
                  <c:v>13.08</c:v>
                </c:pt>
                <c:pt idx="298">
                  <c:v>12.824999999999999</c:v>
                </c:pt>
                <c:pt idx="299">
                  <c:v>12.34</c:v>
                </c:pt>
                <c:pt idx="300">
                  <c:v>12.234999999999999</c:v>
                </c:pt>
                <c:pt idx="301">
                  <c:v>12.379999999999999</c:v>
                </c:pt>
                <c:pt idx="302">
                  <c:v>12.254999999999999</c:v>
                </c:pt>
                <c:pt idx="303">
                  <c:v>12.19</c:v>
                </c:pt>
                <c:pt idx="304">
                  <c:v>12.11</c:v>
                </c:pt>
                <c:pt idx="305">
                  <c:v>12.04</c:v>
                </c:pt>
                <c:pt idx="306">
                  <c:v>11.76</c:v>
                </c:pt>
                <c:pt idx="307">
                  <c:v>11.43</c:v>
                </c:pt>
                <c:pt idx="308">
                  <c:v>11.555</c:v>
                </c:pt>
                <c:pt idx="309">
                  <c:v>11.045</c:v>
                </c:pt>
                <c:pt idx="310">
                  <c:v>10.515000000000001</c:v>
                </c:pt>
                <c:pt idx="311">
                  <c:v>10.234999999999999</c:v>
                </c:pt>
                <c:pt idx="312">
                  <c:v>9.1050000000000004</c:v>
                </c:pt>
                <c:pt idx="313">
                  <c:v>9.15</c:v>
                </c:pt>
                <c:pt idx="314">
                  <c:v>8.379999999999999</c:v>
                </c:pt>
                <c:pt idx="315">
                  <c:v>8.0649999999999995</c:v>
                </c:pt>
                <c:pt idx="316">
                  <c:v>8.6649999999999991</c:v>
                </c:pt>
                <c:pt idx="317">
                  <c:v>8.7200000000000006</c:v>
                </c:pt>
                <c:pt idx="318">
                  <c:v>8.5400000000000009</c:v>
                </c:pt>
                <c:pt idx="319">
                  <c:v>8.48</c:v>
                </c:pt>
                <c:pt idx="320">
                  <c:v>8.6950000000000003</c:v>
                </c:pt>
                <c:pt idx="321">
                  <c:v>8.504999999999999</c:v>
                </c:pt>
                <c:pt idx="322">
                  <c:v>8.5500000000000007</c:v>
                </c:pt>
                <c:pt idx="323">
                  <c:v>8.3699999999999992</c:v>
                </c:pt>
                <c:pt idx="324">
                  <c:v>8.3150000000000013</c:v>
                </c:pt>
                <c:pt idx="325">
                  <c:v>7.48</c:v>
                </c:pt>
                <c:pt idx="326">
                  <c:v>7.5749999999999993</c:v>
                </c:pt>
                <c:pt idx="327">
                  <c:v>6.5449999999999999</c:v>
                </c:pt>
                <c:pt idx="328">
                  <c:v>6.74</c:v>
                </c:pt>
                <c:pt idx="329">
                  <c:v>7.2149999999999999</c:v>
                </c:pt>
                <c:pt idx="330">
                  <c:v>7.31</c:v>
                </c:pt>
                <c:pt idx="331">
                  <c:v>6.5949999999999998</c:v>
                </c:pt>
                <c:pt idx="332">
                  <c:v>5.5049999999999999</c:v>
                </c:pt>
                <c:pt idx="333">
                  <c:v>5.8599999999999994</c:v>
                </c:pt>
                <c:pt idx="334">
                  <c:v>5.15</c:v>
                </c:pt>
                <c:pt idx="335">
                  <c:v>4.66</c:v>
                </c:pt>
                <c:pt idx="336">
                  <c:v>4.3599999999999994</c:v>
                </c:pt>
                <c:pt idx="337">
                  <c:v>4.0500000000000007</c:v>
                </c:pt>
                <c:pt idx="338">
                  <c:v>3.7149999999999999</c:v>
                </c:pt>
                <c:pt idx="339">
                  <c:v>3.2199999999999998</c:v>
                </c:pt>
                <c:pt idx="340">
                  <c:v>2.8650000000000002</c:v>
                </c:pt>
                <c:pt idx="341">
                  <c:v>4.3150000000000004</c:v>
                </c:pt>
                <c:pt idx="342">
                  <c:v>4.68</c:v>
                </c:pt>
                <c:pt idx="343">
                  <c:v>4.88</c:v>
                </c:pt>
                <c:pt idx="344">
                  <c:v>6.1850000000000005</c:v>
                </c:pt>
                <c:pt idx="345">
                  <c:v>6.0950000000000006</c:v>
                </c:pt>
                <c:pt idx="346">
                  <c:v>6.8049999999999997</c:v>
                </c:pt>
                <c:pt idx="347">
                  <c:v>7.2449999999999992</c:v>
                </c:pt>
                <c:pt idx="348">
                  <c:v>7.3250000000000002</c:v>
                </c:pt>
                <c:pt idx="349">
                  <c:v>7.18</c:v>
                </c:pt>
                <c:pt idx="350">
                  <c:v>7.2949999999999999</c:v>
                </c:pt>
                <c:pt idx="351">
                  <c:v>7.75</c:v>
                </c:pt>
                <c:pt idx="352">
                  <c:v>7.44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A3-4357-992C-645A4FA01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6608464"/>
        <c:axId val="2056603056"/>
      </c:lineChart>
      <c:dateAx>
        <c:axId val="2056608464"/>
        <c:scaling>
          <c:orientation val="minMax"/>
          <c:min val="4456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6603056"/>
        <c:crosses val="autoZero"/>
        <c:auto val="1"/>
        <c:lblOffset val="100"/>
        <c:baseTimeUnit val="days"/>
        <c:majorUnit val="1"/>
        <c:majorTimeUnit val="months"/>
      </c:dateAx>
      <c:valAx>
        <c:axId val="205660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660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Haarvaten Polders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CURVE_Haarvaten_obv_Kooijpolder!$D$4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CURVE_Haarvaten_obv_Kooijpolder!$C$5:$C$357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44687</c:v>
                </c:pt>
                <c:pt idx="114">
                  <c:v>44688</c:v>
                </c:pt>
                <c:pt idx="115">
                  <c:v>44689</c:v>
                </c:pt>
                <c:pt idx="116">
                  <c:v>44690</c:v>
                </c:pt>
                <c:pt idx="117">
                  <c:v>44691</c:v>
                </c:pt>
                <c:pt idx="118">
                  <c:v>44692</c:v>
                </c:pt>
                <c:pt idx="119">
                  <c:v>44693</c:v>
                </c:pt>
                <c:pt idx="120">
                  <c:v>44694</c:v>
                </c:pt>
                <c:pt idx="121">
                  <c:v>44695</c:v>
                </c:pt>
                <c:pt idx="122">
                  <c:v>44696</c:v>
                </c:pt>
                <c:pt idx="123">
                  <c:v>44697</c:v>
                </c:pt>
                <c:pt idx="124">
                  <c:v>44698</c:v>
                </c:pt>
                <c:pt idx="125">
                  <c:v>44699</c:v>
                </c:pt>
                <c:pt idx="126">
                  <c:v>44700</c:v>
                </c:pt>
                <c:pt idx="127">
                  <c:v>44701</c:v>
                </c:pt>
                <c:pt idx="128">
                  <c:v>44702</c:v>
                </c:pt>
                <c:pt idx="129">
                  <c:v>44703</c:v>
                </c:pt>
                <c:pt idx="130">
                  <c:v>44704</c:v>
                </c:pt>
                <c:pt idx="131">
                  <c:v>44705</c:v>
                </c:pt>
                <c:pt idx="132">
                  <c:v>44706</c:v>
                </c:pt>
                <c:pt idx="133">
                  <c:v>44707</c:v>
                </c:pt>
                <c:pt idx="134">
                  <c:v>44708</c:v>
                </c:pt>
                <c:pt idx="135">
                  <c:v>44709</c:v>
                </c:pt>
                <c:pt idx="136">
                  <c:v>44710</c:v>
                </c:pt>
                <c:pt idx="137">
                  <c:v>44711</c:v>
                </c:pt>
                <c:pt idx="138">
                  <c:v>44712</c:v>
                </c:pt>
                <c:pt idx="139">
                  <c:v>44713</c:v>
                </c:pt>
                <c:pt idx="140">
                  <c:v>44714</c:v>
                </c:pt>
                <c:pt idx="141">
                  <c:v>44715</c:v>
                </c:pt>
                <c:pt idx="142">
                  <c:v>44716</c:v>
                </c:pt>
                <c:pt idx="143">
                  <c:v>44717</c:v>
                </c:pt>
                <c:pt idx="144">
                  <c:v>44718</c:v>
                </c:pt>
                <c:pt idx="145">
                  <c:v>44719</c:v>
                </c:pt>
                <c:pt idx="146">
                  <c:v>44720</c:v>
                </c:pt>
                <c:pt idx="147">
                  <c:v>44721</c:v>
                </c:pt>
                <c:pt idx="148">
                  <c:v>44722</c:v>
                </c:pt>
                <c:pt idx="149">
                  <c:v>44723</c:v>
                </c:pt>
                <c:pt idx="150">
                  <c:v>44724</c:v>
                </c:pt>
                <c:pt idx="151">
                  <c:v>44725</c:v>
                </c:pt>
                <c:pt idx="152">
                  <c:v>44726</c:v>
                </c:pt>
                <c:pt idx="153">
                  <c:v>44727</c:v>
                </c:pt>
                <c:pt idx="154">
                  <c:v>44728</c:v>
                </c:pt>
                <c:pt idx="155">
                  <c:v>44729</c:v>
                </c:pt>
                <c:pt idx="156">
                  <c:v>44730</c:v>
                </c:pt>
                <c:pt idx="157">
                  <c:v>44731</c:v>
                </c:pt>
                <c:pt idx="158">
                  <c:v>44732</c:v>
                </c:pt>
                <c:pt idx="159">
                  <c:v>44733</c:v>
                </c:pt>
                <c:pt idx="160">
                  <c:v>44734</c:v>
                </c:pt>
                <c:pt idx="161">
                  <c:v>44735</c:v>
                </c:pt>
                <c:pt idx="162">
                  <c:v>44736</c:v>
                </c:pt>
                <c:pt idx="163">
                  <c:v>44737</c:v>
                </c:pt>
                <c:pt idx="164">
                  <c:v>44738</c:v>
                </c:pt>
                <c:pt idx="165">
                  <c:v>44739</c:v>
                </c:pt>
                <c:pt idx="166">
                  <c:v>44740</c:v>
                </c:pt>
                <c:pt idx="167">
                  <c:v>44741</c:v>
                </c:pt>
                <c:pt idx="168">
                  <c:v>44742</c:v>
                </c:pt>
                <c:pt idx="169">
                  <c:v>44743</c:v>
                </c:pt>
                <c:pt idx="170">
                  <c:v>44744</c:v>
                </c:pt>
                <c:pt idx="171">
                  <c:v>44745</c:v>
                </c:pt>
                <c:pt idx="172">
                  <c:v>44746</c:v>
                </c:pt>
                <c:pt idx="173">
                  <c:v>44747</c:v>
                </c:pt>
                <c:pt idx="174">
                  <c:v>44748</c:v>
                </c:pt>
                <c:pt idx="175">
                  <c:v>44749</c:v>
                </c:pt>
                <c:pt idx="176">
                  <c:v>44750</c:v>
                </c:pt>
                <c:pt idx="177">
                  <c:v>44751</c:v>
                </c:pt>
                <c:pt idx="178">
                  <c:v>44752</c:v>
                </c:pt>
                <c:pt idx="179">
                  <c:v>44753</c:v>
                </c:pt>
                <c:pt idx="180">
                  <c:v>44754</c:v>
                </c:pt>
                <c:pt idx="181">
                  <c:v>44755</c:v>
                </c:pt>
                <c:pt idx="182">
                  <c:v>44756</c:v>
                </c:pt>
                <c:pt idx="183">
                  <c:v>44757</c:v>
                </c:pt>
                <c:pt idx="184">
                  <c:v>44758</c:v>
                </c:pt>
                <c:pt idx="185">
                  <c:v>44759</c:v>
                </c:pt>
                <c:pt idx="186">
                  <c:v>44760</c:v>
                </c:pt>
                <c:pt idx="187">
                  <c:v>44761</c:v>
                </c:pt>
                <c:pt idx="188">
                  <c:v>44762</c:v>
                </c:pt>
                <c:pt idx="189">
                  <c:v>44763</c:v>
                </c:pt>
                <c:pt idx="190">
                  <c:v>44764</c:v>
                </c:pt>
                <c:pt idx="191">
                  <c:v>44765</c:v>
                </c:pt>
                <c:pt idx="192">
                  <c:v>44766</c:v>
                </c:pt>
                <c:pt idx="193">
                  <c:v>44767</c:v>
                </c:pt>
                <c:pt idx="194">
                  <c:v>44768</c:v>
                </c:pt>
                <c:pt idx="195">
                  <c:v>44769</c:v>
                </c:pt>
                <c:pt idx="196">
                  <c:v>44770</c:v>
                </c:pt>
                <c:pt idx="197">
                  <c:v>44771</c:v>
                </c:pt>
                <c:pt idx="198">
                  <c:v>44772</c:v>
                </c:pt>
                <c:pt idx="199">
                  <c:v>44773</c:v>
                </c:pt>
                <c:pt idx="200">
                  <c:v>44774</c:v>
                </c:pt>
                <c:pt idx="201">
                  <c:v>44775</c:v>
                </c:pt>
                <c:pt idx="202">
                  <c:v>44776</c:v>
                </c:pt>
                <c:pt idx="203">
                  <c:v>44777</c:v>
                </c:pt>
                <c:pt idx="204">
                  <c:v>44778</c:v>
                </c:pt>
                <c:pt idx="205">
                  <c:v>44779</c:v>
                </c:pt>
                <c:pt idx="206">
                  <c:v>44780</c:v>
                </c:pt>
                <c:pt idx="207">
                  <c:v>44781</c:v>
                </c:pt>
                <c:pt idx="208">
                  <c:v>44782</c:v>
                </c:pt>
                <c:pt idx="209">
                  <c:v>44783</c:v>
                </c:pt>
                <c:pt idx="210">
                  <c:v>44784</c:v>
                </c:pt>
                <c:pt idx="211">
                  <c:v>44785</c:v>
                </c:pt>
                <c:pt idx="212">
                  <c:v>44786</c:v>
                </c:pt>
                <c:pt idx="213">
                  <c:v>44787</c:v>
                </c:pt>
                <c:pt idx="214">
                  <c:v>44788</c:v>
                </c:pt>
                <c:pt idx="215">
                  <c:v>44789</c:v>
                </c:pt>
                <c:pt idx="216">
                  <c:v>44790</c:v>
                </c:pt>
                <c:pt idx="217">
                  <c:v>44791</c:v>
                </c:pt>
                <c:pt idx="218">
                  <c:v>44792</c:v>
                </c:pt>
                <c:pt idx="219">
                  <c:v>44793</c:v>
                </c:pt>
                <c:pt idx="220">
                  <c:v>44794</c:v>
                </c:pt>
                <c:pt idx="221">
                  <c:v>44795</c:v>
                </c:pt>
                <c:pt idx="222">
                  <c:v>44796</c:v>
                </c:pt>
                <c:pt idx="223">
                  <c:v>44797</c:v>
                </c:pt>
                <c:pt idx="224">
                  <c:v>44798</c:v>
                </c:pt>
                <c:pt idx="225">
                  <c:v>44799</c:v>
                </c:pt>
                <c:pt idx="226">
                  <c:v>44800</c:v>
                </c:pt>
                <c:pt idx="227">
                  <c:v>44801</c:v>
                </c:pt>
                <c:pt idx="228">
                  <c:v>44802</c:v>
                </c:pt>
                <c:pt idx="229">
                  <c:v>44803</c:v>
                </c:pt>
                <c:pt idx="230">
                  <c:v>44804</c:v>
                </c:pt>
                <c:pt idx="231">
                  <c:v>44805</c:v>
                </c:pt>
                <c:pt idx="232">
                  <c:v>44806</c:v>
                </c:pt>
                <c:pt idx="233">
                  <c:v>44807</c:v>
                </c:pt>
                <c:pt idx="234">
                  <c:v>44808</c:v>
                </c:pt>
                <c:pt idx="235">
                  <c:v>44809</c:v>
                </c:pt>
                <c:pt idx="236">
                  <c:v>44810</c:v>
                </c:pt>
                <c:pt idx="237">
                  <c:v>44811</c:v>
                </c:pt>
                <c:pt idx="238">
                  <c:v>44812</c:v>
                </c:pt>
                <c:pt idx="239">
                  <c:v>44813</c:v>
                </c:pt>
                <c:pt idx="240">
                  <c:v>44814</c:v>
                </c:pt>
                <c:pt idx="241">
                  <c:v>44815</c:v>
                </c:pt>
                <c:pt idx="242">
                  <c:v>44816</c:v>
                </c:pt>
                <c:pt idx="243">
                  <c:v>44817</c:v>
                </c:pt>
                <c:pt idx="244">
                  <c:v>44818</c:v>
                </c:pt>
                <c:pt idx="245">
                  <c:v>44819</c:v>
                </c:pt>
                <c:pt idx="246">
                  <c:v>44820</c:v>
                </c:pt>
                <c:pt idx="247">
                  <c:v>44821</c:v>
                </c:pt>
                <c:pt idx="248">
                  <c:v>44822</c:v>
                </c:pt>
                <c:pt idx="249">
                  <c:v>44823</c:v>
                </c:pt>
                <c:pt idx="250">
                  <c:v>44824</c:v>
                </c:pt>
                <c:pt idx="251">
                  <c:v>44825</c:v>
                </c:pt>
                <c:pt idx="252">
                  <c:v>44826</c:v>
                </c:pt>
                <c:pt idx="253">
                  <c:v>44827</c:v>
                </c:pt>
                <c:pt idx="254">
                  <c:v>44828</c:v>
                </c:pt>
                <c:pt idx="255">
                  <c:v>44829</c:v>
                </c:pt>
                <c:pt idx="256">
                  <c:v>44830</c:v>
                </c:pt>
                <c:pt idx="257">
                  <c:v>44831</c:v>
                </c:pt>
                <c:pt idx="258">
                  <c:v>44832</c:v>
                </c:pt>
                <c:pt idx="259">
                  <c:v>44833</c:v>
                </c:pt>
                <c:pt idx="260">
                  <c:v>44834</c:v>
                </c:pt>
                <c:pt idx="261">
                  <c:v>44835</c:v>
                </c:pt>
                <c:pt idx="262">
                  <c:v>44836</c:v>
                </c:pt>
                <c:pt idx="263">
                  <c:v>44837</c:v>
                </c:pt>
                <c:pt idx="264">
                  <c:v>44838</c:v>
                </c:pt>
                <c:pt idx="265">
                  <c:v>44839</c:v>
                </c:pt>
                <c:pt idx="266">
                  <c:v>44840</c:v>
                </c:pt>
                <c:pt idx="267">
                  <c:v>44841</c:v>
                </c:pt>
                <c:pt idx="268">
                  <c:v>44842</c:v>
                </c:pt>
                <c:pt idx="269">
                  <c:v>44843</c:v>
                </c:pt>
                <c:pt idx="270">
                  <c:v>44844</c:v>
                </c:pt>
                <c:pt idx="271">
                  <c:v>44845</c:v>
                </c:pt>
                <c:pt idx="272">
                  <c:v>44846</c:v>
                </c:pt>
                <c:pt idx="273">
                  <c:v>44847</c:v>
                </c:pt>
                <c:pt idx="274">
                  <c:v>44848</c:v>
                </c:pt>
                <c:pt idx="275">
                  <c:v>44849</c:v>
                </c:pt>
                <c:pt idx="276">
                  <c:v>44850</c:v>
                </c:pt>
                <c:pt idx="277">
                  <c:v>44851</c:v>
                </c:pt>
                <c:pt idx="278">
                  <c:v>44852</c:v>
                </c:pt>
                <c:pt idx="279">
                  <c:v>44853</c:v>
                </c:pt>
                <c:pt idx="280">
                  <c:v>44854</c:v>
                </c:pt>
                <c:pt idx="281">
                  <c:v>44855</c:v>
                </c:pt>
                <c:pt idx="282">
                  <c:v>44856</c:v>
                </c:pt>
                <c:pt idx="283">
                  <c:v>44857</c:v>
                </c:pt>
                <c:pt idx="284">
                  <c:v>44858</c:v>
                </c:pt>
                <c:pt idx="285">
                  <c:v>44859</c:v>
                </c:pt>
                <c:pt idx="286">
                  <c:v>44860</c:v>
                </c:pt>
                <c:pt idx="287">
                  <c:v>44861</c:v>
                </c:pt>
                <c:pt idx="288">
                  <c:v>44862</c:v>
                </c:pt>
                <c:pt idx="289">
                  <c:v>44863</c:v>
                </c:pt>
                <c:pt idx="290">
                  <c:v>44864</c:v>
                </c:pt>
                <c:pt idx="291">
                  <c:v>44865</c:v>
                </c:pt>
                <c:pt idx="292">
                  <c:v>44866</c:v>
                </c:pt>
                <c:pt idx="293">
                  <c:v>44867</c:v>
                </c:pt>
                <c:pt idx="294">
                  <c:v>44868</c:v>
                </c:pt>
                <c:pt idx="295">
                  <c:v>44869</c:v>
                </c:pt>
                <c:pt idx="296">
                  <c:v>44870</c:v>
                </c:pt>
                <c:pt idx="297">
                  <c:v>44871</c:v>
                </c:pt>
                <c:pt idx="298">
                  <c:v>44872</c:v>
                </c:pt>
                <c:pt idx="299">
                  <c:v>44873</c:v>
                </c:pt>
                <c:pt idx="300">
                  <c:v>44874</c:v>
                </c:pt>
                <c:pt idx="301">
                  <c:v>44875</c:v>
                </c:pt>
                <c:pt idx="302">
                  <c:v>44876</c:v>
                </c:pt>
                <c:pt idx="303">
                  <c:v>44877</c:v>
                </c:pt>
                <c:pt idx="304">
                  <c:v>44878</c:v>
                </c:pt>
                <c:pt idx="305">
                  <c:v>44879</c:v>
                </c:pt>
                <c:pt idx="306">
                  <c:v>44880</c:v>
                </c:pt>
                <c:pt idx="307">
                  <c:v>44881</c:v>
                </c:pt>
                <c:pt idx="308">
                  <c:v>44882</c:v>
                </c:pt>
                <c:pt idx="309">
                  <c:v>44883</c:v>
                </c:pt>
                <c:pt idx="310">
                  <c:v>44884</c:v>
                </c:pt>
                <c:pt idx="311">
                  <c:v>44885</c:v>
                </c:pt>
                <c:pt idx="312">
                  <c:v>44886</c:v>
                </c:pt>
                <c:pt idx="313">
                  <c:v>44887</c:v>
                </c:pt>
                <c:pt idx="314">
                  <c:v>44888</c:v>
                </c:pt>
                <c:pt idx="315">
                  <c:v>44889</c:v>
                </c:pt>
                <c:pt idx="316">
                  <c:v>44890</c:v>
                </c:pt>
                <c:pt idx="317">
                  <c:v>44891</c:v>
                </c:pt>
                <c:pt idx="318">
                  <c:v>44892</c:v>
                </c:pt>
                <c:pt idx="319">
                  <c:v>44893</c:v>
                </c:pt>
                <c:pt idx="320">
                  <c:v>44894</c:v>
                </c:pt>
                <c:pt idx="321">
                  <c:v>44895</c:v>
                </c:pt>
                <c:pt idx="322">
                  <c:v>44896</c:v>
                </c:pt>
                <c:pt idx="323">
                  <c:v>44897</c:v>
                </c:pt>
                <c:pt idx="324">
                  <c:v>44898</c:v>
                </c:pt>
                <c:pt idx="325">
                  <c:v>44899</c:v>
                </c:pt>
                <c:pt idx="326">
                  <c:v>44900</c:v>
                </c:pt>
                <c:pt idx="327">
                  <c:v>44901</c:v>
                </c:pt>
                <c:pt idx="328">
                  <c:v>44902</c:v>
                </c:pt>
                <c:pt idx="329">
                  <c:v>44903</c:v>
                </c:pt>
                <c:pt idx="330">
                  <c:v>44904</c:v>
                </c:pt>
                <c:pt idx="331">
                  <c:v>44905</c:v>
                </c:pt>
                <c:pt idx="332">
                  <c:v>44906</c:v>
                </c:pt>
                <c:pt idx="333">
                  <c:v>44907</c:v>
                </c:pt>
                <c:pt idx="334">
                  <c:v>44908</c:v>
                </c:pt>
                <c:pt idx="335">
                  <c:v>44909</c:v>
                </c:pt>
                <c:pt idx="336">
                  <c:v>44910</c:v>
                </c:pt>
                <c:pt idx="337">
                  <c:v>44911</c:v>
                </c:pt>
                <c:pt idx="338">
                  <c:v>44912</c:v>
                </c:pt>
                <c:pt idx="339">
                  <c:v>44913</c:v>
                </c:pt>
                <c:pt idx="340">
                  <c:v>44914</c:v>
                </c:pt>
                <c:pt idx="341">
                  <c:v>44915</c:v>
                </c:pt>
                <c:pt idx="342">
                  <c:v>44916</c:v>
                </c:pt>
                <c:pt idx="343">
                  <c:v>44917</c:v>
                </c:pt>
                <c:pt idx="344">
                  <c:v>44918</c:v>
                </c:pt>
                <c:pt idx="345">
                  <c:v>44919</c:v>
                </c:pt>
                <c:pt idx="346">
                  <c:v>44920</c:v>
                </c:pt>
                <c:pt idx="347">
                  <c:v>44921</c:v>
                </c:pt>
                <c:pt idx="348">
                  <c:v>44922</c:v>
                </c:pt>
                <c:pt idx="349">
                  <c:v>44923</c:v>
                </c:pt>
                <c:pt idx="350">
                  <c:v>44924</c:v>
                </c:pt>
                <c:pt idx="351">
                  <c:v>44925</c:v>
                </c:pt>
                <c:pt idx="352">
                  <c:v>44926</c:v>
                </c:pt>
              </c:numCache>
            </c:numRef>
          </c:cat>
          <c:val>
            <c:numRef>
              <c:f>CURVE_Haarvaten_obv_Kooijpolder!$D$5:$D$357</c:f>
              <c:numCache>
                <c:formatCode>General</c:formatCode>
                <c:ptCount val="353"/>
                <c:pt idx="0">
                  <c:v>4.5</c:v>
                </c:pt>
                <c:pt idx="1">
                  <c:v>6.1</c:v>
                </c:pt>
                <c:pt idx="2">
                  <c:v>5.0999999999999996</c:v>
                </c:pt>
                <c:pt idx="3">
                  <c:v>4.9000000000000004</c:v>
                </c:pt>
                <c:pt idx="4">
                  <c:v>5.4</c:v>
                </c:pt>
                <c:pt idx="5">
                  <c:v>6.8</c:v>
                </c:pt>
                <c:pt idx="6">
                  <c:v>4.5999999999999996</c:v>
                </c:pt>
                <c:pt idx="7">
                  <c:v>5.0999999999999996</c:v>
                </c:pt>
                <c:pt idx="8">
                  <c:v>4.0999999999999996</c:v>
                </c:pt>
                <c:pt idx="9">
                  <c:v>4.4000000000000004</c:v>
                </c:pt>
                <c:pt idx="10">
                  <c:v>5.4</c:v>
                </c:pt>
                <c:pt idx="11">
                  <c:v>6.2</c:v>
                </c:pt>
                <c:pt idx="12">
                  <c:v>5.6</c:v>
                </c:pt>
                <c:pt idx="13">
                  <c:v>4.5999999999999996</c:v>
                </c:pt>
                <c:pt idx="14">
                  <c:v>4.5</c:v>
                </c:pt>
                <c:pt idx="15">
                  <c:v>7.4</c:v>
                </c:pt>
                <c:pt idx="16">
                  <c:v>6.6</c:v>
                </c:pt>
                <c:pt idx="17">
                  <c:v>9.4</c:v>
                </c:pt>
                <c:pt idx="18">
                  <c:v>6.3</c:v>
                </c:pt>
                <c:pt idx="19">
                  <c:v>4.8</c:v>
                </c:pt>
                <c:pt idx="20">
                  <c:v>6.9</c:v>
                </c:pt>
                <c:pt idx="21">
                  <c:v>8.3000000000000007</c:v>
                </c:pt>
                <c:pt idx="22">
                  <c:v>7.6</c:v>
                </c:pt>
                <c:pt idx="23">
                  <c:v>7.3</c:v>
                </c:pt>
                <c:pt idx="24">
                  <c:v>6.7</c:v>
                </c:pt>
                <c:pt idx="25">
                  <c:v>7.8</c:v>
                </c:pt>
                <c:pt idx="26">
                  <c:v>7.1</c:v>
                </c:pt>
                <c:pt idx="27">
                  <c:v>9.6</c:v>
                </c:pt>
                <c:pt idx="28">
                  <c:v>9.6</c:v>
                </c:pt>
                <c:pt idx="29">
                  <c:v>8.4</c:v>
                </c:pt>
                <c:pt idx="30">
                  <c:v>6.7</c:v>
                </c:pt>
                <c:pt idx="31">
                  <c:v>5.6</c:v>
                </c:pt>
                <c:pt idx="32">
                  <c:v>5.8</c:v>
                </c:pt>
                <c:pt idx="33">
                  <c:v>9.6</c:v>
                </c:pt>
                <c:pt idx="34">
                  <c:v>8.1</c:v>
                </c:pt>
                <c:pt idx="35">
                  <c:v>9.6999999999999993</c:v>
                </c:pt>
                <c:pt idx="36">
                  <c:v>9.8000000000000007</c:v>
                </c:pt>
                <c:pt idx="37">
                  <c:v>8</c:v>
                </c:pt>
                <c:pt idx="38">
                  <c:v>6.6</c:v>
                </c:pt>
                <c:pt idx="39">
                  <c:v>8.4</c:v>
                </c:pt>
                <c:pt idx="40">
                  <c:v>7.4</c:v>
                </c:pt>
                <c:pt idx="41">
                  <c:v>7.4</c:v>
                </c:pt>
                <c:pt idx="42">
                  <c:v>9.5</c:v>
                </c:pt>
                <c:pt idx="43">
                  <c:v>7</c:v>
                </c:pt>
                <c:pt idx="44">
                  <c:v>7.5</c:v>
                </c:pt>
                <c:pt idx="45">
                  <c:v>9.1</c:v>
                </c:pt>
                <c:pt idx="46">
                  <c:v>8.6</c:v>
                </c:pt>
                <c:pt idx="47">
                  <c:v>8.4</c:v>
                </c:pt>
                <c:pt idx="48">
                  <c:v>5.7</c:v>
                </c:pt>
                <c:pt idx="49">
                  <c:v>10.6</c:v>
                </c:pt>
                <c:pt idx="50">
                  <c:v>10.5</c:v>
                </c:pt>
                <c:pt idx="51">
                  <c:v>10.1</c:v>
                </c:pt>
                <c:pt idx="52">
                  <c:v>9.6</c:v>
                </c:pt>
                <c:pt idx="53">
                  <c:v>8.4</c:v>
                </c:pt>
                <c:pt idx="54">
                  <c:v>10.1</c:v>
                </c:pt>
                <c:pt idx="55">
                  <c:v>9</c:v>
                </c:pt>
                <c:pt idx="56">
                  <c:v>11.1</c:v>
                </c:pt>
                <c:pt idx="57">
                  <c:v>12.4</c:v>
                </c:pt>
                <c:pt idx="58">
                  <c:v>12.4</c:v>
                </c:pt>
                <c:pt idx="59">
                  <c:v>12.4</c:v>
                </c:pt>
                <c:pt idx="60">
                  <c:v>15.3</c:v>
                </c:pt>
                <c:pt idx="61">
                  <c:v>14.8</c:v>
                </c:pt>
                <c:pt idx="62">
                  <c:v>16</c:v>
                </c:pt>
                <c:pt idx="63">
                  <c:v>12.4</c:v>
                </c:pt>
                <c:pt idx="64">
                  <c:v>14.3</c:v>
                </c:pt>
                <c:pt idx="65">
                  <c:v>16.3</c:v>
                </c:pt>
                <c:pt idx="66">
                  <c:v>14.1</c:v>
                </c:pt>
                <c:pt idx="67">
                  <c:v>8.3000000000000007</c:v>
                </c:pt>
                <c:pt idx="68">
                  <c:v>16.100000000000001</c:v>
                </c:pt>
                <c:pt idx="69">
                  <c:v>17</c:v>
                </c:pt>
                <c:pt idx="70">
                  <c:v>18</c:v>
                </c:pt>
                <c:pt idx="71">
                  <c:v>16.8</c:v>
                </c:pt>
                <c:pt idx="72">
                  <c:v>15.8</c:v>
                </c:pt>
                <c:pt idx="73">
                  <c:v>16.399999999999999</c:v>
                </c:pt>
                <c:pt idx="74">
                  <c:v>17.100000000000001</c:v>
                </c:pt>
                <c:pt idx="75">
                  <c:v>16.8</c:v>
                </c:pt>
                <c:pt idx="76">
                  <c:v>15.8</c:v>
                </c:pt>
                <c:pt idx="77">
                  <c:v>13.7</c:v>
                </c:pt>
                <c:pt idx="78">
                  <c:v>8.8000000000000007</c:v>
                </c:pt>
                <c:pt idx="79">
                  <c:v>6.4</c:v>
                </c:pt>
                <c:pt idx="80">
                  <c:v>8.1</c:v>
                </c:pt>
                <c:pt idx="81">
                  <c:v>9.8000000000000007</c:v>
                </c:pt>
                <c:pt idx="82">
                  <c:v>7.8</c:v>
                </c:pt>
                <c:pt idx="83">
                  <c:v>11.1</c:v>
                </c:pt>
                <c:pt idx="84">
                  <c:v>10.8</c:v>
                </c:pt>
                <c:pt idx="85">
                  <c:v>11.7</c:v>
                </c:pt>
                <c:pt idx="86">
                  <c:v>10.1</c:v>
                </c:pt>
                <c:pt idx="87">
                  <c:v>10.8</c:v>
                </c:pt>
                <c:pt idx="88">
                  <c:v>14.6</c:v>
                </c:pt>
                <c:pt idx="89">
                  <c:v>15.1</c:v>
                </c:pt>
                <c:pt idx="90">
                  <c:v>16.899999999999999</c:v>
                </c:pt>
                <c:pt idx="91">
                  <c:v>17.399999999999999</c:v>
                </c:pt>
                <c:pt idx="92">
                  <c:v>20.8</c:v>
                </c:pt>
                <c:pt idx="93">
                  <c:v>20.2</c:v>
                </c:pt>
                <c:pt idx="94">
                  <c:v>19.7</c:v>
                </c:pt>
                <c:pt idx="95">
                  <c:v>19.100000000000001</c:v>
                </c:pt>
                <c:pt idx="96">
                  <c:v>20.3</c:v>
                </c:pt>
                <c:pt idx="97">
                  <c:v>20</c:v>
                </c:pt>
                <c:pt idx="98">
                  <c:v>19.100000000000001</c:v>
                </c:pt>
                <c:pt idx="99">
                  <c:v>18.8</c:v>
                </c:pt>
                <c:pt idx="100">
                  <c:v>18.600000000000001</c:v>
                </c:pt>
                <c:pt idx="101">
                  <c:v>18.399999999999999</c:v>
                </c:pt>
                <c:pt idx="102">
                  <c:v>18.600000000000001</c:v>
                </c:pt>
                <c:pt idx="103">
                  <c:v>12.7</c:v>
                </c:pt>
                <c:pt idx="104">
                  <c:v>17.5</c:v>
                </c:pt>
                <c:pt idx="105">
                  <c:v>15.1</c:v>
                </c:pt>
                <c:pt idx="106">
                  <c:v>18.100000000000001</c:v>
                </c:pt>
                <c:pt idx="107">
                  <c:v>14.3</c:v>
                </c:pt>
                <c:pt idx="108">
                  <c:v>16.3</c:v>
                </c:pt>
                <c:pt idx="109">
                  <c:v>19.899999999999999</c:v>
                </c:pt>
                <c:pt idx="110">
                  <c:v>20.3</c:v>
                </c:pt>
                <c:pt idx="111">
                  <c:v>15.4</c:v>
                </c:pt>
                <c:pt idx="112">
                  <c:v>12.4</c:v>
                </c:pt>
                <c:pt idx="113">
                  <c:v>23.4</c:v>
                </c:pt>
                <c:pt idx="114">
                  <c:v>23.9</c:v>
                </c:pt>
                <c:pt idx="115">
                  <c:v>22.1</c:v>
                </c:pt>
                <c:pt idx="116">
                  <c:v>23.5</c:v>
                </c:pt>
                <c:pt idx="117">
                  <c:v>19.7</c:v>
                </c:pt>
                <c:pt idx="118">
                  <c:v>21.3</c:v>
                </c:pt>
                <c:pt idx="119">
                  <c:v>22.3</c:v>
                </c:pt>
                <c:pt idx="120">
                  <c:v>22</c:v>
                </c:pt>
                <c:pt idx="121">
                  <c:v>23.9</c:v>
                </c:pt>
                <c:pt idx="122">
                  <c:v>24.7</c:v>
                </c:pt>
                <c:pt idx="123">
                  <c:v>21.4</c:v>
                </c:pt>
                <c:pt idx="124">
                  <c:v>23.8</c:v>
                </c:pt>
                <c:pt idx="125">
                  <c:v>25.6</c:v>
                </c:pt>
                <c:pt idx="126">
                  <c:v>22.6</c:v>
                </c:pt>
                <c:pt idx="127">
                  <c:v>20</c:v>
                </c:pt>
                <c:pt idx="128">
                  <c:v>21.7</c:v>
                </c:pt>
                <c:pt idx="129">
                  <c:v>25</c:v>
                </c:pt>
                <c:pt idx="130">
                  <c:v>21</c:v>
                </c:pt>
                <c:pt idx="131">
                  <c:v>21.3</c:v>
                </c:pt>
                <c:pt idx="132">
                  <c:v>19.899999999999999</c:v>
                </c:pt>
                <c:pt idx="133">
                  <c:v>21.6</c:v>
                </c:pt>
                <c:pt idx="134">
                  <c:v>20.399999999999999</c:v>
                </c:pt>
                <c:pt idx="135">
                  <c:v>19.600000000000001</c:v>
                </c:pt>
                <c:pt idx="136">
                  <c:v>18</c:v>
                </c:pt>
                <c:pt idx="137">
                  <c:v>19.899999999999999</c:v>
                </c:pt>
                <c:pt idx="138">
                  <c:v>20.3</c:v>
                </c:pt>
                <c:pt idx="139">
                  <c:v>20.8</c:v>
                </c:pt>
                <c:pt idx="140">
                  <c:v>23.3</c:v>
                </c:pt>
                <c:pt idx="141">
                  <c:v>24.7</c:v>
                </c:pt>
                <c:pt idx="142">
                  <c:v>20.399999999999999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22.5</c:v>
                </c:pt>
                <c:pt idx="146">
                  <c:v>19.8</c:v>
                </c:pt>
                <c:pt idx="147">
                  <c:v>25.1</c:v>
                </c:pt>
                <c:pt idx="148">
                  <c:v>23.7</c:v>
                </c:pt>
                <c:pt idx="149">
                  <c:v>25.9</c:v>
                </c:pt>
                <c:pt idx="150">
                  <c:v>25.3</c:v>
                </c:pt>
                <c:pt idx="151">
                  <c:v>23.3</c:v>
                </c:pt>
                <c:pt idx="152">
                  <c:v>25</c:v>
                </c:pt>
                <c:pt idx="153">
                  <c:v>27</c:v>
                </c:pt>
                <c:pt idx="154">
                  <c:v>28.3</c:v>
                </c:pt>
                <c:pt idx="155">
                  <c:v>27.6</c:v>
                </c:pt>
                <c:pt idx="156">
                  <c:v>27.7</c:v>
                </c:pt>
                <c:pt idx="157">
                  <c:v>21</c:v>
                </c:pt>
                <c:pt idx="158">
                  <c:v>22.3</c:v>
                </c:pt>
                <c:pt idx="159">
                  <c:v>24.3</c:v>
                </c:pt>
                <c:pt idx="160">
                  <c:v>27</c:v>
                </c:pt>
                <c:pt idx="161">
                  <c:v>28.1</c:v>
                </c:pt>
                <c:pt idx="162">
                  <c:v>26.1</c:v>
                </c:pt>
                <c:pt idx="163">
                  <c:v>24.3</c:v>
                </c:pt>
                <c:pt idx="164">
                  <c:v>24.1</c:v>
                </c:pt>
                <c:pt idx="165">
                  <c:v>21.8</c:v>
                </c:pt>
                <c:pt idx="166">
                  <c:v>26</c:v>
                </c:pt>
                <c:pt idx="167">
                  <c:v>26.8</c:v>
                </c:pt>
                <c:pt idx="168">
                  <c:v>24.1</c:v>
                </c:pt>
                <c:pt idx="169">
                  <c:v>23.2</c:v>
                </c:pt>
                <c:pt idx="170">
                  <c:v>25</c:v>
                </c:pt>
                <c:pt idx="171">
                  <c:v>24.1</c:v>
                </c:pt>
                <c:pt idx="172">
                  <c:v>26.1</c:v>
                </c:pt>
                <c:pt idx="173">
                  <c:v>24.7</c:v>
                </c:pt>
                <c:pt idx="174">
                  <c:v>23.3</c:v>
                </c:pt>
                <c:pt idx="175">
                  <c:v>20.399999999999999</c:v>
                </c:pt>
                <c:pt idx="176">
                  <c:v>25.6</c:v>
                </c:pt>
                <c:pt idx="177">
                  <c:v>24.3</c:v>
                </c:pt>
                <c:pt idx="178">
                  <c:v>23.9</c:v>
                </c:pt>
                <c:pt idx="179">
                  <c:v>26.8</c:v>
                </c:pt>
                <c:pt idx="180">
                  <c:v>26.9</c:v>
                </c:pt>
                <c:pt idx="181">
                  <c:v>27.4</c:v>
                </c:pt>
                <c:pt idx="182">
                  <c:v>25.3</c:v>
                </c:pt>
                <c:pt idx="183">
                  <c:v>25.8</c:v>
                </c:pt>
                <c:pt idx="184">
                  <c:v>25.4</c:v>
                </c:pt>
                <c:pt idx="185">
                  <c:v>27.6</c:v>
                </c:pt>
                <c:pt idx="186">
                  <c:v>30</c:v>
                </c:pt>
                <c:pt idx="187">
                  <c:v>30.7</c:v>
                </c:pt>
                <c:pt idx="188">
                  <c:v>27.2</c:v>
                </c:pt>
                <c:pt idx="189">
                  <c:v>24.4</c:v>
                </c:pt>
                <c:pt idx="190">
                  <c:v>22.8</c:v>
                </c:pt>
                <c:pt idx="191">
                  <c:v>27.6</c:v>
                </c:pt>
                <c:pt idx="192">
                  <c:v>28.1</c:v>
                </c:pt>
                <c:pt idx="193">
                  <c:v>25.5</c:v>
                </c:pt>
                <c:pt idx="194">
                  <c:v>22.9</c:v>
                </c:pt>
                <c:pt idx="195">
                  <c:v>23</c:v>
                </c:pt>
                <c:pt idx="196">
                  <c:v>22.9</c:v>
                </c:pt>
                <c:pt idx="197">
                  <c:v>26.1</c:v>
                </c:pt>
                <c:pt idx="198">
                  <c:v>24.8</c:v>
                </c:pt>
                <c:pt idx="199">
                  <c:v>22.4</c:v>
                </c:pt>
                <c:pt idx="200">
                  <c:v>25.8</c:v>
                </c:pt>
                <c:pt idx="201">
                  <c:v>25.9</c:v>
                </c:pt>
                <c:pt idx="202">
                  <c:v>27.9</c:v>
                </c:pt>
                <c:pt idx="203">
                  <c:v>26.6</c:v>
                </c:pt>
                <c:pt idx="204">
                  <c:v>22.7</c:v>
                </c:pt>
                <c:pt idx="205">
                  <c:v>24.1</c:v>
                </c:pt>
                <c:pt idx="206">
                  <c:v>24.3</c:v>
                </c:pt>
                <c:pt idx="207">
                  <c:v>23.6</c:v>
                </c:pt>
                <c:pt idx="208">
                  <c:v>25.6</c:v>
                </c:pt>
                <c:pt idx="209">
                  <c:v>26.5</c:v>
                </c:pt>
                <c:pt idx="210">
                  <c:v>27.4</c:v>
                </c:pt>
                <c:pt idx="211">
                  <c:v>28</c:v>
                </c:pt>
                <c:pt idx="212">
                  <c:v>27.8</c:v>
                </c:pt>
                <c:pt idx="213">
                  <c:v>27.8</c:v>
                </c:pt>
                <c:pt idx="214">
                  <c:v>26</c:v>
                </c:pt>
                <c:pt idx="215">
                  <c:v>26.1</c:v>
                </c:pt>
                <c:pt idx="216">
                  <c:v>23.3</c:v>
                </c:pt>
                <c:pt idx="217">
                  <c:v>25.1</c:v>
                </c:pt>
                <c:pt idx="218">
                  <c:v>24.8</c:v>
                </c:pt>
                <c:pt idx="219">
                  <c:v>25.6</c:v>
                </c:pt>
                <c:pt idx="220">
                  <c:v>24.6</c:v>
                </c:pt>
                <c:pt idx="221">
                  <c:v>26.9</c:v>
                </c:pt>
                <c:pt idx="222">
                  <c:v>27.6</c:v>
                </c:pt>
                <c:pt idx="223">
                  <c:v>28</c:v>
                </c:pt>
                <c:pt idx="224">
                  <c:v>28.3</c:v>
                </c:pt>
                <c:pt idx="225">
                  <c:v>22.8</c:v>
                </c:pt>
                <c:pt idx="226">
                  <c:v>20.6</c:v>
                </c:pt>
                <c:pt idx="227">
                  <c:v>21.6</c:v>
                </c:pt>
                <c:pt idx="228">
                  <c:v>21.6</c:v>
                </c:pt>
                <c:pt idx="229">
                  <c:v>22.6</c:v>
                </c:pt>
                <c:pt idx="230">
                  <c:v>21.8</c:v>
                </c:pt>
                <c:pt idx="231">
                  <c:v>22.6</c:v>
                </c:pt>
                <c:pt idx="232">
                  <c:v>22.1</c:v>
                </c:pt>
                <c:pt idx="233">
                  <c:v>23.2</c:v>
                </c:pt>
                <c:pt idx="234">
                  <c:v>23.8</c:v>
                </c:pt>
                <c:pt idx="235">
                  <c:v>24.4</c:v>
                </c:pt>
                <c:pt idx="236">
                  <c:v>25.3</c:v>
                </c:pt>
                <c:pt idx="237">
                  <c:v>23.9</c:v>
                </c:pt>
                <c:pt idx="238">
                  <c:v>22.3</c:v>
                </c:pt>
                <c:pt idx="239">
                  <c:v>18.899999999999999</c:v>
                </c:pt>
                <c:pt idx="240">
                  <c:v>21.6</c:v>
                </c:pt>
                <c:pt idx="241">
                  <c:v>22.7</c:v>
                </c:pt>
                <c:pt idx="242">
                  <c:v>23.5</c:v>
                </c:pt>
                <c:pt idx="243">
                  <c:v>23.4</c:v>
                </c:pt>
                <c:pt idx="244">
                  <c:v>21.6</c:v>
                </c:pt>
                <c:pt idx="245">
                  <c:v>19.34</c:v>
                </c:pt>
                <c:pt idx="246">
                  <c:v>15.8</c:v>
                </c:pt>
                <c:pt idx="247">
                  <c:v>15.7</c:v>
                </c:pt>
                <c:pt idx="248">
                  <c:v>13.3</c:v>
                </c:pt>
                <c:pt idx="249">
                  <c:v>16.3</c:v>
                </c:pt>
                <c:pt idx="250">
                  <c:v>17.7</c:v>
                </c:pt>
                <c:pt idx="251">
                  <c:v>19.100000000000001</c:v>
                </c:pt>
                <c:pt idx="252">
                  <c:v>18.3</c:v>
                </c:pt>
                <c:pt idx="253">
                  <c:v>16.100000000000001</c:v>
                </c:pt>
                <c:pt idx="254">
                  <c:v>15.9</c:v>
                </c:pt>
                <c:pt idx="255">
                  <c:v>17.3</c:v>
                </c:pt>
                <c:pt idx="256">
                  <c:v>14.8</c:v>
                </c:pt>
                <c:pt idx="257">
                  <c:v>12.5</c:v>
                </c:pt>
                <c:pt idx="258">
                  <c:v>14.3</c:v>
                </c:pt>
                <c:pt idx="259">
                  <c:v>15.7</c:v>
                </c:pt>
                <c:pt idx="260">
                  <c:v>14.8</c:v>
                </c:pt>
                <c:pt idx="261">
                  <c:v>16.2</c:v>
                </c:pt>
                <c:pt idx="262">
                  <c:v>16.600000000000001</c:v>
                </c:pt>
                <c:pt idx="263">
                  <c:v>15.4</c:v>
                </c:pt>
                <c:pt idx="264">
                  <c:v>16.600000000000001</c:v>
                </c:pt>
                <c:pt idx="265">
                  <c:v>15.5</c:v>
                </c:pt>
                <c:pt idx="266">
                  <c:v>15.9</c:v>
                </c:pt>
                <c:pt idx="267">
                  <c:v>14.4</c:v>
                </c:pt>
                <c:pt idx="268">
                  <c:v>15.3</c:v>
                </c:pt>
                <c:pt idx="269">
                  <c:v>14.8</c:v>
                </c:pt>
                <c:pt idx="270">
                  <c:v>12.5</c:v>
                </c:pt>
                <c:pt idx="271">
                  <c:v>13.4</c:v>
                </c:pt>
                <c:pt idx="272">
                  <c:v>13.1</c:v>
                </c:pt>
                <c:pt idx="273">
                  <c:v>12.8</c:v>
                </c:pt>
                <c:pt idx="274">
                  <c:v>13.6</c:v>
                </c:pt>
                <c:pt idx="275">
                  <c:v>14.4</c:v>
                </c:pt>
                <c:pt idx="276">
                  <c:v>15.4</c:v>
                </c:pt>
                <c:pt idx="277">
                  <c:v>14.8</c:v>
                </c:pt>
                <c:pt idx="278">
                  <c:v>15.6</c:v>
                </c:pt>
                <c:pt idx="279">
                  <c:v>13.4</c:v>
                </c:pt>
                <c:pt idx="280">
                  <c:v>12</c:v>
                </c:pt>
                <c:pt idx="281">
                  <c:v>14.9</c:v>
                </c:pt>
                <c:pt idx="282">
                  <c:v>15.4</c:v>
                </c:pt>
                <c:pt idx="283">
                  <c:v>14.3</c:v>
                </c:pt>
                <c:pt idx="284">
                  <c:v>14.6</c:v>
                </c:pt>
                <c:pt idx="285">
                  <c:v>15.4</c:v>
                </c:pt>
                <c:pt idx="286">
                  <c:v>15.4</c:v>
                </c:pt>
                <c:pt idx="287">
                  <c:v>15.3</c:v>
                </c:pt>
                <c:pt idx="288">
                  <c:v>15.7</c:v>
                </c:pt>
                <c:pt idx="289">
                  <c:v>15.7</c:v>
                </c:pt>
                <c:pt idx="290">
                  <c:v>15.3</c:v>
                </c:pt>
                <c:pt idx="291">
                  <c:v>14.45</c:v>
                </c:pt>
                <c:pt idx="292">
                  <c:v>13.6</c:v>
                </c:pt>
                <c:pt idx="293">
                  <c:v>12.4</c:v>
                </c:pt>
                <c:pt idx="294">
                  <c:v>11.8</c:v>
                </c:pt>
                <c:pt idx="295">
                  <c:v>11.3</c:v>
                </c:pt>
                <c:pt idx="296">
                  <c:v>10.6</c:v>
                </c:pt>
                <c:pt idx="297">
                  <c:v>10.4</c:v>
                </c:pt>
                <c:pt idx="298">
                  <c:v>11.4</c:v>
                </c:pt>
                <c:pt idx="299">
                  <c:v>11.6</c:v>
                </c:pt>
                <c:pt idx="300">
                  <c:v>11.6</c:v>
                </c:pt>
                <c:pt idx="301">
                  <c:v>11.7</c:v>
                </c:pt>
                <c:pt idx="302">
                  <c:v>11.6</c:v>
                </c:pt>
                <c:pt idx="303">
                  <c:v>11.8</c:v>
                </c:pt>
                <c:pt idx="304">
                  <c:v>10.6</c:v>
                </c:pt>
                <c:pt idx="305">
                  <c:v>7.8</c:v>
                </c:pt>
                <c:pt idx="306">
                  <c:v>9.6</c:v>
                </c:pt>
                <c:pt idx="307">
                  <c:v>10.3</c:v>
                </c:pt>
                <c:pt idx="308">
                  <c:v>9.5</c:v>
                </c:pt>
                <c:pt idx="309">
                  <c:v>8.4</c:v>
                </c:pt>
                <c:pt idx="310">
                  <c:v>8.1</c:v>
                </c:pt>
                <c:pt idx="311">
                  <c:v>2.8</c:v>
                </c:pt>
                <c:pt idx="312">
                  <c:v>5.9</c:v>
                </c:pt>
                <c:pt idx="313">
                  <c:v>6.3</c:v>
                </c:pt>
                <c:pt idx="314">
                  <c:v>7.6</c:v>
                </c:pt>
                <c:pt idx="315">
                  <c:v>8.6999999999999993</c:v>
                </c:pt>
                <c:pt idx="316">
                  <c:v>8.6999999999999993</c:v>
                </c:pt>
                <c:pt idx="317">
                  <c:v>7.6</c:v>
                </c:pt>
                <c:pt idx="318">
                  <c:v>6.5</c:v>
                </c:pt>
                <c:pt idx="319">
                  <c:v>8.6999999999999993</c:v>
                </c:pt>
                <c:pt idx="320">
                  <c:v>8.5</c:v>
                </c:pt>
                <c:pt idx="321">
                  <c:v>7.9</c:v>
                </c:pt>
                <c:pt idx="322">
                  <c:v>6</c:v>
                </c:pt>
                <c:pt idx="323">
                  <c:v>4.5999999999999996</c:v>
                </c:pt>
                <c:pt idx="324">
                  <c:v>2.4</c:v>
                </c:pt>
                <c:pt idx="325">
                  <c:v>1.2</c:v>
                </c:pt>
                <c:pt idx="326">
                  <c:v>4</c:v>
                </c:pt>
                <c:pt idx="327">
                  <c:v>4.5999999999999996</c:v>
                </c:pt>
                <c:pt idx="328">
                  <c:v>4.4000000000000004</c:v>
                </c:pt>
                <c:pt idx="329">
                  <c:v>4.0999999999999996</c:v>
                </c:pt>
                <c:pt idx="330">
                  <c:v>3.4</c:v>
                </c:pt>
                <c:pt idx="331">
                  <c:v>2.2000000000000002</c:v>
                </c:pt>
                <c:pt idx="332">
                  <c:v>2.7</c:v>
                </c:pt>
                <c:pt idx="333">
                  <c:v>2.2999999999999998</c:v>
                </c:pt>
                <c:pt idx="334">
                  <c:v>2.1</c:v>
                </c:pt>
                <c:pt idx="335">
                  <c:v>2.2999999999999998</c:v>
                </c:pt>
                <c:pt idx="336">
                  <c:v>2.2000000000000002</c:v>
                </c:pt>
                <c:pt idx="337">
                  <c:v>2.6</c:v>
                </c:pt>
                <c:pt idx="338">
                  <c:v>2.6</c:v>
                </c:pt>
                <c:pt idx="339">
                  <c:v>2</c:v>
                </c:pt>
                <c:pt idx="340">
                  <c:v>1.6</c:v>
                </c:pt>
                <c:pt idx="341">
                  <c:v>5.3</c:v>
                </c:pt>
                <c:pt idx="342">
                  <c:v>5.7</c:v>
                </c:pt>
                <c:pt idx="343">
                  <c:v>6.6</c:v>
                </c:pt>
                <c:pt idx="344">
                  <c:v>7.6</c:v>
                </c:pt>
                <c:pt idx="345">
                  <c:v>7.9</c:v>
                </c:pt>
                <c:pt idx="346">
                  <c:v>7.4</c:v>
                </c:pt>
                <c:pt idx="347">
                  <c:v>7.1</c:v>
                </c:pt>
                <c:pt idx="348">
                  <c:v>5.4</c:v>
                </c:pt>
                <c:pt idx="349">
                  <c:v>7.9</c:v>
                </c:pt>
                <c:pt idx="350">
                  <c:v>8.1</c:v>
                </c:pt>
                <c:pt idx="351">
                  <c:v>8.4</c:v>
                </c:pt>
                <c:pt idx="352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17-419A-AA2A-CFE08B4726E0}"/>
            </c:ext>
          </c:extLst>
        </c:ser>
        <c:ser>
          <c:idx val="1"/>
          <c:order val="1"/>
          <c:tx>
            <c:strRef>
              <c:f>CURVE_Haarvaten_obv_Kooijpolder!$E$4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CURVE_Haarvaten_obv_Kooijpolder!$C$5:$C$357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44687</c:v>
                </c:pt>
                <c:pt idx="114">
                  <c:v>44688</c:v>
                </c:pt>
                <c:pt idx="115">
                  <c:v>44689</c:v>
                </c:pt>
                <c:pt idx="116">
                  <c:v>44690</c:v>
                </c:pt>
                <c:pt idx="117">
                  <c:v>44691</c:v>
                </c:pt>
                <c:pt idx="118">
                  <c:v>44692</c:v>
                </c:pt>
                <c:pt idx="119">
                  <c:v>44693</c:v>
                </c:pt>
                <c:pt idx="120">
                  <c:v>44694</c:v>
                </c:pt>
                <c:pt idx="121">
                  <c:v>44695</c:v>
                </c:pt>
                <c:pt idx="122">
                  <c:v>44696</c:v>
                </c:pt>
                <c:pt idx="123">
                  <c:v>44697</c:v>
                </c:pt>
                <c:pt idx="124">
                  <c:v>44698</c:v>
                </c:pt>
                <c:pt idx="125">
                  <c:v>44699</c:v>
                </c:pt>
                <c:pt idx="126">
                  <c:v>44700</c:v>
                </c:pt>
                <c:pt idx="127">
                  <c:v>44701</c:v>
                </c:pt>
                <c:pt idx="128">
                  <c:v>44702</c:v>
                </c:pt>
                <c:pt idx="129">
                  <c:v>44703</c:v>
                </c:pt>
                <c:pt idx="130">
                  <c:v>44704</c:v>
                </c:pt>
                <c:pt idx="131">
                  <c:v>44705</c:v>
                </c:pt>
                <c:pt idx="132">
                  <c:v>44706</c:v>
                </c:pt>
                <c:pt idx="133">
                  <c:v>44707</c:v>
                </c:pt>
                <c:pt idx="134">
                  <c:v>44708</c:v>
                </c:pt>
                <c:pt idx="135">
                  <c:v>44709</c:v>
                </c:pt>
                <c:pt idx="136">
                  <c:v>44710</c:v>
                </c:pt>
                <c:pt idx="137">
                  <c:v>44711</c:v>
                </c:pt>
                <c:pt idx="138">
                  <c:v>44712</c:v>
                </c:pt>
                <c:pt idx="139">
                  <c:v>44713</c:v>
                </c:pt>
                <c:pt idx="140">
                  <c:v>44714</c:v>
                </c:pt>
                <c:pt idx="141">
                  <c:v>44715</c:v>
                </c:pt>
                <c:pt idx="142">
                  <c:v>44716</c:v>
                </c:pt>
                <c:pt idx="143">
                  <c:v>44717</c:v>
                </c:pt>
                <c:pt idx="144">
                  <c:v>44718</c:v>
                </c:pt>
                <c:pt idx="145">
                  <c:v>44719</c:v>
                </c:pt>
                <c:pt idx="146">
                  <c:v>44720</c:v>
                </c:pt>
                <c:pt idx="147">
                  <c:v>44721</c:v>
                </c:pt>
                <c:pt idx="148">
                  <c:v>44722</c:v>
                </c:pt>
                <c:pt idx="149">
                  <c:v>44723</c:v>
                </c:pt>
                <c:pt idx="150">
                  <c:v>44724</c:v>
                </c:pt>
                <c:pt idx="151">
                  <c:v>44725</c:v>
                </c:pt>
                <c:pt idx="152">
                  <c:v>44726</c:v>
                </c:pt>
                <c:pt idx="153">
                  <c:v>44727</c:v>
                </c:pt>
                <c:pt idx="154">
                  <c:v>44728</c:v>
                </c:pt>
                <c:pt idx="155">
                  <c:v>44729</c:v>
                </c:pt>
                <c:pt idx="156">
                  <c:v>44730</c:v>
                </c:pt>
                <c:pt idx="157">
                  <c:v>44731</c:v>
                </c:pt>
                <c:pt idx="158">
                  <c:v>44732</c:v>
                </c:pt>
                <c:pt idx="159">
                  <c:v>44733</c:v>
                </c:pt>
                <c:pt idx="160">
                  <c:v>44734</c:v>
                </c:pt>
                <c:pt idx="161">
                  <c:v>44735</c:v>
                </c:pt>
                <c:pt idx="162">
                  <c:v>44736</c:v>
                </c:pt>
                <c:pt idx="163">
                  <c:v>44737</c:v>
                </c:pt>
                <c:pt idx="164">
                  <c:v>44738</c:v>
                </c:pt>
                <c:pt idx="165">
                  <c:v>44739</c:v>
                </c:pt>
                <c:pt idx="166">
                  <c:v>44740</c:v>
                </c:pt>
                <c:pt idx="167">
                  <c:v>44741</c:v>
                </c:pt>
                <c:pt idx="168">
                  <c:v>44742</c:v>
                </c:pt>
                <c:pt idx="169">
                  <c:v>44743</c:v>
                </c:pt>
                <c:pt idx="170">
                  <c:v>44744</c:v>
                </c:pt>
                <c:pt idx="171">
                  <c:v>44745</c:v>
                </c:pt>
                <c:pt idx="172">
                  <c:v>44746</c:v>
                </c:pt>
                <c:pt idx="173">
                  <c:v>44747</c:v>
                </c:pt>
                <c:pt idx="174">
                  <c:v>44748</c:v>
                </c:pt>
                <c:pt idx="175">
                  <c:v>44749</c:v>
                </c:pt>
                <c:pt idx="176">
                  <c:v>44750</c:v>
                </c:pt>
                <c:pt idx="177">
                  <c:v>44751</c:v>
                </c:pt>
                <c:pt idx="178">
                  <c:v>44752</c:v>
                </c:pt>
                <c:pt idx="179">
                  <c:v>44753</c:v>
                </c:pt>
                <c:pt idx="180">
                  <c:v>44754</c:v>
                </c:pt>
                <c:pt idx="181">
                  <c:v>44755</c:v>
                </c:pt>
                <c:pt idx="182">
                  <c:v>44756</c:v>
                </c:pt>
                <c:pt idx="183">
                  <c:v>44757</c:v>
                </c:pt>
                <c:pt idx="184">
                  <c:v>44758</c:v>
                </c:pt>
                <c:pt idx="185">
                  <c:v>44759</c:v>
                </c:pt>
                <c:pt idx="186">
                  <c:v>44760</c:v>
                </c:pt>
                <c:pt idx="187">
                  <c:v>44761</c:v>
                </c:pt>
                <c:pt idx="188">
                  <c:v>44762</c:v>
                </c:pt>
                <c:pt idx="189">
                  <c:v>44763</c:v>
                </c:pt>
                <c:pt idx="190">
                  <c:v>44764</c:v>
                </c:pt>
                <c:pt idx="191">
                  <c:v>44765</c:v>
                </c:pt>
                <c:pt idx="192">
                  <c:v>44766</c:v>
                </c:pt>
                <c:pt idx="193">
                  <c:v>44767</c:v>
                </c:pt>
                <c:pt idx="194">
                  <c:v>44768</c:v>
                </c:pt>
                <c:pt idx="195">
                  <c:v>44769</c:v>
                </c:pt>
                <c:pt idx="196">
                  <c:v>44770</c:v>
                </c:pt>
                <c:pt idx="197">
                  <c:v>44771</c:v>
                </c:pt>
                <c:pt idx="198">
                  <c:v>44772</c:v>
                </c:pt>
                <c:pt idx="199">
                  <c:v>44773</c:v>
                </c:pt>
                <c:pt idx="200">
                  <c:v>44774</c:v>
                </c:pt>
                <c:pt idx="201">
                  <c:v>44775</c:v>
                </c:pt>
                <c:pt idx="202">
                  <c:v>44776</c:v>
                </c:pt>
                <c:pt idx="203">
                  <c:v>44777</c:v>
                </c:pt>
                <c:pt idx="204">
                  <c:v>44778</c:v>
                </c:pt>
                <c:pt idx="205">
                  <c:v>44779</c:v>
                </c:pt>
                <c:pt idx="206">
                  <c:v>44780</c:v>
                </c:pt>
                <c:pt idx="207">
                  <c:v>44781</c:v>
                </c:pt>
                <c:pt idx="208">
                  <c:v>44782</c:v>
                </c:pt>
                <c:pt idx="209">
                  <c:v>44783</c:v>
                </c:pt>
                <c:pt idx="210">
                  <c:v>44784</c:v>
                </c:pt>
                <c:pt idx="211">
                  <c:v>44785</c:v>
                </c:pt>
                <c:pt idx="212">
                  <c:v>44786</c:v>
                </c:pt>
                <c:pt idx="213">
                  <c:v>44787</c:v>
                </c:pt>
                <c:pt idx="214">
                  <c:v>44788</c:v>
                </c:pt>
                <c:pt idx="215">
                  <c:v>44789</c:v>
                </c:pt>
                <c:pt idx="216">
                  <c:v>44790</c:v>
                </c:pt>
                <c:pt idx="217">
                  <c:v>44791</c:v>
                </c:pt>
                <c:pt idx="218">
                  <c:v>44792</c:v>
                </c:pt>
                <c:pt idx="219">
                  <c:v>44793</c:v>
                </c:pt>
                <c:pt idx="220">
                  <c:v>44794</c:v>
                </c:pt>
                <c:pt idx="221">
                  <c:v>44795</c:v>
                </c:pt>
                <c:pt idx="222">
                  <c:v>44796</c:v>
                </c:pt>
                <c:pt idx="223">
                  <c:v>44797</c:v>
                </c:pt>
                <c:pt idx="224">
                  <c:v>44798</c:v>
                </c:pt>
                <c:pt idx="225">
                  <c:v>44799</c:v>
                </c:pt>
                <c:pt idx="226">
                  <c:v>44800</c:v>
                </c:pt>
                <c:pt idx="227">
                  <c:v>44801</c:v>
                </c:pt>
                <c:pt idx="228">
                  <c:v>44802</c:v>
                </c:pt>
                <c:pt idx="229">
                  <c:v>44803</c:v>
                </c:pt>
                <c:pt idx="230">
                  <c:v>44804</c:v>
                </c:pt>
                <c:pt idx="231">
                  <c:v>44805</c:v>
                </c:pt>
                <c:pt idx="232">
                  <c:v>44806</c:v>
                </c:pt>
                <c:pt idx="233">
                  <c:v>44807</c:v>
                </c:pt>
                <c:pt idx="234">
                  <c:v>44808</c:v>
                </c:pt>
                <c:pt idx="235">
                  <c:v>44809</c:v>
                </c:pt>
                <c:pt idx="236">
                  <c:v>44810</c:v>
                </c:pt>
                <c:pt idx="237">
                  <c:v>44811</c:v>
                </c:pt>
                <c:pt idx="238">
                  <c:v>44812</c:v>
                </c:pt>
                <c:pt idx="239">
                  <c:v>44813</c:v>
                </c:pt>
                <c:pt idx="240">
                  <c:v>44814</c:v>
                </c:pt>
                <c:pt idx="241">
                  <c:v>44815</c:v>
                </c:pt>
                <c:pt idx="242">
                  <c:v>44816</c:v>
                </c:pt>
                <c:pt idx="243">
                  <c:v>44817</c:v>
                </c:pt>
                <c:pt idx="244">
                  <c:v>44818</c:v>
                </c:pt>
                <c:pt idx="245">
                  <c:v>44819</c:v>
                </c:pt>
                <c:pt idx="246">
                  <c:v>44820</c:v>
                </c:pt>
                <c:pt idx="247">
                  <c:v>44821</c:v>
                </c:pt>
                <c:pt idx="248">
                  <c:v>44822</c:v>
                </c:pt>
                <c:pt idx="249">
                  <c:v>44823</c:v>
                </c:pt>
                <c:pt idx="250">
                  <c:v>44824</c:v>
                </c:pt>
                <c:pt idx="251">
                  <c:v>44825</c:v>
                </c:pt>
                <c:pt idx="252">
                  <c:v>44826</c:v>
                </c:pt>
                <c:pt idx="253">
                  <c:v>44827</c:v>
                </c:pt>
                <c:pt idx="254">
                  <c:v>44828</c:v>
                </c:pt>
                <c:pt idx="255">
                  <c:v>44829</c:v>
                </c:pt>
                <c:pt idx="256">
                  <c:v>44830</c:v>
                </c:pt>
                <c:pt idx="257">
                  <c:v>44831</c:v>
                </c:pt>
                <c:pt idx="258">
                  <c:v>44832</c:v>
                </c:pt>
                <c:pt idx="259">
                  <c:v>44833</c:v>
                </c:pt>
                <c:pt idx="260">
                  <c:v>44834</c:v>
                </c:pt>
                <c:pt idx="261">
                  <c:v>44835</c:v>
                </c:pt>
                <c:pt idx="262">
                  <c:v>44836</c:v>
                </c:pt>
                <c:pt idx="263">
                  <c:v>44837</c:v>
                </c:pt>
                <c:pt idx="264">
                  <c:v>44838</c:v>
                </c:pt>
                <c:pt idx="265">
                  <c:v>44839</c:v>
                </c:pt>
                <c:pt idx="266">
                  <c:v>44840</c:v>
                </c:pt>
                <c:pt idx="267">
                  <c:v>44841</c:v>
                </c:pt>
                <c:pt idx="268">
                  <c:v>44842</c:v>
                </c:pt>
                <c:pt idx="269">
                  <c:v>44843</c:v>
                </c:pt>
                <c:pt idx="270">
                  <c:v>44844</c:v>
                </c:pt>
                <c:pt idx="271">
                  <c:v>44845</c:v>
                </c:pt>
                <c:pt idx="272">
                  <c:v>44846</c:v>
                </c:pt>
                <c:pt idx="273">
                  <c:v>44847</c:v>
                </c:pt>
                <c:pt idx="274">
                  <c:v>44848</c:v>
                </c:pt>
                <c:pt idx="275">
                  <c:v>44849</c:v>
                </c:pt>
                <c:pt idx="276">
                  <c:v>44850</c:v>
                </c:pt>
                <c:pt idx="277">
                  <c:v>44851</c:v>
                </c:pt>
                <c:pt idx="278">
                  <c:v>44852</c:v>
                </c:pt>
                <c:pt idx="279">
                  <c:v>44853</c:v>
                </c:pt>
                <c:pt idx="280">
                  <c:v>44854</c:v>
                </c:pt>
                <c:pt idx="281">
                  <c:v>44855</c:v>
                </c:pt>
                <c:pt idx="282">
                  <c:v>44856</c:v>
                </c:pt>
                <c:pt idx="283">
                  <c:v>44857</c:v>
                </c:pt>
                <c:pt idx="284">
                  <c:v>44858</c:v>
                </c:pt>
                <c:pt idx="285">
                  <c:v>44859</c:v>
                </c:pt>
                <c:pt idx="286">
                  <c:v>44860</c:v>
                </c:pt>
                <c:pt idx="287">
                  <c:v>44861</c:v>
                </c:pt>
                <c:pt idx="288">
                  <c:v>44862</c:v>
                </c:pt>
                <c:pt idx="289">
                  <c:v>44863</c:v>
                </c:pt>
                <c:pt idx="290">
                  <c:v>44864</c:v>
                </c:pt>
                <c:pt idx="291">
                  <c:v>44865</c:v>
                </c:pt>
                <c:pt idx="292">
                  <c:v>44866</c:v>
                </c:pt>
                <c:pt idx="293">
                  <c:v>44867</c:v>
                </c:pt>
                <c:pt idx="294">
                  <c:v>44868</c:v>
                </c:pt>
                <c:pt idx="295">
                  <c:v>44869</c:v>
                </c:pt>
                <c:pt idx="296">
                  <c:v>44870</c:v>
                </c:pt>
                <c:pt idx="297">
                  <c:v>44871</c:v>
                </c:pt>
                <c:pt idx="298">
                  <c:v>44872</c:v>
                </c:pt>
                <c:pt idx="299">
                  <c:v>44873</c:v>
                </c:pt>
                <c:pt idx="300">
                  <c:v>44874</c:v>
                </c:pt>
                <c:pt idx="301">
                  <c:v>44875</c:v>
                </c:pt>
                <c:pt idx="302">
                  <c:v>44876</c:v>
                </c:pt>
                <c:pt idx="303">
                  <c:v>44877</c:v>
                </c:pt>
                <c:pt idx="304">
                  <c:v>44878</c:v>
                </c:pt>
                <c:pt idx="305">
                  <c:v>44879</c:v>
                </c:pt>
                <c:pt idx="306">
                  <c:v>44880</c:v>
                </c:pt>
                <c:pt idx="307">
                  <c:v>44881</c:v>
                </c:pt>
                <c:pt idx="308">
                  <c:v>44882</c:v>
                </c:pt>
                <c:pt idx="309">
                  <c:v>44883</c:v>
                </c:pt>
                <c:pt idx="310">
                  <c:v>44884</c:v>
                </c:pt>
                <c:pt idx="311">
                  <c:v>44885</c:v>
                </c:pt>
                <c:pt idx="312">
                  <c:v>44886</c:v>
                </c:pt>
                <c:pt idx="313">
                  <c:v>44887</c:v>
                </c:pt>
                <c:pt idx="314">
                  <c:v>44888</c:v>
                </c:pt>
                <c:pt idx="315">
                  <c:v>44889</c:v>
                </c:pt>
                <c:pt idx="316">
                  <c:v>44890</c:v>
                </c:pt>
                <c:pt idx="317">
                  <c:v>44891</c:v>
                </c:pt>
                <c:pt idx="318">
                  <c:v>44892</c:v>
                </c:pt>
                <c:pt idx="319">
                  <c:v>44893</c:v>
                </c:pt>
                <c:pt idx="320">
                  <c:v>44894</c:v>
                </c:pt>
                <c:pt idx="321">
                  <c:v>44895</c:v>
                </c:pt>
                <c:pt idx="322">
                  <c:v>44896</c:v>
                </c:pt>
                <c:pt idx="323">
                  <c:v>44897</c:v>
                </c:pt>
                <c:pt idx="324">
                  <c:v>44898</c:v>
                </c:pt>
                <c:pt idx="325">
                  <c:v>44899</c:v>
                </c:pt>
                <c:pt idx="326">
                  <c:v>44900</c:v>
                </c:pt>
                <c:pt idx="327">
                  <c:v>44901</c:v>
                </c:pt>
                <c:pt idx="328">
                  <c:v>44902</c:v>
                </c:pt>
                <c:pt idx="329">
                  <c:v>44903</c:v>
                </c:pt>
                <c:pt idx="330">
                  <c:v>44904</c:v>
                </c:pt>
                <c:pt idx="331">
                  <c:v>44905</c:v>
                </c:pt>
                <c:pt idx="332">
                  <c:v>44906</c:v>
                </c:pt>
                <c:pt idx="333">
                  <c:v>44907</c:v>
                </c:pt>
                <c:pt idx="334">
                  <c:v>44908</c:v>
                </c:pt>
                <c:pt idx="335">
                  <c:v>44909</c:v>
                </c:pt>
                <c:pt idx="336">
                  <c:v>44910</c:v>
                </c:pt>
                <c:pt idx="337">
                  <c:v>44911</c:v>
                </c:pt>
                <c:pt idx="338">
                  <c:v>44912</c:v>
                </c:pt>
                <c:pt idx="339">
                  <c:v>44913</c:v>
                </c:pt>
                <c:pt idx="340">
                  <c:v>44914</c:v>
                </c:pt>
                <c:pt idx="341">
                  <c:v>44915</c:v>
                </c:pt>
                <c:pt idx="342">
                  <c:v>44916</c:v>
                </c:pt>
                <c:pt idx="343">
                  <c:v>44917</c:v>
                </c:pt>
                <c:pt idx="344">
                  <c:v>44918</c:v>
                </c:pt>
                <c:pt idx="345">
                  <c:v>44919</c:v>
                </c:pt>
                <c:pt idx="346">
                  <c:v>44920</c:v>
                </c:pt>
                <c:pt idx="347">
                  <c:v>44921</c:v>
                </c:pt>
                <c:pt idx="348">
                  <c:v>44922</c:v>
                </c:pt>
                <c:pt idx="349">
                  <c:v>44923</c:v>
                </c:pt>
                <c:pt idx="350">
                  <c:v>44924</c:v>
                </c:pt>
                <c:pt idx="351">
                  <c:v>44925</c:v>
                </c:pt>
                <c:pt idx="352">
                  <c:v>44926</c:v>
                </c:pt>
              </c:numCache>
            </c:numRef>
          </c:cat>
          <c:val>
            <c:numRef>
              <c:f>CURVE_Haarvaten_obv_Kooijpolder!$E$5:$E$357</c:f>
              <c:numCache>
                <c:formatCode>General</c:formatCode>
                <c:ptCount val="353"/>
                <c:pt idx="0">
                  <c:v>3</c:v>
                </c:pt>
                <c:pt idx="1">
                  <c:v>3.8</c:v>
                </c:pt>
                <c:pt idx="2">
                  <c:v>3.1</c:v>
                </c:pt>
                <c:pt idx="3">
                  <c:v>3.1</c:v>
                </c:pt>
                <c:pt idx="4">
                  <c:v>3.1</c:v>
                </c:pt>
                <c:pt idx="5">
                  <c:v>3.6</c:v>
                </c:pt>
                <c:pt idx="6">
                  <c:v>1.8</c:v>
                </c:pt>
                <c:pt idx="7">
                  <c:v>3.4</c:v>
                </c:pt>
                <c:pt idx="8">
                  <c:v>2.1</c:v>
                </c:pt>
                <c:pt idx="9">
                  <c:v>1.3</c:v>
                </c:pt>
                <c:pt idx="10">
                  <c:v>4</c:v>
                </c:pt>
                <c:pt idx="11">
                  <c:v>4.8</c:v>
                </c:pt>
                <c:pt idx="12">
                  <c:v>4.5999999999999996</c:v>
                </c:pt>
                <c:pt idx="13">
                  <c:v>3.8</c:v>
                </c:pt>
                <c:pt idx="14">
                  <c:v>3</c:v>
                </c:pt>
                <c:pt idx="15">
                  <c:v>3.9</c:v>
                </c:pt>
                <c:pt idx="16">
                  <c:v>2.8</c:v>
                </c:pt>
                <c:pt idx="17">
                  <c:v>5.6</c:v>
                </c:pt>
                <c:pt idx="18">
                  <c:v>3.3</c:v>
                </c:pt>
                <c:pt idx="19">
                  <c:v>3.1</c:v>
                </c:pt>
                <c:pt idx="20">
                  <c:v>2.7</c:v>
                </c:pt>
                <c:pt idx="21">
                  <c:v>5.3</c:v>
                </c:pt>
                <c:pt idx="22">
                  <c:v>6.3</c:v>
                </c:pt>
                <c:pt idx="23">
                  <c:v>3.8</c:v>
                </c:pt>
                <c:pt idx="24">
                  <c:v>2.4</c:v>
                </c:pt>
                <c:pt idx="25">
                  <c:v>4.5999999999999996</c:v>
                </c:pt>
                <c:pt idx="26">
                  <c:v>3.3</c:v>
                </c:pt>
                <c:pt idx="27">
                  <c:v>5.3</c:v>
                </c:pt>
                <c:pt idx="28">
                  <c:v>7.3</c:v>
                </c:pt>
                <c:pt idx="29">
                  <c:v>5.0999999999999996</c:v>
                </c:pt>
                <c:pt idx="30">
                  <c:v>3.4</c:v>
                </c:pt>
                <c:pt idx="31">
                  <c:v>0.8</c:v>
                </c:pt>
                <c:pt idx="32">
                  <c:v>0.2</c:v>
                </c:pt>
                <c:pt idx="33">
                  <c:v>5.8</c:v>
                </c:pt>
                <c:pt idx="34">
                  <c:v>5.3</c:v>
                </c:pt>
                <c:pt idx="35">
                  <c:v>6.9</c:v>
                </c:pt>
                <c:pt idx="36">
                  <c:v>5.9</c:v>
                </c:pt>
                <c:pt idx="37">
                  <c:v>3.6</c:v>
                </c:pt>
                <c:pt idx="38">
                  <c:v>2.4</c:v>
                </c:pt>
                <c:pt idx="39">
                  <c:v>4.2</c:v>
                </c:pt>
                <c:pt idx="40">
                  <c:v>3.8</c:v>
                </c:pt>
                <c:pt idx="41">
                  <c:v>3.2</c:v>
                </c:pt>
                <c:pt idx="42">
                  <c:v>3.4</c:v>
                </c:pt>
                <c:pt idx="43">
                  <c:v>3.2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0.9</c:v>
                </c:pt>
                <c:pt idx="47">
                  <c:v>2</c:v>
                </c:pt>
                <c:pt idx="48">
                  <c:v>3.4</c:v>
                </c:pt>
                <c:pt idx="49">
                  <c:v>4.5999999999999996</c:v>
                </c:pt>
                <c:pt idx="50">
                  <c:v>2.6</c:v>
                </c:pt>
                <c:pt idx="51">
                  <c:v>0.8</c:v>
                </c:pt>
                <c:pt idx="52">
                  <c:v>0.6</c:v>
                </c:pt>
                <c:pt idx="53">
                  <c:v>1.6</c:v>
                </c:pt>
                <c:pt idx="54">
                  <c:v>2.8</c:v>
                </c:pt>
                <c:pt idx="55">
                  <c:v>0.2</c:v>
                </c:pt>
                <c:pt idx="56">
                  <c:v>2.2999999999999998</c:v>
                </c:pt>
                <c:pt idx="57">
                  <c:v>3.8</c:v>
                </c:pt>
                <c:pt idx="58">
                  <c:v>3</c:v>
                </c:pt>
                <c:pt idx="59">
                  <c:v>6</c:v>
                </c:pt>
                <c:pt idx="60">
                  <c:v>7.4</c:v>
                </c:pt>
                <c:pt idx="61">
                  <c:v>8.5</c:v>
                </c:pt>
                <c:pt idx="62">
                  <c:v>7.9</c:v>
                </c:pt>
                <c:pt idx="63">
                  <c:v>6.4</c:v>
                </c:pt>
                <c:pt idx="64">
                  <c:v>7.3</c:v>
                </c:pt>
                <c:pt idx="65">
                  <c:v>6.5</c:v>
                </c:pt>
                <c:pt idx="66">
                  <c:v>5.9</c:v>
                </c:pt>
                <c:pt idx="67">
                  <c:v>3</c:v>
                </c:pt>
                <c:pt idx="68">
                  <c:v>2.4</c:v>
                </c:pt>
                <c:pt idx="69">
                  <c:v>6.4</c:v>
                </c:pt>
                <c:pt idx="70">
                  <c:v>7.8</c:v>
                </c:pt>
                <c:pt idx="71">
                  <c:v>7.8</c:v>
                </c:pt>
                <c:pt idx="72">
                  <c:v>8</c:v>
                </c:pt>
                <c:pt idx="73">
                  <c:v>8.1</c:v>
                </c:pt>
                <c:pt idx="74">
                  <c:v>10.1</c:v>
                </c:pt>
                <c:pt idx="75">
                  <c:v>9.3000000000000007</c:v>
                </c:pt>
                <c:pt idx="76">
                  <c:v>10.1</c:v>
                </c:pt>
                <c:pt idx="77">
                  <c:v>8.3000000000000007</c:v>
                </c:pt>
                <c:pt idx="78">
                  <c:v>2.1</c:v>
                </c:pt>
                <c:pt idx="79">
                  <c:v>0.4</c:v>
                </c:pt>
                <c:pt idx="80">
                  <c:v>3</c:v>
                </c:pt>
                <c:pt idx="81">
                  <c:v>4</c:v>
                </c:pt>
                <c:pt idx="82">
                  <c:v>5.2</c:v>
                </c:pt>
                <c:pt idx="83">
                  <c:v>7.7</c:v>
                </c:pt>
                <c:pt idx="84">
                  <c:v>8.1</c:v>
                </c:pt>
                <c:pt idx="85">
                  <c:v>7.3</c:v>
                </c:pt>
                <c:pt idx="86">
                  <c:v>5.6</c:v>
                </c:pt>
                <c:pt idx="87">
                  <c:v>4.8</c:v>
                </c:pt>
                <c:pt idx="88">
                  <c:v>5.0999999999999996</c:v>
                </c:pt>
                <c:pt idx="89">
                  <c:v>8.5</c:v>
                </c:pt>
                <c:pt idx="90">
                  <c:v>8.6999999999999993</c:v>
                </c:pt>
                <c:pt idx="91">
                  <c:v>12.8</c:v>
                </c:pt>
                <c:pt idx="92">
                  <c:v>12.3</c:v>
                </c:pt>
                <c:pt idx="93">
                  <c:v>13</c:v>
                </c:pt>
                <c:pt idx="94">
                  <c:v>11.4</c:v>
                </c:pt>
                <c:pt idx="95">
                  <c:v>10.4</c:v>
                </c:pt>
                <c:pt idx="96">
                  <c:v>10.9</c:v>
                </c:pt>
                <c:pt idx="97">
                  <c:v>12.1</c:v>
                </c:pt>
                <c:pt idx="98">
                  <c:v>11</c:v>
                </c:pt>
                <c:pt idx="99">
                  <c:v>10.8</c:v>
                </c:pt>
                <c:pt idx="100">
                  <c:v>11</c:v>
                </c:pt>
                <c:pt idx="101">
                  <c:v>10.6</c:v>
                </c:pt>
                <c:pt idx="102">
                  <c:v>10</c:v>
                </c:pt>
                <c:pt idx="103">
                  <c:v>10</c:v>
                </c:pt>
                <c:pt idx="104">
                  <c:v>8.8000000000000007</c:v>
                </c:pt>
                <c:pt idx="105">
                  <c:v>10.9</c:v>
                </c:pt>
                <c:pt idx="106">
                  <c:v>9</c:v>
                </c:pt>
                <c:pt idx="107">
                  <c:v>10.1</c:v>
                </c:pt>
                <c:pt idx="108">
                  <c:v>9.3000000000000007</c:v>
                </c:pt>
                <c:pt idx="109">
                  <c:v>10</c:v>
                </c:pt>
                <c:pt idx="110">
                  <c:v>11.1</c:v>
                </c:pt>
                <c:pt idx="111">
                  <c:v>12.1</c:v>
                </c:pt>
                <c:pt idx="112">
                  <c:v>12</c:v>
                </c:pt>
                <c:pt idx="113">
                  <c:v>19.100000000000001</c:v>
                </c:pt>
                <c:pt idx="114">
                  <c:v>16</c:v>
                </c:pt>
                <c:pt idx="115">
                  <c:v>13.4</c:v>
                </c:pt>
                <c:pt idx="116">
                  <c:v>13.2</c:v>
                </c:pt>
                <c:pt idx="117">
                  <c:v>15.8</c:v>
                </c:pt>
                <c:pt idx="118">
                  <c:v>14.3</c:v>
                </c:pt>
                <c:pt idx="119">
                  <c:v>13.5</c:v>
                </c:pt>
                <c:pt idx="120">
                  <c:v>14.8</c:v>
                </c:pt>
                <c:pt idx="121">
                  <c:v>15</c:v>
                </c:pt>
                <c:pt idx="122">
                  <c:v>15.9</c:v>
                </c:pt>
                <c:pt idx="123">
                  <c:v>16.8</c:v>
                </c:pt>
                <c:pt idx="124">
                  <c:v>16.899999999999999</c:v>
                </c:pt>
                <c:pt idx="125">
                  <c:v>18.399999999999999</c:v>
                </c:pt>
                <c:pt idx="126">
                  <c:v>19</c:v>
                </c:pt>
                <c:pt idx="127">
                  <c:v>15.9</c:v>
                </c:pt>
                <c:pt idx="128">
                  <c:v>14.4</c:v>
                </c:pt>
                <c:pt idx="129">
                  <c:v>15.8</c:v>
                </c:pt>
                <c:pt idx="130">
                  <c:v>16.8</c:v>
                </c:pt>
                <c:pt idx="131">
                  <c:v>15.6</c:v>
                </c:pt>
                <c:pt idx="132">
                  <c:v>15</c:v>
                </c:pt>
                <c:pt idx="133">
                  <c:v>14.4</c:v>
                </c:pt>
                <c:pt idx="134">
                  <c:v>14.8</c:v>
                </c:pt>
                <c:pt idx="135">
                  <c:v>13.2</c:v>
                </c:pt>
                <c:pt idx="136">
                  <c:v>13</c:v>
                </c:pt>
                <c:pt idx="137">
                  <c:v>12.8</c:v>
                </c:pt>
                <c:pt idx="138">
                  <c:v>14</c:v>
                </c:pt>
                <c:pt idx="139">
                  <c:v>14.1</c:v>
                </c:pt>
                <c:pt idx="140">
                  <c:v>14.4</c:v>
                </c:pt>
                <c:pt idx="141">
                  <c:v>15</c:v>
                </c:pt>
                <c:pt idx="142">
                  <c:v>14.8</c:v>
                </c:pt>
                <c:pt idx="143">
                  <c:v>14.8</c:v>
                </c:pt>
                <c:pt idx="144">
                  <c:v>15.4</c:v>
                </c:pt>
                <c:pt idx="145">
                  <c:v>14.3</c:v>
                </c:pt>
                <c:pt idx="146">
                  <c:v>16.8</c:v>
                </c:pt>
                <c:pt idx="147">
                  <c:v>15.4</c:v>
                </c:pt>
                <c:pt idx="148">
                  <c:v>17.5</c:v>
                </c:pt>
                <c:pt idx="149">
                  <c:v>17.2</c:v>
                </c:pt>
                <c:pt idx="150">
                  <c:v>17.8</c:v>
                </c:pt>
                <c:pt idx="151">
                  <c:v>18</c:v>
                </c:pt>
                <c:pt idx="152">
                  <c:v>16.8</c:v>
                </c:pt>
                <c:pt idx="153">
                  <c:v>17.100000000000001</c:v>
                </c:pt>
                <c:pt idx="154">
                  <c:v>18.3</c:v>
                </c:pt>
                <c:pt idx="155">
                  <c:v>20.100000000000001</c:v>
                </c:pt>
                <c:pt idx="156">
                  <c:v>20.7</c:v>
                </c:pt>
                <c:pt idx="157">
                  <c:v>16.399999999999999</c:v>
                </c:pt>
                <c:pt idx="158">
                  <c:v>15.9</c:v>
                </c:pt>
                <c:pt idx="159">
                  <c:v>16</c:v>
                </c:pt>
                <c:pt idx="160">
                  <c:v>17.3</c:v>
                </c:pt>
                <c:pt idx="161">
                  <c:v>18.899999999999999</c:v>
                </c:pt>
                <c:pt idx="162">
                  <c:v>21.8</c:v>
                </c:pt>
                <c:pt idx="163">
                  <c:v>20.6</c:v>
                </c:pt>
                <c:pt idx="164">
                  <c:v>18.899999999999999</c:v>
                </c:pt>
                <c:pt idx="165">
                  <c:v>18.600000000000001</c:v>
                </c:pt>
                <c:pt idx="166">
                  <c:v>16.600000000000001</c:v>
                </c:pt>
                <c:pt idx="167">
                  <c:v>18.8</c:v>
                </c:pt>
                <c:pt idx="168">
                  <c:v>19.399999999999999</c:v>
                </c:pt>
                <c:pt idx="169">
                  <c:v>17.2</c:v>
                </c:pt>
                <c:pt idx="170">
                  <c:v>16.8</c:v>
                </c:pt>
                <c:pt idx="171">
                  <c:v>19.600000000000001</c:v>
                </c:pt>
                <c:pt idx="172">
                  <c:v>18.5</c:v>
                </c:pt>
                <c:pt idx="173">
                  <c:v>19.3</c:v>
                </c:pt>
                <c:pt idx="174">
                  <c:v>17.2</c:v>
                </c:pt>
                <c:pt idx="175">
                  <c:v>17.3</c:v>
                </c:pt>
                <c:pt idx="176">
                  <c:v>15.3</c:v>
                </c:pt>
                <c:pt idx="177">
                  <c:v>19.5</c:v>
                </c:pt>
                <c:pt idx="178">
                  <c:v>16.8</c:v>
                </c:pt>
                <c:pt idx="179">
                  <c:v>18.7</c:v>
                </c:pt>
                <c:pt idx="180">
                  <c:v>19.7</c:v>
                </c:pt>
                <c:pt idx="181">
                  <c:v>22</c:v>
                </c:pt>
                <c:pt idx="182">
                  <c:v>18.600000000000001</c:v>
                </c:pt>
                <c:pt idx="183">
                  <c:v>17.3</c:v>
                </c:pt>
                <c:pt idx="184">
                  <c:v>18.7</c:v>
                </c:pt>
                <c:pt idx="185">
                  <c:v>17.600000000000001</c:v>
                </c:pt>
                <c:pt idx="186">
                  <c:v>20</c:v>
                </c:pt>
                <c:pt idx="187">
                  <c:v>22.3</c:v>
                </c:pt>
                <c:pt idx="188">
                  <c:v>22.6</c:v>
                </c:pt>
                <c:pt idx="189">
                  <c:v>18.899999999999999</c:v>
                </c:pt>
                <c:pt idx="190">
                  <c:v>18</c:v>
                </c:pt>
                <c:pt idx="191">
                  <c:v>17.399999999999999</c:v>
                </c:pt>
                <c:pt idx="192">
                  <c:v>20.100000000000001</c:v>
                </c:pt>
                <c:pt idx="193">
                  <c:v>21.3</c:v>
                </c:pt>
                <c:pt idx="194">
                  <c:v>18.399999999999999</c:v>
                </c:pt>
                <c:pt idx="195">
                  <c:v>16.8</c:v>
                </c:pt>
                <c:pt idx="196">
                  <c:v>15.9</c:v>
                </c:pt>
                <c:pt idx="197">
                  <c:v>16.3</c:v>
                </c:pt>
                <c:pt idx="198">
                  <c:v>18</c:v>
                </c:pt>
                <c:pt idx="199">
                  <c:v>20.100000000000001</c:v>
                </c:pt>
                <c:pt idx="200">
                  <c:v>19.100000000000001</c:v>
                </c:pt>
                <c:pt idx="201">
                  <c:v>18</c:v>
                </c:pt>
                <c:pt idx="202">
                  <c:v>20.2</c:v>
                </c:pt>
                <c:pt idx="203">
                  <c:v>22.1</c:v>
                </c:pt>
                <c:pt idx="204">
                  <c:v>19</c:v>
                </c:pt>
                <c:pt idx="205">
                  <c:v>16.5</c:v>
                </c:pt>
                <c:pt idx="206">
                  <c:v>17.399999999999999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18.600000000000001</c:v>
                </c:pt>
                <c:pt idx="210">
                  <c:v>19.7</c:v>
                </c:pt>
                <c:pt idx="211">
                  <c:v>20.100000000000001</c:v>
                </c:pt>
                <c:pt idx="212">
                  <c:v>20.399999999999999</c:v>
                </c:pt>
                <c:pt idx="213">
                  <c:v>21.5</c:v>
                </c:pt>
                <c:pt idx="214">
                  <c:v>22.8</c:v>
                </c:pt>
                <c:pt idx="215">
                  <c:v>20.8</c:v>
                </c:pt>
                <c:pt idx="216">
                  <c:v>20.5</c:v>
                </c:pt>
                <c:pt idx="217">
                  <c:v>19.399999999999999</c:v>
                </c:pt>
                <c:pt idx="218">
                  <c:v>20</c:v>
                </c:pt>
                <c:pt idx="219">
                  <c:v>20.6</c:v>
                </c:pt>
                <c:pt idx="220">
                  <c:v>19.100000000000001</c:v>
                </c:pt>
                <c:pt idx="221">
                  <c:v>19.8</c:v>
                </c:pt>
                <c:pt idx="222">
                  <c:v>20.399999999999999</c:v>
                </c:pt>
                <c:pt idx="223">
                  <c:v>21.3</c:v>
                </c:pt>
                <c:pt idx="224">
                  <c:v>21.9</c:v>
                </c:pt>
                <c:pt idx="225">
                  <c:v>19.8</c:v>
                </c:pt>
                <c:pt idx="226">
                  <c:v>17.399999999999999</c:v>
                </c:pt>
                <c:pt idx="227">
                  <c:v>16</c:v>
                </c:pt>
                <c:pt idx="228">
                  <c:v>16.399999999999999</c:v>
                </c:pt>
                <c:pt idx="229">
                  <c:v>16.5</c:v>
                </c:pt>
                <c:pt idx="230">
                  <c:v>15.7</c:v>
                </c:pt>
                <c:pt idx="231">
                  <c:v>15</c:v>
                </c:pt>
                <c:pt idx="232">
                  <c:v>15.4</c:v>
                </c:pt>
                <c:pt idx="233">
                  <c:v>15.4</c:v>
                </c:pt>
                <c:pt idx="234">
                  <c:v>17.8</c:v>
                </c:pt>
                <c:pt idx="235">
                  <c:v>18.100000000000001</c:v>
                </c:pt>
                <c:pt idx="236">
                  <c:v>18.899999999999999</c:v>
                </c:pt>
                <c:pt idx="237">
                  <c:v>18.600000000000001</c:v>
                </c:pt>
                <c:pt idx="238">
                  <c:v>19</c:v>
                </c:pt>
                <c:pt idx="239">
                  <c:v>16.100000000000001</c:v>
                </c:pt>
                <c:pt idx="240">
                  <c:v>15.9</c:v>
                </c:pt>
                <c:pt idx="241">
                  <c:v>16.3</c:v>
                </c:pt>
                <c:pt idx="242">
                  <c:v>17.600000000000001</c:v>
                </c:pt>
                <c:pt idx="243">
                  <c:v>19.8</c:v>
                </c:pt>
                <c:pt idx="244">
                  <c:v>18</c:v>
                </c:pt>
                <c:pt idx="245">
                  <c:v>15.4</c:v>
                </c:pt>
                <c:pt idx="246">
                  <c:v>13.1</c:v>
                </c:pt>
                <c:pt idx="247">
                  <c:v>11.4</c:v>
                </c:pt>
                <c:pt idx="248">
                  <c:v>11.3</c:v>
                </c:pt>
                <c:pt idx="249">
                  <c:v>10.7</c:v>
                </c:pt>
                <c:pt idx="250">
                  <c:v>13</c:v>
                </c:pt>
                <c:pt idx="251">
                  <c:v>13.4</c:v>
                </c:pt>
                <c:pt idx="252">
                  <c:v>12.5</c:v>
                </c:pt>
                <c:pt idx="253">
                  <c:v>13.1</c:v>
                </c:pt>
                <c:pt idx="254">
                  <c:v>13.4</c:v>
                </c:pt>
                <c:pt idx="255">
                  <c:v>12.1</c:v>
                </c:pt>
                <c:pt idx="256">
                  <c:v>12.6</c:v>
                </c:pt>
                <c:pt idx="257">
                  <c:v>10.6</c:v>
                </c:pt>
                <c:pt idx="258">
                  <c:v>10.4</c:v>
                </c:pt>
                <c:pt idx="259">
                  <c:v>10.4</c:v>
                </c:pt>
                <c:pt idx="260">
                  <c:v>10.8</c:v>
                </c:pt>
                <c:pt idx="261">
                  <c:v>11.9</c:v>
                </c:pt>
                <c:pt idx="262">
                  <c:v>12.9</c:v>
                </c:pt>
                <c:pt idx="263">
                  <c:v>11.8</c:v>
                </c:pt>
                <c:pt idx="264">
                  <c:v>11.9</c:v>
                </c:pt>
                <c:pt idx="265">
                  <c:v>13.8</c:v>
                </c:pt>
                <c:pt idx="266">
                  <c:v>11.3</c:v>
                </c:pt>
                <c:pt idx="267">
                  <c:v>11</c:v>
                </c:pt>
                <c:pt idx="268">
                  <c:v>11.3</c:v>
                </c:pt>
                <c:pt idx="269">
                  <c:v>10.4</c:v>
                </c:pt>
                <c:pt idx="270">
                  <c:v>9.6</c:v>
                </c:pt>
                <c:pt idx="271">
                  <c:v>9.1</c:v>
                </c:pt>
                <c:pt idx="272">
                  <c:v>9.3000000000000007</c:v>
                </c:pt>
                <c:pt idx="273">
                  <c:v>11.2</c:v>
                </c:pt>
                <c:pt idx="274">
                  <c:v>10.7</c:v>
                </c:pt>
                <c:pt idx="275">
                  <c:v>11.8</c:v>
                </c:pt>
                <c:pt idx="276">
                  <c:v>11.8</c:v>
                </c:pt>
                <c:pt idx="277">
                  <c:v>13.1</c:v>
                </c:pt>
                <c:pt idx="278">
                  <c:v>11.8</c:v>
                </c:pt>
                <c:pt idx="279">
                  <c:v>10.1</c:v>
                </c:pt>
                <c:pt idx="280">
                  <c:v>9</c:v>
                </c:pt>
                <c:pt idx="281">
                  <c:v>10.9</c:v>
                </c:pt>
                <c:pt idx="282">
                  <c:v>12.1</c:v>
                </c:pt>
                <c:pt idx="283">
                  <c:v>12.3</c:v>
                </c:pt>
                <c:pt idx="284">
                  <c:v>12.6</c:v>
                </c:pt>
                <c:pt idx="285">
                  <c:v>12.3</c:v>
                </c:pt>
                <c:pt idx="286">
                  <c:v>11.9</c:v>
                </c:pt>
                <c:pt idx="287">
                  <c:v>12.6</c:v>
                </c:pt>
                <c:pt idx="288">
                  <c:v>13</c:v>
                </c:pt>
                <c:pt idx="289">
                  <c:v>12.9</c:v>
                </c:pt>
                <c:pt idx="290">
                  <c:v>12.6</c:v>
                </c:pt>
                <c:pt idx="291">
                  <c:v>11.6</c:v>
                </c:pt>
                <c:pt idx="292">
                  <c:v>11.5</c:v>
                </c:pt>
                <c:pt idx="293">
                  <c:v>10.1</c:v>
                </c:pt>
                <c:pt idx="294">
                  <c:v>9.6</c:v>
                </c:pt>
                <c:pt idx="295">
                  <c:v>10</c:v>
                </c:pt>
                <c:pt idx="296">
                  <c:v>8.6</c:v>
                </c:pt>
                <c:pt idx="297">
                  <c:v>9.6</c:v>
                </c:pt>
                <c:pt idx="298">
                  <c:v>9.4</c:v>
                </c:pt>
                <c:pt idx="299">
                  <c:v>9.5</c:v>
                </c:pt>
                <c:pt idx="300">
                  <c:v>9.8000000000000007</c:v>
                </c:pt>
                <c:pt idx="301">
                  <c:v>9.6</c:v>
                </c:pt>
                <c:pt idx="302">
                  <c:v>8.6</c:v>
                </c:pt>
                <c:pt idx="303">
                  <c:v>8.1999999999999993</c:v>
                </c:pt>
                <c:pt idx="304">
                  <c:v>6.8</c:v>
                </c:pt>
                <c:pt idx="305">
                  <c:v>4.5999999999999996</c:v>
                </c:pt>
                <c:pt idx="306">
                  <c:v>5.8</c:v>
                </c:pt>
                <c:pt idx="307">
                  <c:v>8.4</c:v>
                </c:pt>
                <c:pt idx="308">
                  <c:v>8.4</c:v>
                </c:pt>
                <c:pt idx="309">
                  <c:v>6.8</c:v>
                </c:pt>
                <c:pt idx="310">
                  <c:v>1.8</c:v>
                </c:pt>
                <c:pt idx="311">
                  <c:v>1.1000000000000001</c:v>
                </c:pt>
                <c:pt idx="312">
                  <c:v>2.6</c:v>
                </c:pt>
                <c:pt idx="313">
                  <c:v>4.5999999999999996</c:v>
                </c:pt>
                <c:pt idx="314">
                  <c:v>6.1</c:v>
                </c:pt>
                <c:pt idx="315">
                  <c:v>6</c:v>
                </c:pt>
                <c:pt idx="316">
                  <c:v>6.3</c:v>
                </c:pt>
                <c:pt idx="317">
                  <c:v>5</c:v>
                </c:pt>
                <c:pt idx="318">
                  <c:v>5.4</c:v>
                </c:pt>
                <c:pt idx="319">
                  <c:v>6.3</c:v>
                </c:pt>
                <c:pt idx="320">
                  <c:v>6.3</c:v>
                </c:pt>
                <c:pt idx="321">
                  <c:v>5.9</c:v>
                </c:pt>
                <c:pt idx="322">
                  <c:v>3.7</c:v>
                </c:pt>
                <c:pt idx="323">
                  <c:v>2.4</c:v>
                </c:pt>
                <c:pt idx="324">
                  <c:v>0.8</c:v>
                </c:pt>
                <c:pt idx="325">
                  <c:v>0.4</c:v>
                </c:pt>
                <c:pt idx="326">
                  <c:v>1.3</c:v>
                </c:pt>
                <c:pt idx="327">
                  <c:v>3.1</c:v>
                </c:pt>
                <c:pt idx="328">
                  <c:v>2.9</c:v>
                </c:pt>
                <c:pt idx="329">
                  <c:v>2.4</c:v>
                </c:pt>
                <c:pt idx="330">
                  <c:v>1.7</c:v>
                </c:pt>
                <c:pt idx="331">
                  <c:v>1.3</c:v>
                </c:pt>
                <c:pt idx="332">
                  <c:v>1.6</c:v>
                </c:pt>
                <c:pt idx="333">
                  <c:v>1</c:v>
                </c:pt>
                <c:pt idx="334">
                  <c:v>1.3</c:v>
                </c:pt>
                <c:pt idx="335">
                  <c:v>1.4</c:v>
                </c:pt>
                <c:pt idx="336">
                  <c:v>1.4</c:v>
                </c:pt>
                <c:pt idx="337">
                  <c:v>1.5</c:v>
                </c:pt>
                <c:pt idx="338">
                  <c:v>1.4</c:v>
                </c:pt>
                <c:pt idx="339">
                  <c:v>1.3</c:v>
                </c:pt>
                <c:pt idx="340">
                  <c:v>0.1</c:v>
                </c:pt>
                <c:pt idx="341">
                  <c:v>0.3</c:v>
                </c:pt>
                <c:pt idx="342">
                  <c:v>2.5</c:v>
                </c:pt>
                <c:pt idx="343">
                  <c:v>4.5999999999999996</c:v>
                </c:pt>
                <c:pt idx="344">
                  <c:v>6.6</c:v>
                </c:pt>
                <c:pt idx="345">
                  <c:v>5.9</c:v>
                </c:pt>
                <c:pt idx="346">
                  <c:v>5.6</c:v>
                </c:pt>
                <c:pt idx="347">
                  <c:v>4.3</c:v>
                </c:pt>
                <c:pt idx="348">
                  <c:v>3.3</c:v>
                </c:pt>
                <c:pt idx="349">
                  <c:v>4.8</c:v>
                </c:pt>
                <c:pt idx="350">
                  <c:v>6</c:v>
                </c:pt>
                <c:pt idx="351">
                  <c:v>3.6</c:v>
                </c:pt>
                <c:pt idx="352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17-419A-AA2A-CFE08B4726E0}"/>
            </c:ext>
          </c:extLst>
        </c:ser>
        <c:ser>
          <c:idx val="2"/>
          <c:order val="2"/>
          <c:tx>
            <c:strRef>
              <c:f>CURVE_Haarvaten_obv_Kooijpolder!$F$4</c:f>
              <c:strCache>
                <c:ptCount val="1"/>
                <c:pt idx="0">
                  <c:v>Basisreeks Haarvaten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CURVE_Haarvaten_obv_Kooijpolder!$C$5:$C$357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44687</c:v>
                </c:pt>
                <c:pt idx="114">
                  <c:v>44688</c:v>
                </c:pt>
                <c:pt idx="115">
                  <c:v>44689</c:v>
                </c:pt>
                <c:pt idx="116">
                  <c:v>44690</c:v>
                </c:pt>
                <c:pt idx="117">
                  <c:v>44691</c:v>
                </c:pt>
                <c:pt idx="118">
                  <c:v>44692</c:v>
                </c:pt>
                <c:pt idx="119">
                  <c:v>44693</c:v>
                </c:pt>
                <c:pt idx="120">
                  <c:v>44694</c:v>
                </c:pt>
                <c:pt idx="121">
                  <c:v>44695</c:v>
                </c:pt>
                <c:pt idx="122">
                  <c:v>44696</c:v>
                </c:pt>
                <c:pt idx="123">
                  <c:v>44697</c:v>
                </c:pt>
                <c:pt idx="124">
                  <c:v>44698</c:v>
                </c:pt>
                <c:pt idx="125">
                  <c:v>44699</c:v>
                </c:pt>
                <c:pt idx="126">
                  <c:v>44700</c:v>
                </c:pt>
                <c:pt idx="127">
                  <c:v>44701</c:v>
                </c:pt>
                <c:pt idx="128">
                  <c:v>44702</c:v>
                </c:pt>
                <c:pt idx="129">
                  <c:v>44703</c:v>
                </c:pt>
                <c:pt idx="130">
                  <c:v>44704</c:v>
                </c:pt>
                <c:pt idx="131">
                  <c:v>44705</c:v>
                </c:pt>
                <c:pt idx="132">
                  <c:v>44706</c:v>
                </c:pt>
                <c:pt idx="133">
                  <c:v>44707</c:v>
                </c:pt>
                <c:pt idx="134">
                  <c:v>44708</c:v>
                </c:pt>
                <c:pt idx="135">
                  <c:v>44709</c:v>
                </c:pt>
                <c:pt idx="136">
                  <c:v>44710</c:v>
                </c:pt>
                <c:pt idx="137">
                  <c:v>44711</c:v>
                </c:pt>
                <c:pt idx="138">
                  <c:v>44712</c:v>
                </c:pt>
                <c:pt idx="139">
                  <c:v>44713</c:v>
                </c:pt>
                <c:pt idx="140">
                  <c:v>44714</c:v>
                </c:pt>
                <c:pt idx="141">
                  <c:v>44715</c:v>
                </c:pt>
                <c:pt idx="142">
                  <c:v>44716</c:v>
                </c:pt>
                <c:pt idx="143">
                  <c:v>44717</c:v>
                </c:pt>
                <c:pt idx="144">
                  <c:v>44718</c:v>
                </c:pt>
                <c:pt idx="145">
                  <c:v>44719</c:v>
                </c:pt>
                <c:pt idx="146">
                  <c:v>44720</c:v>
                </c:pt>
                <c:pt idx="147">
                  <c:v>44721</c:v>
                </c:pt>
                <c:pt idx="148">
                  <c:v>44722</c:v>
                </c:pt>
                <c:pt idx="149">
                  <c:v>44723</c:v>
                </c:pt>
                <c:pt idx="150">
                  <c:v>44724</c:v>
                </c:pt>
                <c:pt idx="151">
                  <c:v>44725</c:v>
                </c:pt>
                <c:pt idx="152">
                  <c:v>44726</c:v>
                </c:pt>
                <c:pt idx="153">
                  <c:v>44727</c:v>
                </c:pt>
                <c:pt idx="154">
                  <c:v>44728</c:v>
                </c:pt>
                <c:pt idx="155">
                  <c:v>44729</c:v>
                </c:pt>
                <c:pt idx="156">
                  <c:v>44730</c:v>
                </c:pt>
                <c:pt idx="157">
                  <c:v>44731</c:v>
                </c:pt>
                <c:pt idx="158">
                  <c:v>44732</c:v>
                </c:pt>
                <c:pt idx="159">
                  <c:v>44733</c:v>
                </c:pt>
                <c:pt idx="160">
                  <c:v>44734</c:v>
                </c:pt>
                <c:pt idx="161">
                  <c:v>44735</c:v>
                </c:pt>
                <c:pt idx="162">
                  <c:v>44736</c:v>
                </c:pt>
                <c:pt idx="163">
                  <c:v>44737</c:v>
                </c:pt>
                <c:pt idx="164">
                  <c:v>44738</c:v>
                </c:pt>
                <c:pt idx="165">
                  <c:v>44739</c:v>
                </c:pt>
                <c:pt idx="166">
                  <c:v>44740</c:v>
                </c:pt>
                <c:pt idx="167">
                  <c:v>44741</c:v>
                </c:pt>
                <c:pt idx="168">
                  <c:v>44742</c:v>
                </c:pt>
                <c:pt idx="169">
                  <c:v>44743</c:v>
                </c:pt>
                <c:pt idx="170">
                  <c:v>44744</c:v>
                </c:pt>
                <c:pt idx="171">
                  <c:v>44745</c:v>
                </c:pt>
                <c:pt idx="172">
                  <c:v>44746</c:v>
                </c:pt>
                <c:pt idx="173">
                  <c:v>44747</c:v>
                </c:pt>
                <c:pt idx="174">
                  <c:v>44748</c:v>
                </c:pt>
                <c:pt idx="175">
                  <c:v>44749</c:v>
                </c:pt>
                <c:pt idx="176">
                  <c:v>44750</c:v>
                </c:pt>
                <c:pt idx="177">
                  <c:v>44751</c:v>
                </c:pt>
                <c:pt idx="178">
                  <c:v>44752</c:v>
                </c:pt>
                <c:pt idx="179">
                  <c:v>44753</c:v>
                </c:pt>
                <c:pt idx="180">
                  <c:v>44754</c:v>
                </c:pt>
                <c:pt idx="181">
                  <c:v>44755</c:v>
                </c:pt>
                <c:pt idx="182">
                  <c:v>44756</c:v>
                </c:pt>
                <c:pt idx="183">
                  <c:v>44757</c:v>
                </c:pt>
                <c:pt idx="184">
                  <c:v>44758</c:v>
                </c:pt>
                <c:pt idx="185">
                  <c:v>44759</c:v>
                </c:pt>
                <c:pt idx="186">
                  <c:v>44760</c:v>
                </c:pt>
                <c:pt idx="187">
                  <c:v>44761</c:v>
                </c:pt>
                <c:pt idx="188">
                  <c:v>44762</c:v>
                </c:pt>
                <c:pt idx="189">
                  <c:v>44763</c:v>
                </c:pt>
                <c:pt idx="190">
                  <c:v>44764</c:v>
                </c:pt>
                <c:pt idx="191">
                  <c:v>44765</c:v>
                </c:pt>
                <c:pt idx="192">
                  <c:v>44766</c:v>
                </c:pt>
                <c:pt idx="193">
                  <c:v>44767</c:v>
                </c:pt>
                <c:pt idx="194">
                  <c:v>44768</c:v>
                </c:pt>
                <c:pt idx="195">
                  <c:v>44769</c:v>
                </c:pt>
                <c:pt idx="196">
                  <c:v>44770</c:v>
                </c:pt>
                <c:pt idx="197">
                  <c:v>44771</c:v>
                </c:pt>
                <c:pt idx="198">
                  <c:v>44772</c:v>
                </c:pt>
                <c:pt idx="199">
                  <c:v>44773</c:v>
                </c:pt>
                <c:pt idx="200">
                  <c:v>44774</c:v>
                </c:pt>
                <c:pt idx="201">
                  <c:v>44775</c:v>
                </c:pt>
                <c:pt idx="202">
                  <c:v>44776</c:v>
                </c:pt>
                <c:pt idx="203">
                  <c:v>44777</c:v>
                </c:pt>
                <c:pt idx="204">
                  <c:v>44778</c:v>
                </c:pt>
                <c:pt idx="205">
                  <c:v>44779</c:v>
                </c:pt>
                <c:pt idx="206">
                  <c:v>44780</c:v>
                </c:pt>
                <c:pt idx="207">
                  <c:v>44781</c:v>
                </c:pt>
                <c:pt idx="208">
                  <c:v>44782</c:v>
                </c:pt>
                <c:pt idx="209">
                  <c:v>44783</c:v>
                </c:pt>
                <c:pt idx="210">
                  <c:v>44784</c:v>
                </c:pt>
                <c:pt idx="211">
                  <c:v>44785</c:v>
                </c:pt>
                <c:pt idx="212">
                  <c:v>44786</c:v>
                </c:pt>
                <c:pt idx="213">
                  <c:v>44787</c:v>
                </c:pt>
                <c:pt idx="214">
                  <c:v>44788</c:v>
                </c:pt>
                <c:pt idx="215">
                  <c:v>44789</c:v>
                </c:pt>
                <c:pt idx="216">
                  <c:v>44790</c:v>
                </c:pt>
                <c:pt idx="217">
                  <c:v>44791</c:v>
                </c:pt>
                <c:pt idx="218">
                  <c:v>44792</c:v>
                </c:pt>
                <c:pt idx="219">
                  <c:v>44793</c:v>
                </c:pt>
                <c:pt idx="220">
                  <c:v>44794</c:v>
                </c:pt>
                <c:pt idx="221">
                  <c:v>44795</c:v>
                </c:pt>
                <c:pt idx="222">
                  <c:v>44796</c:v>
                </c:pt>
                <c:pt idx="223">
                  <c:v>44797</c:v>
                </c:pt>
                <c:pt idx="224">
                  <c:v>44798</c:v>
                </c:pt>
                <c:pt idx="225">
                  <c:v>44799</c:v>
                </c:pt>
                <c:pt idx="226">
                  <c:v>44800</c:v>
                </c:pt>
                <c:pt idx="227">
                  <c:v>44801</c:v>
                </c:pt>
                <c:pt idx="228">
                  <c:v>44802</c:v>
                </c:pt>
                <c:pt idx="229">
                  <c:v>44803</c:v>
                </c:pt>
                <c:pt idx="230">
                  <c:v>44804</c:v>
                </c:pt>
                <c:pt idx="231">
                  <c:v>44805</c:v>
                </c:pt>
                <c:pt idx="232">
                  <c:v>44806</c:v>
                </c:pt>
                <c:pt idx="233">
                  <c:v>44807</c:v>
                </c:pt>
                <c:pt idx="234">
                  <c:v>44808</c:v>
                </c:pt>
                <c:pt idx="235">
                  <c:v>44809</c:v>
                </c:pt>
                <c:pt idx="236">
                  <c:v>44810</c:v>
                </c:pt>
                <c:pt idx="237">
                  <c:v>44811</c:v>
                </c:pt>
                <c:pt idx="238">
                  <c:v>44812</c:v>
                </c:pt>
                <c:pt idx="239">
                  <c:v>44813</c:v>
                </c:pt>
                <c:pt idx="240">
                  <c:v>44814</c:v>
                </c:pt>
                <c:pt idx="241">
                  <c:v>44815</c:v>
                </c:pt>
                <c:pt idx="242">
                  <c:v>44816</c:v>
                </c:pt>
                <c:pt idx="243">
                  <c:v>44817</c:v>
                </c:pt>
                <c:pt idx="244">
                  <c:v>44818</c:v>
                </c:pt>
                <c:pt idx="245">
                  <c:v>44819</c:v>
                </c:pt>
                <c:pt idx="246">
                  <c:v>44820</c:v>
                </c:pt>
                <c:pt idx="247">
                  <c:v>44821</c:v>
                </c:pt>
                <c:pt idx="248">
                  <c:v>44822</c:v>
                </c:pt>
                <c:pt idx="249">
                  <c:v>44823</c:v>
                </c:pt>
                <c:pt idx="250">
                  <c:v>44824</c:v>
                </c:pt>
                <c:pt idx="251">
                  <c:v>44825</c:v>
                </c:pt>
                <c:pt idx="252">
                  <c:v>44826</c:v>
                </c:pt>
                <c:pt idx="253">
                  <c:v>44827</c:v>
                </c:pt>
                <c:pt idx="254">
                  <c:v>44828</c:v>
                </c:pt>
                <c:pt idx="255">
                  <c:v>44829</c:v>
                </c:pt>
                <c:pt idx="256">
                  <c:v>44830</c:v>
                </c:pt>
                <c:pt idx="257">
                  <c:v>44831</c:v>
                </c:pt>
                <c:pt idx="258">
                  <c:v>44832</c:v>
                </c:pt>
                <c:pt idx="259">
                  <c:v>44833</c:v>
                </c:pt>
                <c:pt idx="260">
                  <c:v>44834</c:v>
                </c:pt>
                <c:pt idx="261">
                  <c:v>44835</c:v>
                </c:pt>
                <c:pt idx="262">
                  <c:v>44836</c:v>
                </c:pt>
                <c:pt idx="263">
                  <c:v>44837</c:v>
                </c:pt>
                <c:pt idx="264">
                  <c:v>44838</c:v>
                </c:pt>
                <c:pt idx="265">
                  <c:v>44839</c:v>
                </c:pt>
                <c:pt idx="266">
                  <c:v>44840</c:v>
                </c:pt>
                <c:pt idx="267">
                  <c:v>44841</c:v>
                </c:pt>
                <c:pt idx="268">
                  <c:v>44842</c:v>
                </c:pt>
                <c:pt idx="269">
                  <c:v>44843</c:v>
                </c:pt>
                <c:pt idx="270">
                  <c:v>44844</c:v>
                </c:pt>
                <c:pt idx="271">
                  <c:v>44845</c:v>
                </c:pt>
                <c:pt idx="272">
                  <c:v>44846</c:v>
                </c:pt>
                <c:pt idx="273">
                  <c:v>44847</c:v>
                </c:pt>
                <c:pt idx="274">
                  <c:v>44848</c:v>
                </c:pt>
                <c:pt idx="275">
                  <c:v>44849</c:v>
                </c:pt>
                <c:pt idx="276">
                  <c:v>44850</c:v>
                </c:pt>
                <c:pt idx="277">
                  <c:v>44851</c:v>
                </c:pt>
                <c:pt idx="278">
                  <c:v>44852</c:v>
                </c:pt>
                <c:pt idx="279">
                  <c:v>44853</c:v>
                </c:pt>
                <c:pt idx="280">
                  <c:v>44854</c:v>
                </c:pt>
                <c:pt idx="281">
                  <c:v>44855</c:v>
                </c:pt>
                <c:pt idx="282">
                  <c:v>44856</c:v>
                </c:pt>
                <c:pt idx="283">
                  <c:v>44857</c:v>
                </c:pt>
                <c:pt idx="284">
                  <c:v>44858</c:v>
                </c:pt>
                <c:pt idx="285">
                  <c:v>44859</c:v>
                </c:pt>
                <c:pt idx="286">
                  <c:v>44860</c:v>
                </c:pt>
                <c:pt idx="287">
                  <c:v>44861</c:v>
                </c:pt>
                <c:pt idx="288">
                  <c:v>44862</c:v>
                </c:pt>
                <c:pt idx="289">
                  <c:v>44863</c:v>
                </c:pt>
                <c:pt idx="290">
                  <c:v>44864</c:v>
                </c:pt>
                <c:pt idx="291">
                  <c:v>44865</c:v>
                </c:pt>
                <c:pt idx="292">
                  <c:v>44866</c:v>
                </c:pt>
                <c:pt idx="293">
                  <c:v>44867</c:v>
                </c:pt>
                <c:pt idx="294">
                  <c:v>44868</c:v>
                </c:pt>
                <c:pt idx="295">
                  <c:v>44869</c:v>
                </c:pt>
                <c:pt idx="296">
                  <c:v>44870</c:v>
                </c:pt>
                <c:pt idx="297">
                  <c:v>44871</c:v>
                </c:pt>
                <c:pt idx="298">
                  <c:v>44872</c:v>
                </c:pt>
                <c:pt idx="299">
                  <c:v>44873</c:v>
                </c:pt>
                <c:pt idx="300">
                  <c:v>44874</c:v>
                </c:pt>
                <c:pt idx="301">
                  <c:v>44875</c:v>
                </c:pt>
                <c:pt idx="302">
                  <c:v>44876</c:v>
                </c:pt>
                <c:pt idx="303">
                  <c:v>44877</c:v>
                </c:pt>
                <c:pt idx="304">
                  <c:v>44878</c:v>
                </c:pt>
                <c:pt idx="305">
                  <c:v>44879</c:v>
                </c:pt>
                <c:pt idx="306">
                  <c:v>44880</c:v>
                </c:pt>
                <c:pt idx="307">
                  <c:v>44881</c:v>
                </c:pt>
                <c:pt idx="308">
                  <c:v>44882</c:v>
                </c:pt>
                <c:pt idx="309">
                  <c:v>44883</c:v>
                </c:pt>
                <c:pt idx="310">
                  <c:v>44884</c:v>
                </c:pt>
                <c:pt idx="311">
                  <c:v>44885</c:v>
                </c:pt>
                <c:pt idx="312">
                  <c:v>44886</c:v>
                </c:pt>
                <c:pt idx="313">
                  <c:v>44887</c:v>
                </c:pt>
                <c:pt idx="314">
                  <c:v>44888</c:v>
                </c:pt>
                <c:pt idx="315">
                  <c:v>44889</c:v>
                </c:pt>
                <c:pt idx="316">
                  <c:v>44890</c:v>
                </c:pt>
                <c:pt idx="317">
                  <c:v>44891</c:v>
                </c:pt>
                <c:pt idx="318">
                  <c:v>44892</c:v>
                </c:pt>
                <c:pt idx="319">
                  <c:v>44893</c:v>
                </c:pt>
                <c:pt idx="320">
                  <c:v>44894</c:v>
                </c:pt>
                <c:pt idx="321">
                  <c:v>44895</c:v>
                </c:pt>
                <c:pt idx="322">
                  <c:v>44896</c:v>
                </c:pt>
                <c:pt idx="323">
                  <c:v>44897</c:v>
                </c:pt>
                <c:pt idx="324">
                  <c:v>44898</c:v>
                </c:pt>
                <c:pt idx="325">
                  <c:v>44899</c:v>
                </c:pt>
                <c:pt idx="326">
                  <c:v>44900</c:v>
                </c:pt>
                <c:pt idx="327">
                  <c:v>44901</c:v>
                </c:pt>
                <c:pt idx="328">
                  <c:v>44902</c:v>
                </c:pt>
                <c:pt idx="329">
                  <c:v>44903</c:v>
                </c:pt>
                <c:pt idx="330">
                  <c:v>44904</c:v>
                </c:pt>
                <c:pt idx="331">
                  <c:v>44905</c:v>
                </c:pt>
                <c:pt idx="332">
                  <c:v>44906</c:v>
                </c:pt>
                <c:pt idx="333">
                  <c:v>44907</c:v>
                </c:pt>
                <c:pt idx="334">
                  <c:v>44908</c:v>
                </c:pt>
                <c:pt idx="335">
                  <c:v>44909</c:v>
                </c:pt>
                <c:pt idx="336">
                  <c:v>44910</c:v>
                </c:pt>
                <c:pt idx="337">
                  <c:v>44911</c:v>
                </c:pt>
                <c:pt idx="338">
                  <c:v>44912</c:v>
                </c:pt>
                <c:pt idx="339">
                  <c:v>44913</c:v>
                </c:pt>
                <c:pt idx="340">
                  <c:v>44914</c:v>
                </c:pt>
                <c:pt idx="341">
                  <c:v>44915</c:v>
                </c:pt>
                <c:pt idx="342">
                  <c:v>44916</c:v>
                </c:pt>
                <c:pt idx="343">
                  <c:v>44917</c:v>
                </c:pt>
                <c:pt idx="344">
                  <c:v>44918</c:v>
                </c:pt>
                <c:pt idx="345">
                  <c:v>44919</c:v>
                </c:pt>
                <c:pt idx="346">
                  <c:v>44920</c:v>
                </c:pt>
                <c:pt idx="347">
                  <c:v>44921</c:v>
                </c:pt>
                <c:pt idx="348">
                  <c:v>44922</c:v>
                </c:pt>
                <c:pt idx="349">
                  <c:v>44923</c:v>
                </c:pt>
                <c:pt idx="350">
                  <c:v>44924</c:v>
                </c:pt>
                <c:pt idx="351">
                  <c:v>44925</c:v>
                </c:pt>
                <c:pt idx="352">
                  <c:v>44926</c:v>
                </c:pt>
              </c:numCache>
            </c:numRef>
          </c:cat>
          <c:val>
            <c:numRef>
              <c:f>CURVE_Haarvaten_obv_Kooijpolder!$F$5:$F$357</c:f>
              <c:numCache>
                <c:formatCode>0.00</c:formatCode>
                <c:ptCount val="353"/>
                <c:pt idx="0">
                  <c:v>3.7145038167938926</c:v>
                </c:pt>
                <c:pt idx="1">
                  <c:v>4.8131944444444441</c:v>
                </c:pt>
                <c:pt idx="2">
                  <c:v>4.1770833333333304</c:v>
                </c:pt>
                <c:pt idx="3">
                  <c:v>4.0736111111111128</c:v>
                </c:pt>
                <c:pt idx="4">
                  <c:v>4.2298611111111066</c:v>
                </c:pt>
                <c:pt idx="5">
                  <c:v>5.1479166666666671</c:v>
                </c:pt>
                <c:pt idx="6">
                  <c:v>3.6472222222222226</c:v>
                </c:pt>
                <c:pt idx="7">
                  <c:v>4.1791666666666689</c:v>
                </c:pt>
                <c:pt idx="8">
                  <c:v>3.1472222222222235</c:v>
                </c:pt>
                <c:pt idx="9">
                  <c:v>2.7368055555555562</c:v>
                </c:pt>
                <c:pt idx="10">
                  <c:v>4.7298611111111057</c:v>
                </c:pt>
                <c:pt idx="11">
                  <c:v>5.3881944444444461</c:v>
                </c:pt>
                <c:pt idx="12">
                  <c:v>4.9805555555555641</c:v>
                </c:pt>
                <c:pt idx="13">
                  <c:v>3.9881944444444395</c:v>
                </c:pt>
                <c:pt idx="14">
                  <c:v>3.707638888888888</c:v>
                </c:pt>
                <c:pt idx="15">
                  <c:v>5.3423611111111109</c:v>
                </c:pt>
                <c:pt idx="16">
                  <c:v>4.5607638888888928</c:v>
                </c:pt>
                <c:pt idx="17">
                  <c:v>6.9993055555555523</c:v>
                </c:pt>
                <c:pt idx="18">
                  <c:v>4.745486111111112</c:v>
                </c:pt>
                <c:pt idx="19">
                  <c:v>4.3722222222222227</c:v>
                </c:pt>
                <c:pt idx="20">
                  <c:v>4.8284722222222207</c:v>
                </c:pt>
                <c:pt idx="21">
                  <c:v>6.6694444444444443</c:v>
                </c:pt>
                <c:pt idx="22">
                  <c:v>7.1055555555555516</c:v>
                </c:pt>
                <c:pt idx="23">
                  <c:v>5.9819444444444425</c:v>
                </c:pt>
                <c:pt idx="24">
                  <c:v>4.3874999999999993</c:v>
                </c:pt>
                <c:pt idx="25">
                  <c:v>6.6069444444444461</c:v>
                </c:pt>
                <c:pt idx="26">
                  <c:v>4.8173611111111105</c:v>
                </c:pt>
                <c:pt idx="27">
                  <c:v>7.3916666666666675</c:v>
                </c:pt>
                <c:pt idx="28">
                  <c:v>8.25138888888889</c:v>
                </c:pt>
                <c:pt idx="29">
                  <c:v>7.5305555555555497</c:v>
                </c:pt>
                <c:pt idx="30">
                  <c:v>4.9097222222222205</c:v>
                </c:pt>
                <c:pt idx="31">
                  <c:v>3.0520833333333339</c:v>
                </c:pt>
                <c:pt idx="32">
                  <c:v>3.0506944444444439</c:v>
                </c:pt>
                <c:pt idx="33">
                  <c:v>7.3041666666666645</c:v>
                </c:pt>
                <c:pt idx="34">
                  <c:v>6.4652777777777795</c:v>
                </c:pt>
                <c:pt idx="35">
                  <c:v>8.5069444444444393</c:v>
                </c:pt>
                <c:pt idx="36">
                  <c:v>7.6444444444444422</c:v>
                </c:pt>
                <c:pt idx="37">
                  <c:v>6.236805555555553</c:v>
                </c:pt>
                <c:pt idx="38">
                  <c:v>4.2375000000000007</c:v>
                </c:pt>
                <c:pt idx="39">
                  <c:v>6.4159722222222175</c:v>
                </c:pt>
                <c:pt idx="40">
                  <c:v>5.3493055555555555</c:v>
                </c:pt>
                <c:pt idx="41">
                  <c:v>5.1569444444444423</c:v>
                </c:pt>
                <c:pt idx="42">
                  <c:v>6.088888888888885</c:v>
                </c:pt>
                <c:pt idx="43">
                  <c:v>5.6402777777777766</c:v>
                </c:pt>
                <c:pt idx="44">
                  <c:v>4.55</c:v>
                </c:pt>
                <c:pt idx="45">
                  <c:v>5.210416666666668</c:v>
                </c:pt>
                <c:pt idx="46">
                  <c:v>4.5902777777777777</c:v>
                </c:pt>
                <c:pt idx="47">
                  <c:v>4.5444444444444434</c:v>
                </c:pt>
                <c:pt idx="48">
                  <c:v>4.5430555555555632</c:v>
                </c:pt>
                <c:pt idx="49">
                  <c:v>6.9256944444444439</c:v>
                </c:pt>
                <c:pt idx="50">
                  <c:v>6.0013888888888864</c:v>
                </c:pt>
                <c:pt idx="51">
                  <c:v>5.2694444444444448</c:v>
                </c:pt>
                <c:pt idx="52">
                  <c:v>4.9277777777777771</c:v>
                </c:pt>
                <c:pt idx="53">
                  <c:v>4.8767361111111107</c:v>
                </c:pt>
                <c:pt idx="54">
                  <c:v>5.6444444444444439</c:v>
                </c:pt>
                <c:pt idx="55">
                  <c:v>4.5704861111111095</c:v>
                </c:pt>
                <c:pt idx="56">
                  <c:v>5.9659722222222236</c:v>
                </c:pt>
                <c:pt idx="57">
                  <c:v>7.680208333333332</c:v>
                </c:pt>
                <c:pt idx="58">
                  <c:v>7.486805555555553</c:v>
                </c:pt>
                <c:pt idx="59">
                  <c:v>8.9041666666666615</c:v>
                </c:pt>
                <c:pt idx="60">
                  <c:v>10.572916666666664</c:v>
                </c:pt>
                <c:pt idx="61">
                  <c:v>10.977777777777776</c:v>
                </c:pt>
                <c:pt idx="62">
                  <c:v>11.18541666666666</c:v>
                </c:pt>
                <c:pt idx="63">
                  <c:v>9.8968749999999925</c:v>
                </c:pt>
                <c:pt idx="64">
                  <c:v>10.389583333333327</c:v>
                </c:pt>
                <c:pt idx="65">
                  <c:v>10.647222222222222</c:v>
                </c:pt>
                <c:pt idx="66">
                  <c:v>9.3347222222222186</c:v>
                </c:pt>
                <c:pt idx="67">
                  <c:v>5.486805555555553</c:v>
                </c:pt>
                <c:pt idx="68">
                  <c:v>8.4222222222222207</c:v>
                </c:pt>
                <c:pt idx="69">
                  <c:v>10.93472222222222</c:v>
                </c:pt>
                <c:pt idx="70">
                  <c:v>12.156944444444438</c:v>
                </c:pt>
                <c:pt idx="71">
                  <c:v>12.12569444444444</c:v>
                </c:pt>
                <c:pt idx="72">
                  <c:v>11.730555555555553</c:v>
                </c:pt>
                <c:pt idx="73">
                  <c:v>11.661111111111108</c:v>
                </c:pt>
                <c:pt idx="74">
                  <c:v>13.157638888888885</c:v>
                </c:pt>
                <c:pt idx="75">
                  <c:v>12.603472222222216</c:v>
                </c:pt>
                <c:pt idx="76">
                  <c:v>12.525694444444436</c:v>
                </c:pt>
                <c:pt idx="77">
                  <c:v>10.720138888888881</c:v>
                </c:pt>
                <c:pt idx="78">
                  <c:v>6.2402777777777754</c:v>
                </c:pt>
                <c:pt idx="79">
                  <c:v>3.3201388888888896</c:v>
                </c:pt>
                <c:pt idx="80">
                  <c:v>5.1805555555555545</c:v>
                </c:pt>
                <c:pt idx="81">
                  <c:v>6.6159722222222221</c:v>
                </c:pt>
                <c:pt idx="82">
                  <c:v>6.3555555555555525</c:v>
                </c:pt>
                <c:pt idx="83">
                  <c:v>9.2819444444444414</c:v>
                </c:pt>
                <c:pt idx="84">
                  <c:v>9.4673611111111047</c:v>
                </c:pt>
                <c:pt idx="85">
                  <c:v>9.0534722222222186</c:v>
                </c:pt>
                <c:pt idx="86">
                  <c:v>7.7354166666666693</c:v>
                </c:pt>
                <c:pt idx="87">
                  <c:v>7.6013888888888834</c:v>
                </c:pt>
                <c:pt idx="88">
                  <c:v>9.4430555555555529</c:v>
                </c:pt>
                <c:pt idx="89">
                  <c:v>11.643055555555547</c:v>
                </c:pt>
                <c:pt idx="90">
                  <c:v>12.64374999999999</c:v>
                </c:pt>
                <c:pt idx="91">
                  <c:v>14.793749999999992</c:v>
                </c:pt>
                <c:pt idx="92">
                  <c:v>16.143749999999997</c:v>
                </c:pt>
                <c:pt idx="93">
                  <c:v>16.186111111111103</c:v>
                </c:pt>
                <c:pt idx="94">
                  <c:v>15.331249999999992</c:v>
                </c:pt>
                <c:pt idx="95">
                  <c:v>14.629166666666659</c:v>
                </c:pt>
                <c:pt idx="96">
                  <c:v>15.43333333333333</c:v>
                </c:pt>
                <c:pt idx="97">
                  <c:v>15.540277777777776</c:v>
                </c:pt>
                <c:pt idx="98">
                  <c:v>14.750277777777772</c:v>
                </c:pt>
                <c:pt idx="99">
                  <c:v>14.477847222222213</c:v>
                </c:pt>
                <c:pt idx="100">
                  <c:v>14.453472222222214</c:v>
                </c:pt>
                <c:pt idx="101">
                  <c:v>14.190972222222223</c:v>
                </c:pt>
                <c:pt idx="102">
                  <c:v>13.916666666666659</c:v>
                </c:pt>
                <c:pt idx="103">
                  <c:v>10.846527777777771</c:v>
                </c:pt>
                <c:pt idx="104">
                  <c:v>12.659027777777778</c:v>
                </c:pt>
                <c:pt idx="105">
                  <c:v>12.583333333333327</c:v>
                </c:pt>
                <c:pt idx="106">
                  <c:v>12.872222222222213</c:v>
                </c:pt>
                <c:pt idx="107">
                  <c:v>12.056249999999995</c:v>
                </c:pt>
                <c:pt idx="108">
                  <c:v>12.449305555555547</c:v>
                </c:pt>
                <c:pt idx="109">
                  <c:v>14.476388888888883</c:v>
                </c:pt>
                <c:pt idx="110">
                  <c:v>15.486805555555545</c:v>
                </c:pt>
                <c:pt idx="111">
                  <c:v>13.540972222222214</c:v>
                </c:pt>
                <c:pt idx="112">
                  <c:v>12.17272727272727</c:v>
                </c:pt>
                <c:pt idx="113">
                  <c:v>21.741791044776118</c:v>
                </c:pt>
                <c:pt idx="114">
                  <c:v>19.347916666666674</c:v>
                </c:pt>
                <c:pt idx="115">
                  <c:v>17.411805555555549</c:v>
                </c:pt>
                <c:pt idx="116">
                  <c:v>18.431944444444454</c:v>
                </c:pt>
                <c:pt idx="117">
                  <c:v>17.620138888888892</c:v>
                </c:pt>
                <c:pt idx="118">
                  <c:v>17.076249999999991</c:v>
                </c:pt>
                <c:pt idx="119">
                  <c:v>17.645277777777782</c:v>
                </c:pt>
                <c:pt idx="120">
                  <c:v>17.954861111111114</c:v>
                </c:pt>
                <c:pt idx="121">
                  <c:v>19.131250000000009</c:v>
                </c:pt>
                <c:pt idx="122">
                  <c:v>20.008333333333336</c:v>
                </c:pt>
                <c:pt idx="123">
                  <c:v>19.104861111111106</c:v>
                </c:pt>
                <c:pt idx="124">
                  <c:v>19.940277777777776</c:v>
                </c:pt>
                <c:pt idx="125">
                  <c:v>21.647222222222226</c:v>
                </c:pt>
                <c:pt idx="126">
                  <c:v>20.476388888888891</c:v>
                </c:pt>
                <c:pt idx="127">
                  <c:v>17.959027777777781</c:v>
                </c:pt>
                <c:pt idx="128">
                  <c:v>17.920138888888886</c:v>
                </c:pt>
                <c:pt idx="129">
                  <c:v>20.226388888888888</c:v>
                </c:pt>
                <c:pt idx="130">
                  <c:v>18.934027777777786</c:v>
                </c:pt>
                <c:pt idx="131">
                  <c:v>17.940277777777776</c:v>
                </c:pt>
                <c:pt idx="132">
                  <c:v>17.066666666666663</c:v>
                </c:pt>
                <c:pt idx="133">
                  <c:v>17.64930555555555</c:v>
                </c:pt>
                <c:pt idx="134">
                  <c:v>17.414583333333326</c:v>
                </c:pt>
                <c:pt idx="135">
                  <c:v>16.169444444444437</c:v>
                </c:pt>
                <c:pt idx="136">
                  <c:v>15.25138888888889</c:v>
                </c:pt>
                <c:pt idx="137">
                  <c:v>15.938194444444431</c:v>
                </c:pt>
                <c:pt idx="138">
                  <c:v>17.247916666666665</c:v>
                </c:pt>
                <c:pt idx="139">
                  <c:v>17.290972222222219</c:v>
                </c:pt>
                <c:pt idx="140">
                  <c:v>18.629166666666677</c:v>
                </c:pt>
                <c:pt idx="141">
                  <c:v>19.395833333333329</c:v>
                </c:pt>
                <c:pt idx="142">
                  <c:v>17.332638888888891</c:v>
                </c:pt>
                <c:pt idx="143">
                  <c:v>16.644444444444442</c:v>
                </c:pt>
                <c:pt idx="144">
                  <c:v>16.664583333333333</c:v>
                </c:pt>
                <c:pt idx="145">
                  <c:v>18.020833333333332</c:v>
                </c:pt>
                <c:pt idx="146">
                  <c:v>18.052777777777774</c:v>
                </c:pt>
                <c:pt idx="147">
                  <c:v>19.797916666666659</c:v>
                </c:pt>
                <c:pt idx="148">
                  <c:v>20.292361111111109</c:v>
                </c:pt>
                <c:pt idx="149">
                  <c:v>21.270833333333336</c:v>
                </c:pt>
                <c:pt idx="150">
                  <c:v>21.422222222222228</c:v>
                </c:pt>
                <c:pt idx="151">
                  <c:v>20.655555555555555</c:v>
                </c:pt>
                <c:pt idx="152">
                  <c:v>20.669444444444448</c:v>
                </c:pt>
                <c:pt idx="153">
                  <c:v>21.755555555555571</c:v>
                </c:pt>
                <c:pt idx="154">
                  <c:v>22.964583333333337</c:v>
                </c:pt>
                <c:pt idx="155">
                  <c:v>23.925694444444446</c:v>
                </c:pt>
                <c:pt idx="156">
                  <c:v>23.795833333333334</c:v>
                </c:pt>
                <c:pt idx="157">
                  <c:v>18.568750000000016</c:v>
                </c:pt>
                <c:pt idx="158">
                  <c:v>18.883333333333329</c:v>
                </c:pt>
                <c:pt idx="159">
                  <c:v>20.196527777777774</c:v>
                </c:pt>
                <c:pt idx="160">
                  <c:v>21.872916666666676</c:v>
                </c:pt>
                <c:pt idx="161">
                  <c:v>23.430555555555561</c:v>
                </c:pt>
                <c:pt idx="162">
                  <c:v>23.881250000000012</c:v>
                </c:pt>
                <c:pt idx="163">
                  <c:v>22.049305555555556</c:v>
                </c:pt>
                <c:pt idx="164">
                  <c:v>21.722222222222214</c:v>
                </c:pt>
                <c:pt idx="165">
                  <c:v>20.281249999999996</c:v>
                </c:pt>
                <c:pt idx="166">
                  <c:v>21.104166666666671</c:v>
                </c:pt>
                <c:pt idx="167">
                  <c:v>22.908333333333335</c:v>
                </c:pt>
                <c:pt idx="168">
                  <c:v>21.777777777777782</c:v>
                </c:pt>
                <c:pt idx="169">
                  <c:v>19.943055555555546</c:v>
                </c:pt>
                <c:pt idx="170">
                  <c:v>20.959027777777777</c:v>
                </c:pt>
                <c:pt idx="171">
                  <c:v>21.762500000000006</c:v>
                </c:pt>
                <c:pt idx="172">
                  <c:v>22.02847222222222</c:v>
                </c:pt>
                <c:pt idx="173">
                  <c:v>21.854861111111109</c:v>
                </c:pt>
                <c:pt idx="174">
                  <c:v>20.296527777777769</c:v>
                </c:pt>
                <c:pt idx="175">
                  <c:v>18.645138888888891</c:v>
                </c:pt>
                <c:pt idx="176">
                  <c:v>20.25138888888889</c:v>
                </c:pt>
                <c:pt idx="177">
                  <c:v>21.553472222222226</c:v>
                </c:pt>
                <c:pt idx="178">
                  <c:v>20.055555555555557</c:v>
                </c:pt>
                <c:pt idx="179">
                  <c:v>22.147916666666667</c:v>
                </c:pt>
                <c:pt idx="180">
                  <c:v>23.559027777777786</c:v>
                </c:pt>
                <c:pt idx="181">
                  <c:v>24.41458333333334</c:v>
                </c:pt>
                <c:pt idx="182">
                  <c:v>21.913194444444457</c:v>
                </c:pt>
                <c:pt idx="183">
                  <c:v>21.358333333333334</c:v>
                </c:pt>
                <c:pt idx="184">
                  <c:v>21.893750000000004</c:v>
                </c:pt>
                <c:pt idx="185">
                  <c:v>22.503472222222225</c:v>
                </c:pt>
                <c:pt idx="186">
                  <c:v>24.953472222222231</c:v>
                </c:pt>
                <c:pt idx="187">
                  <c:v>26.546527777777772</c:v>
                </c:pt>
                <c:pt idx="188">
                  <c:v>25.011805555555551</c:v>
                </c:pt>
                <c:pt idx="189">
                  <c:v>21.202777777777769</c:v>
                </c:pt>
                <c:pt idx="190">
                  <c:v>20.006250000000005</c:v>
                </c:pt>
                <c:pt idx="191">
                  <c:v>22.272222222222226</c:v>
                </c:pt>
                <c:pt idx="192">
                  <c:v>24.183333333333348</c:v>
                </c:pt>
                <c:pt idx="193">
                  <c:v>23.422222222222224</c:v>
                </c:pt>
                <c:pt idx="194">
                  <c:v>20.459722222222226</c:v>
                </c:pt>
                <c:pt idx="195">
                  <c:v>19.72291666666667</c:v>
                </c:pt>
                <c:pt idx="196">
                  <c:v>19.215277777777779</c:v>
                </c:pt>
                <c:pt idx="197">
                  <c:v>20.65347222222222</c:v>
                </c:pt>
                <c:pt idx="198">
                  <c:v>21.579861111111107</c:v>
                </c:pt>
                <c:pt idx="199">
                  <c:v>20.772916666666678</c:v>
                </c:pt>
                <c:pt idx="200">
                  <c:v>21.861805555555559</c:v>
                </c:pt>
                <c:pt idx="201">
                  <c:v>21.980555555555565</c:v>
                </c:pt>
                <c:pt idx="202">
                  <c:v>23.972916666666677</c:v>
                </c:pt>
                <c:pt idx="203">
                  <c:v>24.053472222222226</c:v>
                </c:pt>
                <c:pt idx="204">
                  <c:v>20.843055555555551</c:v>
                </c:pt>
                <c:pt idx="205">
                  <c:v>20.073611111111106</c:v>
                </c:pt>
                <c:pt idx="206">
                  <c:v>20.722916666666674</c:v>
                </c:pt>
                <c:pt idx="207">
                  <c:v>20.757638888888891</c:v>
                </c:pt>
                <c:pt idx="208">
                  <c:v>21.497222222222227</c:v>
                </c:pt>
                <c:pt idx="209">
                  <c:v>22.242361111111116</c:v>
                </c:pt>
                <c:pt idx="210">
                  <c:v>23.170833333333341</c:v>
                </c:pt>
                <c:pt idx="211">
                  <c:v>23.654166666666661</c:v>
                </c:pt>
                <c:pt idx="212">
                  <c:v>23.981250000000017</c:v>
                </c:pt>
                <c:pt idx="213">
                  <c:v>24.719444444444459</c:v>
                </c:pt>
                <c:pt idx="214">
                  <c:v>24.161111111111126</c:v>
                </c:pt>
                <c:pt idx="215">
                  <c:v>23.447222222222219</c:v>
                </c:pt>
                <c:pt idx="216">
                  <c:v>21.41041666666667</c:v>
                </c:pt>
                <c:pt idx="217">
                  <c:v>21.968055555555548</c:v>
                </c:pt>
                <c:pt idx="218">
                  <c:v>22.237499999999997</c:v>
                </c:pt>
                <c:pt idx="219">
                  <c:v>22.897222222222226</c:v>
                </c:pt>
                <c:pt idx="220">
                  <c:v>21.726388888888895</c:v>
                </c:pt>
                <c:pt idx="221">
                  <c:v>22.916319444444454</c:v>
                </c:pt>
                <c:pt idx="222">
                  <c:v>23.813888888888883</c:v>
                </c:pt>
                <c:pt idx="223">
                  <c:v>24.63750000000001</c:v>
                </c:pt>
                <c:pt idx="224">
                  <c:v>24.59652777777778</c:v>
                </c:pt>
                <c:pt idx="225">
                  <c:v>21.213888888888881</c:v>
                </c:pt>
                <c:pt idx="226">
                  <c:v>18.952777777777779</c:v>
                </c:pt>
                <c:pt idx="227">
                  <c:v>18.642361111111111</c:v>
                </c:pt>
                <c:pt idx="228">
                  <c:v>18.751388888888886</c:v>
                </c:pt>
                <c:pt idx="229">
                  <c:v>19.268749999999997</c:v>
                </c:pt>
                <c:pt idx="230">
                  <c:v>18.640277777777776</c:v>
                </c:pt>
                <c:pt idx="231">
                  <c:v>18.556944444444451</c:v>
                </c:pt>
                <c:pt idx="232">
                  <c:v>18.591666666666661</c:v>
                </c:pt>
                <c:pt idx="233">
                  <c:v>19.187499999999993</c:v>
                </c:pt>
                <c:pt idx="234">
                  <c:v>20.836111111111116</c:v>
                </c:pt>
                <c:pt idx="235">
                  <c:v>21.274305555555564</c:v>
                </c:pt>
                <c:pt idx="236">
                  <c:v>21.872222222222234</c:v>
                </c:pt>
                <c:pt idx="237">
                  <c:v>21.533333333333339</c:v>
                </c:pt>
                <c:pt idx="238">
                  <c:v>20.518750000000004</c:v>
                </c:pt>
                <c:pt idx="239">
                  <c:v>17.332638888888894</c:v>
                </c:pt>
                <c:pt idx="240">
                  <c:v>18.354166666666671</c:v>
                </c:pt>
                <c:pt idx="241">
                  <c:v>19.511111111111106</c:v>
                </c:pt>
                <c:pt idx="242">
                  <c:v>20.584027777777784</c:v>
                </c:pt>
                <c:pt idx="243">
                  <c:v>21.255555555555564</c:v>
                </c:pt>
                <c:pt idx="244">
                  <c:v>19.607638888888893</c:v>
                </c:pt>
                <c:pt idx="245">
                  <c:v>17.481944444444455</c:v>
                </c:pt>
                <c:pt idx="246">
                  <c:v>14.42638888888888</c:v>
                </c:pt>
                <c:pt idx="247">
                  <c:v>13.263888888888879</c:v>
                </c:pt>
                <c:pt idx="248">
                  <c:v>12.471527777777773</c:v>
                </c:pt>
                <c:pt idx="249">
                  <c:v>13.128472222222216</c:v>
                </c:pt>
                <c:pt idx="250">
                  <c:v>14.977083333333335</c:v>
                </c:pt>
                <c:pt idx="251">
                  <c:v>16.034722222222214</c:v>
                </c:pt>
                <c:pt idx="252">
                  <c:v>15.317361111111106</c:v>
                </c:pt>
                <c:pt idx="253">
                  <c:v>14.624999999999996</c:v>
                </c:pt>
                <c:pt idx="254">
                  <c:v>14.76319444444443</c:v>
                </c:pt>
                <c:pt idx="255">
                  <c:v>14.445833333333329</c:v>
                </c:pt>
                <c:pt idx="256">
                  <c:v>13.511805555555544</c:v>
                </c:pt>
                <c:pt idx="257">
                  <c:v>11.43125</c:v>
                </c:pt>
                <c:pt idx="258">
                  <c:v>12.170833333333325</c:v>
                </c:pt>
                <c:pt idx="259">
                  <c:v>12.684722222222215</c:v>
                </c:pt>
                <c:pt idx="260">
                  <c:v>12.6673611111111</c:v>
                </c:pt>
                <c:pt idx="261">
                  <c:v>13.626388888888883</c:v>
                </c:pt>
                <c:pt idx="262">
                  <c:v>14.30833333333333</c:v>
                </c:pt>
                <c:pt idx="263">
                  <c:v>13.67291666666666</c:v>
                </c:pt>
                <c:pt idx="264">
                  <c:v>14.348611111111097</c:v>
                </c:pt>
                <c:pt idx="265">
                  <c:v>14.54652777777777</c:v>
                </c:pt>
                <c:pt idx="266">
                  <c:v>13.413888888888879</c:v>
                </c:pt>
                <c:pt idx="267">
                  <c:v>12.715277777777773</c:v>
                </c:pt>
                <c:pt idx="268">
                  <c:v>13.211111111111101</c:v>
                </c:pt>
                <c:pt idx="269">
                  <c:v>12.555555555555548</c:v>
                </c:pt>
                <c:pt idx="270">
                  <c:v>11.143055555555554</c:v>
                </c:pt>
                <c:pt idx="271">
                  <c:v>11.08819444444444</c:v>
                </c:pt>
                <c:pt idx="272">
                  <c:v>11.245833333333323</c:v>
                </c:pt>
                <c:pt idx="273">
                  <c:v>11.869444444444435</c:v>
                </c:pt>
                <c:pt idx="274">
                  <c:v>11.928472222222219</c:v>
                </c:pt>
                <c:pt idx="275">
                  <c:v>12.776388888888881</c:v>
                </c:pt>
                <c:pt idx="276">
                  <c:v>13.513194444444437</c:v>
                </c:pt>
                <c:pt idx="277">
                  <c:v>13.849999999999996</c:v>
                </c:pt>
                <c:pt idx="278">
                  <c:v>13.650694444444435</c:v>
                </c:pt>
                <c:pt idx="279">
                  <c:v>11.725694444444439</c:v>
                </c:pt>
                <c:pt idx="280">
                  <c:v>10.344444444444452</c:v>
                </c:pt>
                <c:pt idx="281">
                  <c:v>12.663888888888883</c:v>
                </c:pt>
                <c:pt idx="282">
                  <c:v>13.715277777777779</c:v>
                </c:pt>
                <c:pt idx="283">
                  <c:v>13.319444444444434</c:v>
                </c:pt>
                <c:pt idx="284">
                  <c:v>13.454166666666659</c:v>
                </c:pt>
                <c:pt idx="285">
                  <c:v>13.635416666666663</c:v>
                </c:pt>
                <c:pt idx="286">
                  <c:v>13.568055555555555</c:v>
                </c:pt>
                <c:pt idx="287">
                  <c:v>13.936805555555546</c:v>
                </c:pt>
                <c:pt idx="288">
                  <c:v>14.27430555555555</c:v>
                </c:pt>
                <c:pt idx="289">
                  <c:v>14.165277777777769</c:v>
                </c:pt>
                <c:pt idx="290">
                  <c:v>13.947222222222214</c:v>
                </c:pt>
                <c:pt idx="291">
                  <c:v>19.345833333333346</c:v>
                </c:pt>
                <c:pt idx="292">
                  <c:v>12.506249999999996</c:v>
                </c:pt>
                <c:pt idx="293">
                  <c:v>11.062499999999998</c:v>
                </c:pt>
                <c:pt idx="294">
                  <c:v>10.628472222222221</c:v>
                </c:pt>
                <c:pt idx="295">
                  <c:v>10.633333333333331</c:v>
                </c:pt>
                <c:pt idx="296">
                  <c:v>9.6104166666666586</c:v>
                </c:pt>
                <c:pt idx="297">
                  <c:v>9.8083333333333176</c:v>
                </c:pt>
                <c:pt idx="298">
                  <c:v>10.466666666666676</c:v>
                </c:pt>
                <c:pt idx="299">
                  <c:v>10.650694444444436</c:v>
                </c:pt>
                <c:pt idx="300">
                  <c:v>10.652777777777777</c:v>
                </c:pt>
                <c:pt idx="301">
                  <c:v>10.595833333333335</c:v>
                </c:pt>
                <c:pt idx="302">
                  <c:v>10.161111111111103</c:v>
                </c:pt>
                <c:pt idx="303">
                  <c:v>9.4638888888888815</c:v>
                </c:pt>
                <c:pt idx="304">
                  <c:v>8.514583333333329</c:v>
                </c:pt>
                <c:pt idx="305">
                  <c:v>6.2270833333333293</c:v>
                </c:pt>
                <c:pt idx="306">
                  <c:v>7.9409722222222188</c:v>
                </c:pt>
                <c:pt idx="307">
                  <c:v>9.3798611111111114</c:v>
                </c:pt>
                <c:pt idx="308">
                  <c:v>9.0694444444444358</c:v>
                </c:pt>
                <c:pt idx="309">
                  <c:v>7.8020833333333304</c:v>
                </c:pt>
                <c:pt idx="310">
                  <c:v>5.0624999999999991</c:v>
                </c:pt>
                <c:pt idx="311">
                  <c:v>1.9444444444444453</c:v>
                </c:pt>
                <c:pt idx="312">
                  <c:v>4.4437500000000023</c:v>
                </c:pt>
                <c:pt idx="313">
                  <c:v>5.4868055555555602</c:v>
                </c:pt>
                <c:pt idx="314">
                  <c:v>6.6763888888888845</c:v>
                </c:pt>
                <c:pt idx="315">
                  <c:v>6.9555555555555548</c:v>
                </c:pt>
                <c:pt idx="316">
                  <c:v>7.3034722222222239</c:v>
                </c:pt>
                <c:pt idx="317">
                  <c:v>6.154166666666665</c:v>
                </c:pt>
                <c:pt idx="318">
                  <c:v>6.0152777777777722</c:v>
                </c:pt>
                <c:pt idx="319">
                  <c:v>7.424305555555561</c:v>
                </c:pt>
                <c:pt idx="320">
                  <c:v>7.1694444444444434</c:v>
                </c:pt>
                <c:pt idx="321">
                  <c:v>6.6368055555555534</c:v>
                </c:pt>
                <c:pt idx="322">
                  <c:v>4.8263888888888902</c:v>
                </c:pt>
                <c:pt idx="323">
                  <c:v>3.8486111111111145</c:v>
                </c:pt>
                <c:pt idx="324">
                  <c:v>1.8749999999999989</c:v>
                </c:pt>
                <c:pt idx="325">
                  <c:v>0.68124999999999902</c:v>
                </c:pt>
                <c:pt idx="326">
                  <c:v>2.7368055555555553</c:v>
                </c:pt>
                <c:pt idx="327">
                  <c:v>3.8798611111111074</c:v>
                </c:pt>
                <c:pt idx="328">
                  <c:v>3.7305555555555552</c:v>
                </c:pt>
                <c:pt idx="329">
                  <c:v>3.5076388888888932</c:v>
                </c:pt>
                <c:pt idx="330">
                  <c:v>2.3124999999999991</c:v>
                </c:pt>
                <c:pt idx="331">
                  <c:v>1.7965277777777762</c:v>
                </c:pt>
                <c:pt idx="332">
                  <c:v>2.1020833333333342</c:v>
                </c:pt>
                <c:pt idx="333">
                  <c:v>1.6576388888888893</c:v>
                </c:pt>
                <c:pt idx="334">
                  <c:v>1.7166666666666672</c:v>
                </c:pt>
                <c:pt idx="335">
                  <c:v>1.8625000000000018</c:v>
                </c:pt>
                <c:pt idx="336">
                  <c:v>1.8572916666666646</c:v>
                </c:pt>
                <c:pt idx="337">
                  <c:v>1.9861111111111127</c:v>
                </c:pt>
                <c:pt idx="338">
                  <c:v>1.9222222222222227</c:v>
                </c:pt>
                <c:pt idx="339">
                  <c:v>1.4798611111111126</c:v>
                </c:pt>
                <c:pt idx="340">
                  <c:v>0.75208333333333266</c:v>
                </c:pt>
                <c:pt idx="341">
                  <c:v>3.0618055555555577</c:v>
                </c:pt>
                <c:pt idx="342">
                  <c:v>4.4576388888888934</c:v>
                </c:pt>
                <c:pt idx="343">
                  <c:v>5.9770833333333311</c:v>
                </c:pt>
                <c:pt idx="344">
                  <c:v>6.97708333333334</c:v>
                </c:pt>
                <c:pt idx="345">
                  <c:v>7.1131944444444377</c:v>
                </c:pt>
                <c:pt idx="346">
                  <c:v>6.7111111111111095</c:v>
                </c:pt>
                <c:pt idx="347">
                  <c:v>6.1222222222222236</c:v>
                </c:pt>
                <c:pt idx="348">
                  <c:v>4.3826388888888834</c:v>
                </c:pt>
                <c:pt idx="349">
                  <c:v>6.6812499999999995</c:v>
                </c:pt>
                <c:pt idx="350">
                  <c:v>7.4805555555555507</c:v>
                </c:pt>
                <c:pt idx="351">
                  <c:v>5.6076388888888893</c:v>
                </c:pt>
                <c:pt idx="352">
                  <c:v>9.731944444444439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17-419A-AA2A-CFE08B4726E0}"/>
            </c:ext>
          </c:extLst>
        </c:ser>
        <c:ser>
          <c:idx val="3"/>
          <c:order val="3"/>
          <c:tx>
            <c:strRef>
              <c:f>CURVE_Haarvaten_obv_Kooijpolder!$G$4</c:f>
              <c:strCache>
                <c:ptCount val="1"/>
                <c:pt idx="0">
                  <c:v>Amplitude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CURVE_Haarvaten_obv_Kooijpolder!$C$5:$C$357</c:f>
              <c:numCache>
                <c:formatCode>m/d/yyyy</c:formatCode>
                <c:ptCount val="353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>
                  <c:v>44602</c:v>
                </c:pt>
                <c:pt idx="30">
                  <c:v>44603</c:v>
                </c:pt>
                <c:pt idx="31">
                  <c:v>44604</c:v>
                </c:pt>
                <c:pt idx="32">
                  <c:v>44605</c:v>
                </c:pt>
                <c:pt idx="33">
                  <c:v>44606</c:v>
                </c:pt>
                <c:pt idx="34">
                  <c:v>44607</c:v>
                </c:pt>
                <c:pt idx="35">
                  <c:v>44608</c:v>
                </c:pt>
                <c:pt idx="36">
                  <c:v>44609</c:v>
                </c:pt>
                <c:pt idx="37">
                  <c:v>44610</c:v>
                </c:pt>
                <c:pt idx="38">
                  <c:v>44611</c:v>
                </c:pt>
                <c:pt idx="39">
                  <c:v>44612</c:v>
                </c:pt>
                <c:pt idx="40">
                  <c:v>44613</c:v>
                </c:pt>
                <c:pt idx="41">
                  <c:v>44614</c:v>
                </c:pt>
                <c:pt idx="42">
                  <c:v>44615</c:v>
                </c:pt>
                <c:pt idx="43">
                  <c:v>44616</c:v>
                </c:pt>
                <c:pt idx="44">
                  <c:v>44617</c:v>
                </c:pt>
                <c:pt idx="45">
                  <c:v>44618</c:v>
                </c:pt>
                <c:pt idx="46">
                  <c:v>44619</c:v>
                </c:pt>
                <c:pt idx="47">
                  <c:v>44620</c:v>
                </c:pt>
                <c:pt idx="48">
                  <c:v>44621</c:v>
                </c:pt>
                <c:pt idx="49">
                  <c:v>44622</c:v>
                </c:pt>
                <c:pt idx="50">
                  <c:v>44623</c:v>
                </c:pt>
                <c:pt idx="51">
                  <c:v>44624</c:v>
                </c:pt>
                <c:pt idx="52">
                  <c:v>44625</c:v>
                </c:pt>
                <c:pt idx="53">
                  <c:v>44626</c:v>
                </c:pt>
                <c:pt idx="54">
                  <c:v>44627</c:v>
                </c:pt>
                <c:pt idx="55">
                  <c:v>44628</c:v>
                </c:pt>
                <c:pt idx="56">
                  <c:v>44629</c:v>
                </c:pt>
                <c:pt idx="57">
                  <c:v>44630</c:v>
                </c:pt>
                <c:pt idx="58">
                  <c:v>44631</c:v>
                </c:pt>
                <c:pt idx="59">
                  <c:v>44632</c:v>
                </c:pt>
                <c:pt idx="60">
                  <c:v>44633</c:v>
                </c:pt>
                <c:pt idx="61">
                  <c:v>44634</c:v>
                </c:pt>
                <c:pt idx="62">
                  <c:v>44635</c:v>
                </c:pt>
                <c:pt idx="63">
                  <c:v>44636</c:v>
                </c:pt>
                <c:pt idx="64">
                  <c:v>44637</c:v>
                </c:pt>
                <c:pt idx="65">
                  <c:v>44638</c:v>
                </c:pt>
                <c:pt idx="66">
                  <c:v>44639</c:v>
                </c:pt>
                <c:pt idx="67">
                  <c:v>44640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44646</c:v>
                </c:pt>
                <c:pt idx="74">
                  <c:v>44647</c:v>
                </c:pt>
                <c:pt idx="75">
                  <c:v>44648</c:v>
                </c:pt>
                <c:pt idx="76">
                  <c:v>44649</c:v>
                </c:pt>
                <c:pt idx="77">
                  <c:v>44650</c:v>
                </c:pt>
                <c:pt idx="78">
                  <c:v>44651</c:v>
                </c:pt>
                <c:pt idx="79">
                  <c:v>44652</c:v>
                </c:pt>
                <c:pt idx="80">
                  <c:v>44653</c:v>
                </c:pt>
                <c:pt idx="81">
                  <c:v>44654</c:v>
                </c:pt>
                <c:pt idx="82">
                  <c:v>44655</c:v>
                </c:pt>
                <c:pt idx="83">
                  <c:v>44656</c:v>
                </c:pt>
                <c:pt idx="84">
                  <c:v>44657</c:v>
                </c:pt>
                <c:pt idx="85">
                  <c:v>44658</c:v>
                </c:pt>
                <c:pt idx="86">
                  <c:v>44659</c:v>
                </c:pt>
                <c:pt idx="87">
                  <c:v>44660</c:v>
                </c:pt>
                <c:pt idx="88">
                  <c:v>44661</c:v>
                </c:pt>
                <c:pt idx="89">
                  <c:v>44662</c:v>
                </c:pt>
                <c:pt idx="90">
                  <c:v>44663</c:v>
                </c:pt>
                <c:pt idx="91">
                  <c:v>44664</c:v>
                </c:pt>
                <c:pt idx="92">
                  <c:v>44665</c:v>
                </c:pt>
                <c:pt idx="93">
                  <c:v>44666</c:v>
                </c:pt>
                <c:pt idx="94">
                  <c:v>44667</c:v>
                </c:pt>
                <c:pt idx="95">
                  <c:v>44668</c:v>
                </c:pt>
                <c:pt idx="96">
                  <c:v>44669</c:v>
                </c:pt>
                <c:pt idx="97">
                  <c:v>44670</c:v>
                </c:pt>
                <c:pt idx="98">
                  <c:v>44671</c:v>
                </c:pt>
                <c:pt idx="99">
                  <c:v>44672</c:v>
                </c:pt>
                <c:pt idx="100">
                  <c:v>44673</c:v>
                </c:pt>
                <c:pt idx="101">
                  <c:v>44674</c:v>
                </c:pt>
                <c:pt idx="102">
                  <c:v>44675</c:v>
                </c:pt>
                <c:pt idx="103">
                  <c:v>44676</c:v>
                </c:pt>
                <c:pt idx="104">
                  <c:v>44677</c:v>
                </c:pt>
                <c:pt idx="105">
                  <c:v>44678</c:v>
                </c:pt>
                <c:pt idx="106">
                  <c:v>44679</c:v>
                </c:pt>
                <c:pt idx="107">
                  <c:v>44680</c:v>
                </c:pt>
                <c:pt idx="108">
                  <c:v>44681</c:v>
                </c:pt>
                <c:pt idx="109">
                  <c:v>44682</c:v>
                </c:pt>
                <c:pt idx="110">
                  <c:v>44683</c:v>
                </c:pt>
                <c:pt idx="111">
                  <c:v>44684</c:v>
                </c:pt>
                <c:pt idx="112">
                  <c:v>44685</c:v>
                </c:pt>
                <c:pt idx="113">
                  <c:v>44687</c:v>
                </c:pt>
                <c:pt idx="114">
                  <c:v>44688</c:v>
                </c:pt>
                <c:pt idx="115">
                  <c:v>44689</c:v>
                </c:pt>
                <c:pt idx="116">
                  <c:v>44690</c:v>
                </c:pt>
                <c:pt idx="117">
                  <c:v>44691</c:v>
                </c:pt>
                <c:pt idx="118">
                  <c:v>44692</c:v>
                </c:pt>
                <c:pt idx="119">
                  <c:v>44693</c:v>
                </c:pt>
                <c:pt idx="120">
                  <c:v>44694</c:v>
                </c:pt>
                <c:pt idx="121">
                  <c:v>44695</c:v>
                </c:pt>
                <c:pt idx="122">
                  <c:v>44696</c:v>
                </c:pt>
                <c:pt idx="123">
                  <c:v>44697</c:v>
                </c:pt>
                <c:pt idx="124">
                  <c:v>44698</c:v>
                </c:pt>
                <c:pt idx="125">
                  <c:v>44699</c:v>
                </c:pt>
                <c:pt idx="126">
                  <c:v>44700</c:v>
                </c:pt>
                <c:pt idx="127">
                  <c:v>44701</c:v>
                </c:pt>
                <c:pt idx="128">
                  <c:v>44702</c:v>
                </c:pt>
                <c:pt idx="129">
                  <c:v>44703</c:v>
                </c:pt>
                <c:pt idx="130">
                  <c:v>44704</c:v>
                </c:pt>
                <c:pt idx="131">
                  <c:v>44705</c:v>
                </c:pt>
                <c:pt idx="132">
                  <c:v>44706</c:v>
                </c:pt>
                <c:pt idx="133">
                  <c:v>44707</c:v>
                </c:pt>
                <c:pt idx="134">
                  <c:v>44708</c:v>
                </c:pt>
                <c:pt idx="135">
                  <c:v>44709</c:v>
                </c:pt>
                <c:pt idx="136">
                  <c:v>44710</c:v>
                </c:pt>
                <c:pt idx="137">
                  <c:v>44711</c:v>
                </c:pt>
                <c:pt idx="138">
                  <c:v>44712</c:v>
                </c:pt>
                <c:pt idx="139">
                  <c:v>44713</c:v>
                </c:pt>
                <c:pt idx="140">
                  <c:v>44714</c:v>
                </c:pt>
                <c:pt idx="141">
                  <c:v>44715</c:v>
                </c:pt>
                <c:pt idx="142">
                  <c:v>44716</c:v>
                </c:pt>
                <c:pt idx="143">
                  <c:v>44717</c:v>
                </c:pt>
                <c:pt idx="144">
                  <c:v>44718</c:v>
                </c:pt>
                <c:pt idx="145">
                  <c:v>44719</c:v>
                </c:pt>
                <c:pt idx="146">
                  <c:v>44720</c:v>
                </c:pt>
                <c:pt idx="147">
                  <c:v>44721</c:v>
                </c:pt>
                <c:pt idx="148">
                  <c:v>44722</c:v>
                </c:pt>
                <c:pt idx="149">
                  <c:v>44723</c:v>
                </c:pt>
                <c:pt idx="150">
                  <c:v>44724</c:v>
                </c:pt>
                <c:pt idx="151">
                  <c:v>44725</c:v>
                </c:pt>
                <c:pt idx="152">
                  <c:v>44726</c:v>
                </c:pt>
                <c:pt idx="153">
                  <c:v>44727</c:v>
                </c:pt>
                <c:pt idx="154">
                  <c:v>44728</c:v>
                </c:pt>
                <c:pt idx="155">
                  <c:v>44729</c:v>
                </c:pt>
                <c:pt idx="156">
                  <c:v>44730</c:v>
                </c:pt>
                <c:pt idx="157">
                  <c:v>44731</c:v>
                </c:pt>
                <c:pt idx="158">
                  <c:v>44732</c:v>
                </c:pt>
                <c:pt idx="159">
                  <c:v>44733</c:v>
                </c:pt>
                <c:pt idx="160">
                  <c:v>44734</c:v>
                </c:pt>
                <c:pt idx="161">
                  <c:v>44735</c:v>
                </c:pt>
                <c:pt idx="162">
                  <c:v>44736</c:v>
                </c:pt>
                <c:pt idx="163">
                  <c:v>44737</c:v>
                </c:pt>
                <c:pt idx="164">
                  <c:v>44738</c:v>
                </c:pt>
                <c:pt idx="165">
                  <c:v>44739</c:v>
                </c:pt>
                <c:pt idx="166">
                  <c:v>44740</c:v>
                </c:pt>
                <c:pt idx="167">
                  <c:v>44741</c:v>
                </c:pt>
                <c:pt idx="168">
                  <c:v>44742</c:v>
                </c:pt>
                <c:pt idx="169">
                  <c:v>44743</c:v>
                </c:pt>
                <c:pt idx="170">
                  <c:v>44744</c:v>
                </c:pt>
                <c:pt idx="171">
                  <c:v>44745</c:v>
                </c:pt>
                <c:pt idx="172">
                  <c:v>44746</c:v>
                </c:pt>
                <c:pt idx="173">
                  <c:v>44747</c:v>
                </c:pt>
                <c:pt idx="174">
                  <c:v>44748</c:v>
                </c:pt>
                <c:pt idx="175">
                  <c:v>44749</c:v>
                </c:pt>
                <c:pt idx="176">
                  <c:v>44750</c:v>
                </c:pt>
                <c:pt idx="177">
                  <c:v>44751</c:v>
                </c:pt>
                <c:pt idx="178">
                  <c:v>44752</c:v>
                </c:pt>
                <c:pt idx="179">
                  <c:v>44753</c:v>
                </c:pt>
                <c:pt idx="180">
                  <c:v>44754</c:v>
                </c:pt>
                <c:pt idx="181">
                  <c:v>44755</c:v>
                </c:pt>
                <c:pt idx="182">
                  <c:v>44756</c:v>
                </c:pt>
                <c:pt idx="183">
                  <c:v>44757</c:v>
                </c:pt>
                <c:pt idx="184">
                  <c:v>44758</c:v>
                </c:pt>
                <c:pt idx="185">
                  <c:v>44759</c:v>
                </c:pt>
                <c:pt idx="186">
                  <c:v>44760</c:v>
                </c:pt>
                <c:pt idx="187">
                  <c:v>44761</c:v>
                </c:pt>
                <c:pt idx="188">
                  <c:v>44762</c:v>
                </c:pt>
                <c:pt idx="189">
                  <c:v>44763</c:v>
                </c:pt>
                <c:pt idx="190">
                  <c:v>44764</c:v>
                </c:pt>
                <c:pt idx="191">
                  <c:v>44765</c:v>
                </c:pt>
                <c:pt idx="192">
                  <c:v>44766</c:v>
                </c:pt>
                <c:pt idx="193">
                  <c:v>44767</c:v>
                </c:pt>
                <c:pt idx="194">
                  <c:v>44768</c:v>
                </c:pt>
                <c:pt idx="195">
                  <c:v>44769</c:v>
                </c:pt>
                <c:pt idx="196">
                  <c:v>44770</c:v>
                </c:pt>
                <c:pt idx="197">
                  <c:v>44771</c:v>
                </c:pt>
                <c:pt idx="198">
                  <c:v>44772</c:v>
                </c:pt>
                <c:pt idx="199">
                  <c:v>44773</c:v>
                </c:pt>
                <c:pt idx="200">
                  <c:v>44774</c:v>
                </c:pt>
                <c:pt idx="201">
                  <c:v>44775</c:v>
                </c:pt>
                <c:pt idx="202">
                  <c:v>44776</c:v>
                </c:pt>
                <c:pt idx="203">
                  <c:v>44777</c:v>
                </c:pt>
                <c:pt idx="204">
                  <c:v>44778</c:v>
                </c:pt>
                <c:pt idx="205">
                  <c:v>44779</c:v>
                </c:pt>
                <c:pt idx="206">
                  <c:v>44780</c:v>
                </c:pt>
                <c:pt idx="207">
                  <c:v>44781</c:v>
                </c:pt>
                <c:pt idx="208">
                  <c:v>44782</c:v>
                </c:pt>
                <c:pt idx="209">
                  <c:v>44783</c:v>
                </c:pt>
                <c:pt idx="210">
                  <c:v>44784</c:v>
                </c:pt>
                <c:pt idx="211">
                  <c:v>44785</c:v>
                </c:pt>
                <c:pt idx="212">
                  <c:v>44786</c:v>
                </c:pt>
                <c:pt idx="213">
                  <c:v>44787</c:v>
                </c:pt>
                <c:pt idx="214">
                  <c:v>44788</c:v>
                </c:pt>
                <c:pt idx="215">
                  <c:v>44789</c:v>
                </c:pt>
                <c:pt idx="216">
                  <c:v>44790</c:v>
                </c:pt>
                <c:pt idx="217">
                  <c:v>44791</c:v>
                </c:pt>
                <c:pt idx="218">
                  <c:v>44792</c:v>
                </c:pt>
                <c:pt idx="219">
                  <c:v>44793</c:v>
                </c:pt>
                <c:pt idx="220">
                  <c:v>44794</c:v>
                </c:pt>
                <c:pt idx="221">
                  <c:v>44795</c:v>
                </c:pt>
                <c:pt idx="222">
                  <c:v>44796</c:v>
                </c:pt>
                <c:pt idx="223">
                  <c:v>44797</c:v>
                </c:pt>
                <c:pt idx="224">
                  <c:v>44798</c:v>
                </c:pt>
                <c:pt idx="225">
                  <c:v>44799</c:v>
                </c:pt>
                <c:pt idx="226">
                  <c:v>44800</c:v>
                </c:pt>
                <c:pt idx="227">
                  <c:v>44801</c:v>
                </c:pt>
                <c:pt idx="228">
                  <c:v>44802</c:v>
                </c:pt>
                <c:pt idx="229">
                  <c:v>44803</c:v>
                </c:pt>
                <c:pt idx="230">
                  <c:v>44804</c:v>
                </c:pt>
                <c:pt idx="231">
                  <c:v>44805</c:v>
                </c:pt>
                <c:pt idx="232">
                  <c:v>44806</c:v>
                </c:pt>
                <c:pt idx="233">
                  <c:v>44807</c:v>
                </c:pt>
                <c:pt idx="234">
                  <c:v>44808</c:v>
                </c:pt>
                <c:pt idx="235">
                  <c:v>44809</c:v>
                </c:pt>
                <c:pt idx="236">
                  <c:v>44810</c:v>
                </c:pt>
                <c:pt idx="237">
                  <c:v>44811</c:v>
                </c:pt>
                <c:pt idx="238">
                  <c:v>44812</c:v>
                </c:pt>
                <c:pt idx="239">
                  <c:v>44813</c:v>
                </c:pt>
                <c:pt idx="240">
                  <c:v>44814</c:v>
                </c:pt>
                <c:pt idx="241">
                  <c:v>44815</c:v>
                </c:pt>
                <c:pt idx="242">
                  <c:v>44816</c:v>
                </c:pt>
                <c:pt idx="243">
                  <c:v>44817</c:v>
                </c:pt>
                <c:pt idx="244">
                  <c:v>44818</c:v>
                </c:pt>
                <c:pt idx="245">
                  <c:v>44819</c:v>
                </c:pt>
                <c:pt idx="246">
                  <c:v>44820</c:v>
                </c:pt>
                <c:pt idx="247">
                  <c:v>44821</c:v>
                </c:pt>
                <c:pt idx="248">
                  <c:v>44822</c:v>
                </c:pt>
                <c:pt idx="249">
                  <c:v>44823</c:v>
                </c:pt>
                <c:pt idx="250">
                  <c:v>44824</c:v>
                </c:pt>
                <c:pt idx="251">
                  <c:v>44825</c:v>
                </c:pt>
                <c:pt idx="252">
                  <c:v>44826</c:v>
                </c:pt>
                <c:pt idx="253">
                  <c:v>44827</c:v>
                </c:pt>
                <c:pt idx="254">
                  <c:v>44828</c:v>
                </c:pt>
                <c:pt idx="255">
                  <c:v>44829</c:v>
                </c:pt>
                <c:pt idx="256">
                  <c:v>44830</c:v>
                </c:pt>
                <c:pt idx="257">
                  <c:v>44831</c:v>
                </c:pt>
                <c:pt idx="258">
                  <c:v>44832</c:v>
                </c:pt>
                <c:pt idx="259">
                  <c:v>44833</c:v>
                </c:pt>
                <c:pt idx="260">
                  <c:v>44834</c:v>
                </c:pt>
                <c:pt idx="261">
                  <c:v>44835</c:v>
                </c:pt>
                <c:pt idx="262">
                  <c:v>44836</c:v>
                </c:pt>
                <c:pt idx="263">
                  <c:v>44837</c:v>
                </c:pt>
                <c:pt idx="264">
                  <c:v>44838</c:v>
                </c:pt>
                <c:pt idx="265">
                  <c:v>44839</c:v>
                </c:pt>
                <c:pt idx="266">
                  <c:v>44840</c:v>
                </c:pt>
                <c:pt idx="267">
                  <c:v>44841</c:v>
                </c:pt>
                <c:pt idx="268">
                  <c:v>44842</c:v>
                </c:pt>
                <c:pt idx="269">
                  <c:v>44843</c:v>
                </c:pt>
                <c:pt idx="270">
                  <c:v>44844</c:v>
                </c:pt>
                <c:pt idx="271">
                  <c:v>44845</c:v>
                </c:pt>
                <c:pt idx="272">
                  <c:v>44846</c:v>
                </c:pt>
                <c:pt idx="273">
                  <c:v>44847</c:v>
                </c:pt>
                <c:pt idx="274">
                  <c:v>44848</c:v>
                </c:pt>
                <c:pt idx="275">
                  <c:v>44849</c:v>
                </c:pt>
                <c:pt idx="276">
                  <c:v>44850</c:v>
                </c:pt>
                <c:pt idx="277">
                  <c:v>44851</c:v>
                </c:pt>
                <c:pt idx="278">
                  <c:v>44852</c:v>
                </c:pt>
                <c:pt idx="279">
                  <c:v>44853</c:v>
                </c:pt>
                <c:pt idx="280">
                  <c:v>44854</c:v>
                </c:pt>
                <c:pt idx="281">
                  <c:v>44855</c:v>
                </c:pt>
                <c:pt idx="282">
                  <c:v>44856</c:v>
                </c:pt>
                <c:pt idx="283">
                  <c:v>44857</c:v>
                </c:pt>
                <c:pt idx="284">
                  <c:v>44858</c:v>
                </c:pt>
                <c:pt idx="285">
                  <c:v>44859</c:v>
                </c:pt>
                <c:pt idx="286">
                  <c:v>44860</c:v>
                </c:pt>
                <c:pt idx="287">
                  <c:v>44861</c:v>
                </c:pt>
                <c:pt idx="288">
                  <c:v>44862</c:v>
                </c:pt>
                <c:pt idx="289">
                  <c:v>44863</c:v>
                </c:pt>
                <c:pt idx="290">
                  <c:v>44864</c:v>
                </c:pt>
                <c:pt idx="291">
                  <c:v>44865</c:v>
                </c:pt>
                <c:pt idx="292">
                  <c:v>44866</c:v>
                </c:pt>
                <c:pt idx="293">
                  <c:v>44867</c:v>
                </c:pt>
                <c:pt idx="294">
                  <c:v>44868</c:v>
                </c:pt>
                <c:pt idx="295">
                  <c:v>44869</c:v>
                </c:pt>
                <c:pt idx="296">
                  <c:v>44870</c:v>
                </c:pt>
                <c:pt idx="297">
                  <c:v>44871</c:v>
                </c:pt>
                <c:pt idx="298">
                  <c:v>44872</c:v>
                </c:pt>
                <c:pt idx="299">
                  <c:v>44873</c:v>
                </c:pt>
                <c:pt idx="300">
                  <c:v>44874</c:v>
                </c:pt>
                <c:pt idx="301">
                  <c:v>44875</c:v>
                </c:pt>
                <c:pt idx="302">
                  <c:v>44876</c:v>
                </c:pt>
                <c:pt idx="303">
                  <c:v>44877</c:v>
                </c:pt>
                <c:pt idx="304">
                  <c:v>44878</c:v>
                </c:pt>
                <c:pt idx="305">
                  <c:v>44879</c:v>
                </c:pt>
                <c:pt idx="306">
                  <c:v>44880</c:v>
                </c:pt>
                <c:pt idx="307">
                  <c:v>44881</c:v>
                </c:pt>
                <c:pt idx="308">
                  <c:v>44882</c:v>
                </c:pt>
                <c:pt idx="309">
                  <c:v>44883</c:v>
                </c:pt>
                <c:pt idx="310">
                  <c:v>44884</c:v>
                </c:pt>
                <c:pt idx="311">
                  <c:v>44885</c:v>
                </c:pt>
                <c:pt idx="312">
                  <c:v>44886</c:v>
                </c:pt>
                <c:pt idx="313">
                  <c:v>44887</c:v>
                </c:pt>
                <c:pt idx="314">
                  <c:v>44888</c:v>
                </c:pt>
                <c:pt idx="315">
                  <c:v>44889</c:v>
                </c:pt>
                <c:pt idx="316">
                  <c:v>44890</c:v>
                </c:pt>
                <c:pt idx="317">
                  <c:v>44891</c:v>
                </c:pt>
                <c:pt idx="318">
                  <c:v>44892</c:v>
                </c:pt>
                <c:pt idx="319">
                  <c:v>44893</c:v>
                </c:pt>
                <c:pt idx="320">
                  <c:v>44894</c:v>
                </c:pt>
                <c:pt idx="321">
                  <c:v>44895</c:v>
                </c:pt>
                <c:pt idx="322">
                  <c:v>44896</c:v>
                </c:pt>
                <c:pt idx="323">
                  <c:v>44897</c:v>
                </c:pt>
                <c:pt idx="324">
                  <c:v>44898</c:v>
                </c:pt>
                <c:pt idx="325">
                  <c:v>44899</c:v>
                </c:pt>
                <c:pt idx="326">
                  <c:v>44900</c:v>
                </c:pt>
                <c:pt idx="327">
                  <c:v>44901</c:v>
                </c:pt>
                <c:pt idx="328">
                  <c:v>44902</c:v>
                </c:pt>
                <c:pt idx="329">
                  <c:v>44903</c:v>
                </c:pt>
                <c:pt idx="330">
                  <c:v>44904</c:v>
                </c:pt>
                <c:pt idx="331">
                  <c:v>44905</c:v>
                </c:pt>
                <c:pt idx="332">
                  <c:v>44906</c:v>
                </c:pt>
                <c:pt idx="333">
                  <c:v>44907</c:v>
                </c:pt>
                <c:pt idx="334">
                  <c:v>44908</c:v>
                </c:pt>
                <c:pt idx="335">
                  <c:v>44909</c:v>
                </c:pt>
                <c:pt idx="336">
                  <c:v>44910</c:v>
                </c:pt>
                <c:pt idx="337">
                  <c:v>44911</c:v>
                </c:pt>
                <c:pt idx="338">
                  <c:v>44912</c:v>
                </c:pt>
                <c:pt idx="339">
                  <c:v>44913</c:v>
                </c:pt>
                <c:pt idx="340">
                  <c:v>44914</c:v>
                </c:pt>
                <c:pt idx="341">
                  <c:v>44915</c:v>
                </c:pt>
                <c:pt idx="342">
                  <c:v>44916</c:v>
                </c:pt>
                <c:pt idx="343">
                  <c:v>44917</c:v>
                </c:pt>
                <c:pt idx="344">
                  <c:v>44918</c:v>
                </c:pt>
                <c:pt idx="345">
                  <c:v>44919</c:v>
                </c:pt>
                <c:pt idx="346">
                  <c:v>44920</c:v>
                </c:pt>
                <c:pt idx="347">
                  <c:v>44921</c:v>
                </c:pt>
                <c:pt idx="348">
                  <c:v>44922</c:v>
                </c:pt>
                <c:pt idx="349">
                  <c:v>44923</c:v>
                </c:pt>
                <c:pt idx="350">
                  <c:v>44924</c:v>
                </c:pt>
                <c:pt idx="351">
                  <c:v>44925</c:v>
                </c:pt>
                <c:pt idx="352">
                  <c:v>44926</c:v>
                </c:pt>
              </c:numCache>
            </c:numRef>
          </c:cat>
          <c:val>
            <c:numRef>
              <c:f>CURVE_Haarvaten_obv_Kooijpolder!$G$5:$G$357</c:f>
              <c:numCache>
                <c:formatCode>General</c:formatCode>
                <c:ptCount val="353"/>
                <c:pt idx="0">
                  <c:v>1.5</c:v>
                </c:pt>
                <c:pt idx="1">
                  <c:v>2.2999999999999998</c:v>
                </c:pt>
                <c:pt idx="2">
                  <c:v>1.9999999999999996</c:v>
                </c:pt>
                <c:pt idx="3">
                  <c:v>1.8000000000000003</c:v>
                </c:pt>
                <c:pt idx="4">
                  <c:v>2.3000000000000003</c:v>
                </c:pt>
                <c:pt idx="5">
                  <c:v>3.1999999999999997</c:v>
                </c:pt>
                <c:pt idx="6">
                  <c:v>2.8</c:v>
                </c:pt>
                <c:pt idx="7">
                  <c:v>1.6999999999999997</c:v>
                </c:pt>
                <c:pt idx="8">
                  <c:v>1.9999999999999996</c:v>
                </c:pt>
                <c:pt idx="9">
                  <c:v>3.1000000000000005</c:v>
                </c:pt>
                <c:pt idx="10">
                  <c:v>1.4000000000000004</c:v>
                </c:pt>
                <c:pt idx="11">
                  <c:v>1.4000000000000004</c:v>
                </c:pt>
                <c:pt idx="12">
                  <c:v>1</c:v>
                </c:pt>
                <c:pt idx="13">
                  <c:v>0.79999999999999982</c:v>
                </c:pt>
                <c:pt idx="14">
                  <c:v>1.5</c:v>
                </c:pt>
                <c:pt idx="15">
                  <c:v>3.5000000000000004</c:v>
                </c:pt>
                <c:pt idx="16">
                  <c:v>3.8</c:v>
                </c:pt>
                <c:pt idx="17">
                  <c:v>3.8000000000000007</c:v>
                </c:pt>
                <c:pt idx="18">
                  <c:v>3</c:v>
                </c:pt>
                <c:pt idx="19">
                  <c:v>1.6999999999999997</c:v>
                </c:pt>
                <c:pt idx="20">
                  <c:v>4.2</c:v>
                </c:pt>
                <c:pt idx="21">
                  <c:v>3.0000000000000009</c:v>
                </c:pt>
                <c:pt idx="22">
                  <c:v>1.2999999999999998</c:v>
                </c:pt>
                <c:pt idx="23">
                  <c:v>3.5</c:v>
                </c:pt>
                <c:pt idx="24">
                  <c:v>4.3000000000000007</c:v>
                </c:pt>
                <c:pt idx="25">
                  <c:v>3.2</c:v>
                </c:pt>
                <c:pt idx="26">
                  <c:v>3.8</c:v>
                </c:pt>
                <c:pt idx="27">
                  <c:v>4.3</c:v>
                </c:pt>
                <c:pt idx="28">
                  <c:v>2.2999999999999998</c:v>
                </c:pt>
                <c:pt idx="29">
                  <c:v>3.3000000000000007</c:v>
                </c:pt>
                <c:pt idx="30">
                  <c:v>3.3000000000000003</c:v>
                </c:pt>
                <c:pt idx="31">
                  <c:v>4.8</c:v>
                </c:pt>
                <c:pt idx="32">
                  <c:v>5.6</c:v>
                </c:pt>
                <c:pt idx="33">
                  <c:v>3.8</c:v>
                </c:pt>
                <c:pt idx="34">
                  <c:v>2.8</c:v>
                </c:pt>
                <c:pt idx="35">
                  <c:v>2.7999999999999989</c:v>
                </c:pt>
                <c:pt idx="36">
                  <c:v>3.9000000000000004</c:v>
                </c:pt>
                <c:pt idx="37">
                  <c:v>4.4000000000000004</c:v>
                </c:pt>
                <c:pt idx="38">
                  <c:v>4.1999999999999993</c:v>
                </c:pt>
                <c:pt idx="39">
                  <c:v>4.2</c:v>
                </c:pt>
                <c:pt idx="40">
                  <c:v>3.6000000000000005</c:v>
                </c:pt>
                <c:pt idx="41">
                  <c:v>4.2</c:v>
                </c:pt>
                <c:pt idx="42">
                  <c:v>6.1</c:v>
                </c:pt>
                <c:pt idx="43">
                  <c:v>3.8</c:v>
                </c:pt>
                <c:pt idx="44">
                  <c:v>5.3</c:v>
                </c:pt>
                <c:pt idx="45">
                  <c:v>6.8999999999999995</c:v>
                </c:pt>
                <c:pt idx="46">
                  <c:v>7.6999999999999993</c:v>
                </c:pt>
                <c:pt idx="47">
                  <c:v>6.4</c:v>
                </c:pt>
                <c:pt idx="48">
                  <c:v>2.3000000000000003</c:v>
                </c:pt>
                <c:pt idx="49">
                  <c:v>6</c:v>
                </c:pt>
                <c:pt idx="50">
                  <c:v>7.9</c:v>
                </c:pt>
                <c:pt idx="51">
                  <c:v>9.2999999999999989</c:v>
                </c:pt>
                <c:pt idx="52">
                  <c:v>9</c:v>
                </c:pt>
                <c:pt idx="53">
                  <c:v>6.8000000000000007</c:v>
                </c:pt>
                <c:pt idx="54">
                  <c:v>7.3</c:v>
                </c:pt>
                <c:pt idx="55">
                  <c:v>8.8000000000000007</c:v>
                </c:pt>
                <c:pt idx="56">
                  <c:v>8.8000000000000007</c:v>
                </c:pt>
                <c:pt idx="57">
                  <c:v>8.6000000000000014</c:v>
                </c:pt>
                <c:pt idx="58">
                  <c:v>9.4</c:v>
                </c:pt>
                <c:pt idx="59">
                  <c:v>6.4</c:v>
                </c:pt>
                <c:pt idx="60">
                  <c:v>7.9</c:v>
                </c:pt>
                <c:pt idx="61">
                  <c:v>6.3000000000000007</c:v>
                </c:pt>
                <c:pt idx="62">
                  <c:v>8.1</c:v>
                </c:pt>
                <c:pt idx="63">
                  <c:v>6</c:v>
                </c:pt>
                <c:pt idx="64">
                  <c:v>7.0000000000000009</c:v>
                </c:pt>
                <c:pt idx="65">
                  <c:v>9.8000000000000007</c:v>
                </c:pt>
                <c:pt idx="66">
                  <c:v>8.1999999999999993</c:v>
                </c:pt>
                <c:pt idx="67">
                  <c:v>5.3000000000000007</c:v>
                </c:pt>
                <c:pt idx="68">
                  <c:v>13.700000000000001</c:v>
                </c:pt>
                <c:pt idx="69">
                  <c:v>10.6</c:v>
                </c:pt>
                <c:pt idx="70">
                  <c:v>10.199999999999999</c:v>
                </c:pt>
                <c:pt idx="71">
                  <c:v>9</c:v>
                </c:pt>
                <c:pt idx="72">
                  <c:v>7.8000000000000007</c:v>
                </c:pt>
                <c:pt idx="73">
                  <c:v>8.2999999999999989</c:v>
                </c:pt>
                <c:pt idx="74">
                  <c:v>7.0000000000000018</c:v>
                </c:pt>
                <c:pt idx="75">
                  <c:v>7.5</c:v>
                </c:pt>
                <c:pt idx="76">
                  <c:v>5.7000000000000011</c:v>
                </c:pt>
                <c:pt idx="77">
                  <c:v>5.3999999999999986</c:v>
                </c:pt>
                <c:pt idx="78">
                  <c:v>6.7000000000000011</c:v>
                </c:pt>
                <c:pt idx="79">
                  <c:v>6</c:v>
                </c:pt>
                <c:pt idx="80">
                  <c:v>5.0999999999999996</c:v>
                </c:pt>
                <c:pt idx="81">
                  <c:v>5.8000000000000007</c:v>
                </c:pt>
                <c:pt idx="82">
                  <c:v>2.5999999999999996</c:v>
                </c:pt>
                <c:pt idx="83">
                  <c:v>3.3999999999999995</c:v>
                </c:pt>
                <c:pt idx="84">
                  <c:v>2.7000000000000011</c:v>
                </c:pt>
                <c:pt idx="85">
                  <c:v>4.3999999999999995</c:v>
                </c:pt>
                <c:pt idx="86">
                  <c:v>4.5</c:v>
                </c:pt>
                <c:pt idx="87">
                  <c:v>6.0000000000000009</c:v>
                </c:pt>
                <c:pt idx="88">
                  <c:v>9.5</c:v>
                </c:pt>
                <c:pt idx="89">
                  <c:v>6.6</c:v>
                </c:pt>
                <c:pt idx="90">
                  <c:v>8.1999999999999993</c:v>
                </c:pt>
                <c:pt idx="91">
                  <c:v>4.5999999999999979</c:v>
                </c:pt>
                <c:pt idx="92">
                  <c:v>8.5</c:v>
                </c:pt>
                <c:pt idx="93">
                  <c:v>7.1999999999999993</c:v>
                </c:pt>
                <c:pt idx="94">
                  <c:v>8.2999999999999989</c:v>
                </c:pt>
                <c:pt idx="95">
                  <c:v>8.7000000000000011</c:v>
                </c:pt>
                <c:pt idx="96">
                  <c:v>9.4</c:v>
                </c:pt>
                <c:pt idx="97">
                  <c:v>7.9</c:v>
                </c:pt>
                <c:pt idx="98">
                  <c:v>8.1000000000000014</c:v>
                </c:pt>
                <c:pt idx="99">
                  <c:v>8</c:v>
                </c:pt>
                <c:pt idx="100">
                  <c:v>7.6000000000000014</c:v>
                </c:pt>
                <c:pt idx="101">
                  <c:v>7.7999999999999989</c:v>
                </c:pt>
                <c:pt idx="102">
                  <c:v>8.6000000000000014</c:v>
                </c:pt>
                <c:pt idx="103">
                  <c:v>2.6999999999999993</c:v>
                </c:pt>
                <c:pt idx="104">
                  <c:v>8.6999999999999993</c:v>
                </c:pt>
                <c:pt idx="105">
                  <c:v>4.1999999999999993</c:v>
                </c:pt>
                <c:pt idx="106">
                  <c:v>9.1000000000000014</c:v>
                </c:pt>
                <c:pt idx="107">
                  <c:v>4.2000000000000011</c:v>
                </c:pt>
                <c:pt idx="108">
                  <c:v>7</c:v>
                </c:pt>
                <c:pt idx="109">
                  <c:v>9.8999999999999986</c:v>
                </c:pt>
                <c:pt idx="110">
                  <c:v>9.2000000000000011</c:v>
                </c:pt>
                <c:pt idx="111">
                  <c:v>3.3000000000000007</c:v>
                </c:pt>
                <c:pt idx="112">
                  <c:v>0.40000000000000036</c:v>
                </c:pt>
                <c:pt idx="113">
                  <c:v>4.2999999999999972</c:v>
                </c:pt>
                <c:pt idx="114">
                  <c:v>7.8999999999999986</c:v>
                </c:pt>
                <c:pt idx="115">
                  <c:v>8.7000000000000011</c:v>
                </c:pt>
                <c:pt idx="116">
                  <c:v>10.3</c:v>
                </c:pt>
                <c:pt idx="117">
                  <c:v>3.8999999999999986</c:v>
                </c:pt>
                <c:pt idx="118">
                  <c:v>7</c:v>
                </c:pt>
                <c:pt idx="119">
                  <c:v>8.8000000000000007</c:v>
                </c:pt>
                <c:pt idx="120">
                  <c:v>7.1999999999999993</c:v>
                </c:pt>
                <c:pt idx="121">
                  <c:v>8.8999999999999986</c:v>
                </c:pt>
                <c:pt idx="122">
                  <c:v>8.7999999999999989</c:v>
                </c:pt>
                <c:pt idx="123">
                  <c:v>4.5999999999999979</c:v>
                </c:pt>
                <c:pt idx="124">
                  <c:v>6.9000000000000021</c:v>
                </c:pt>
                <c:pt idx="125">
                  <c:v>7.2000000000000028</c:v>
                </c:pt>
                <c:pt idx="126">
                  <c:v>3.6000000000000014</c:v>
                </c:pt>
                <c:pt idx="127">
                  <c:v>4.0999999999999996</c:v>
                </c:pt>
                <c:pt idx="128">
                  <c:v>7.2999999999999989</c:v>
                </c:pt>
                <c:pt idx="129">
                  <c:v>9.1999999999999993</c:v>
                </c:pt>
                <c:pt idx="130">
                  <c:v>4.1999999999999993</c:v>
                </c:pt>
                <c:pt idx="131">
                  <c:v>5.7000000000000011</c:v>
                </c:pt>
                <c:pt idx="132">
                  <c:v>4.8999999999999986</c:v>
                </c:pt>
                <c:pt idx="133">
                  <c:v>7.2000000000000011</c:v>
                </c:pt>
                <c:pt idx="134">
                  <c:v>5.5999999999999979</c:v>
                </c:pt>
                <c:pt idx="135">
                  <c:v>6.4000000000000021</c:v>
                </c:pt>
                <c:pt idx="136">
                  <c:v>5</c:v>
                </c:pt>
                <c:pt idx="137">
                  <c:v>7.0999999999999979</c:v>
                </c:pt>
                <c:pt idx="138">
                  <c:v>6.3000000000000007</c:v>
                </c:pt>
                <c:pt idx="139">
                  <c:v>6.7000000000000011</c:v>
                </c:pt>
                <c:pt idx="140">
                  <c:v>8.9</c:v>
                </c:pt>
                <c:pt idx="141">
                  <c:v>9.6999999999999993</c:v>
                </c:pt>
                <c:pt idx="142">
                  <c:v>5.5999999999999979</c:v>
                </c:pt>
                <c:pt idx="143">
                  <c:v>3.5999999999999979</c:v>
                </c:pt>
                <c:pt idx="144">
                  <c:v>2.9999999999999982</c:v>
                </c:pt>
                <c:pt idx="145">
                  <c:v>8.1999999999999993</c:v>
                </c:pt>
                <c:pt idx="146">
                  <c:v>3</c:v>
                </c:pt>
                <c:pt idx="147">
                  <c:v>9.7000000000000011</c:v>
                </c:pt>
                <c:pt idx="148">
                  <c:v>6.1999999999999993</c:v>
                </c:pt>
                <c:pt idx="149">
                  <c:v>8.6999999999999993</c:v>
                </c:pt>
                <c:pt idx="150">
                  <c:v>7.5</c:v>
                </c:pt>
                <c:pt idx="151">
                  <c:v>5.3000000000000007</c:v>
                </c:pt>
                <c:pt idx="152">
                  <c:v>8.1999999999999993</c:v>
                </c:pt>
                <c:pt idx="153">
                  <c:v>9.8999999999999986</c:v>
                </c:pt>
                <c:pt idx="154">
                  <c:v>10</c:v>
                </c:pt>
                <c:pt idx="155">
                  <c:v>7.5</c:v>
                </c:pt>
                <c:pt idx="156">
                  <c:v>7</c:v>
                </c:pt>
                <c:pt idx="157">
                  <c:v>4.6000000000000014</c:v>
                </c:pt>
                <c:pt idx="158">
                  <c:v>6.4</c:v>
                </c:pt>
                <c:pt idx="159">
                  <c:v>8.3000000000000007</c:v>
                </c:pt>
                <c:pt idx="160">
                  <c:v>9.6999999999999993</c:v>
                </c:pt>
                <c:pt idx="161">
                  <c:v>9.2000000000000028</c:v>
                </c:pt>
                <c:pt idx="162">
                  <c:v>4.3000000000000007</c:v>
                </c:pt>
                <c:pt idx="163">
                  <c:v>3.6999999999999993</c:v>
                </c:pt>
                <c:pt idx="164">
                  <c:v>5.2000000000000028</c:v>
                </c:pt>
                <c:pt idx="165">
                  <c:v>3.1999999999999993</c:v>
                </c:pt>
                <c:pt idx="166">
                  <c:v>9.3999999999999986</c:v>
                </c:pt>
                <c:pt idx="167">
                  <c:v>8</c:v>
                </c:pt>
                <c:pt idx="168">
                  <c:v>4.7000000000000028</c:v>
                </c:pt>
                <c:pt idx="169">
                  <c:v>6</c:v>
                </c:pt>
                <c:pt idx="170">
                  <c:v>8.1999999999999993</c:v>
                </c:pt>
                <c:pt idx="171">
                  <c:v>4.5</c:v>
                </c:pt>
                <c:pt idx="172">
                  <c:v>7.6000000000000014</c:v>
                </c:pt>
                <c:pt idx="173">
                  <c:v>5.3999999999999986</c:v>
                </c:pt>
                <c:pt idx="174">
                  <c:v>6.1000000000000014</c:v>
                </c:pt>
                <c:pt idx="175">
                  <c:v>3.0999999999999979</c:v>
                </c:pt>
                <c:pt idx="176">
                  <c:v>10.3</c:v>
                </c:pt>
                <c:pt idx="177">
                  <c:v>4.8000000000000007</c:v>
                </c:pt>
                <c:pt idx="178">
                  <c:v>7.0999999999999979</c:v>
                </c:pt>
                <c:pt idx="179">
                  <c:v>8.1000000000000014</c:v>
                </c:pt>
                <c:pt idx="180">
                  <c:v>7.1999999999999993</c:v>
                </c:pt>
                <c:pt idx="181">
                  <c:v>5.3999999999999986</c:v>
                </c:pt>
                <c:pt idx="182">
                  <c:v>6.6999999999999993</c:v>
                </c:pt>
                <c:pt idx="183">
                  <c:v>8.5</c:v>
                </c:pt>
                <c:pt idx="184">
                  <c:v>6.6999999999999993</c:v>
                </c:pt>
                <c:pt idx="185">
                  <c:v>10</c:v>
                </c:pt>
                <c:pt idx="186">
                  <c:v>10</c:v>
                </c:pt>
                <c:pt idx="187">
                  <c:v>8.3999999999999986</c:v>
                </c:pt>
                <c:pt idx="188">
                  <c:v>4.5999999999999979</c:v>
                </c:pt>
                <c:pt idx="189">
                  <c:v>5.5</c:v>
                </c:pt>
                <c:pt idx="190">
                  <c:v>4.8000000000000007</c:v>
                </c:pt>
                <c:pt idx="191">
                  <c:v>10.200000000000003</c:v>
                </c:pt>
                <c:pt idx="192">
                  <c:v>8</c:v>
                </c:pt>
                <c:pt idx="193">
                  <c:v>4.1999999999999993</c:v>
                </c:pt>
                <c:pt idx="194">
                  <c:v>4.5</c:v>
                </c:pt>
                <c:pt idx="195">
                  <c:v>6.1999999999999993</c:v>
                </c:pt>
                <c:pt idx="196">
                  <c:v>6.9999999999999982</c:v>
                </c:pt>
                <c:pt idx="197">
                  <c:v>9.8000000000000007</c:v>
                </c:pt>
                <c:pt idx="198">
                  <c:v>6.8000000000000007</c:v>
                </c:pt>
                <c:pt idx="199">
                  <c:v>2.2999999999999972</c:v>
                </c:pt>
                <c:pt idx="200">
                  <c:v>6.6999999999999993</c:v>
                </c:pt>
                <c:pt idx="201">
                  <c:v>7.8999999999999986</c:v>
                </c:pt>
                <c:pt idx="202">
                  <c:v>7.6999999999999993</c:v>
                </c:pt>
                <c:pt idx="203">
                  <c:v>4.5</c:v>
                </c:pt>
                <c:pt idx="204">
                  <c:v>3.6999999999999993</c:v>
                </c:pt>
                <c:pt idx="205">
                  <c:v>7.6000000000000014</c:v>
                </c:pt>
                <c:pt idx="206">
                  <c:v>6.9000000000000021</c:v>
                </c:pt>
                <c:pt idx="207">
                  <c:v>5.5</c:v>
                </c:pt>
                <c:pt idx="208">
                  <c:v>7.5</c:v>
                </c:pt>
                <c:pt idx="209">
                  <c:v>7.8999999999999986</c:v>
                </c:pt>
                <c:pt idx="210">
                  <c:v>7.6999999999999993</c:v>
                </c:pt>
                <c:pt idx="211">
                  <c:v>7.8999999999999986</c:v>
                </c:pt>
                <c:pt idx="212">
                  <c:v>7.4000000000000021</c:v>
                </c:pt>
                <c:pt idx="213">
                  <c:v>6.3000000000000007</c:v>
                </c:pt>
                <c:pt idx="214">
                  <c:v>3.1999999999999993</c:v>
                </c:pt>
                <c:pt idx="215">
                  <c:v>5.3000000000000007</c:v>
                </c:pt>
                <c:pt idx="216">
                  <c:v>2.8000000000000007</c:v>
                </c:pt>
                <c:pt idx="217">
                  <c:v>5.7000000000000028</c:v>
                </c:pt>
                <c:pt idx="218">
                  <c:v>4.8000000000000007</c:v>
                </c:pt>
                <c:pt idx="219">
                  <c:v>5</c:v>
                </c:pt>
                <c:pt idx="220">
                  <c:v>5.5</c:v>
                </c:pt>
                <c:pt idx="221">
                  <c:v>7.0999999999999979</c:v>
                </c:pt>
                <c:pt idx="222">
                  <c:v>7.2000000000000028</c:v>
                </c:pt>
                <c:pt idx="223">
                  <c:v>6.6999999999999993</c:v>
                </c:pt>
                <c:pt idx="224">
                  <c:v>6.4000000000000021</c:v>
                </c:pt>
                <c:pt idx="225">
                  <c:v>3</c:v>
                </c:pt>
                <c:pt idx="226">
                  <c:v>3.2000000000000028</c:v>
                </c:pt>
                <c:pt idx="227">
                  <c:v>5.6000000000000014</c:v>
                </c:pt>
                <c:pt idx="228">
                  <c:v>5.2000000000000028</c:v>
                </c:pt>
                <c:pt idx="229">
                  <c:v>6.1000000000000014</c:v>
                </c:pt>
                <c:pt idx="230">
                  <c:v>6.1000000000000014</c:v>
                </c:pt>
                <c:pt idx="231">
                  <c:v>7.6000000000000014</c:v>
                </c:pt>
                <c:pt idx="232">
                  <c:v>6.7000000000000011</c:v>
                </c:pt>
                <c:pt idx="233">
                  <c:v>7.7999999999999989</c:v>
                </c:pt>
                <c:pt idx="234">
                  <c:v>6</c:v>
                </c:pt>
                <c:pt idx="235">
                  <c:v>6.2999999999999972</c:v>
                </c:pt>
                <c:pt idx="236">
                  <c:v>6.4000000000000021</c:v>
                </c:pt>
                <c:pt idx="237">
                  <c:v>5.2999999999999972</c:v>
                </c:pt>
                <c:pt idx="238">
                  <c:v>3.3000000000000007</c:v>
                </c:pt>
                <c:pt idx="239">
                  <c:v>2.7999999999999972</c:v>
                </c:pt>
                <c:pt idx="240">
                  <c:v>5.7000000000000011</c:v>
                </c:pt>
                <c:pt idx="241">
                  <c:v>6.3999999999999986</c:v>
                </c:pt>
                <c:pt idx="242">
                  <c:v>5.8999999999999986</c:v>
                </c:pt>
                <c:pt idx="243">
                  <c:v>3.5999999999999979</c:v>
                </c:pt>
                <c:pt idx="244">
                  <c:v>3.6000000000000014</c:v>
                </c:pt>
                <c:pt idx="245">
                  <c:v>3.9399999999999995</c:v>
                </c:pt>
                <c:pt idx="246">
                  <c:v>2.7000000000000011</c:v>
                </c:pt>
                <c:pt idx="247">
                  <c:v>4.2999999999999989</c:v>
                </c:pt>
                <c:pt idx="248">
                  <c:v>2</c:v>
                </c:pt>
                <c:pt idx="249">
                  <c:v>5.6000000000000014</c:v>
                </c:pt>
                <c:pt idx="250">
                  <c:v>4.6999999999999993</c:v>
                </c:pt>
                <c:pt idx="251">
                  <c:v>5.7000000000000011</c:v>
                </c:pt>
                <c:pt idx="252">
                  <c:v>5.8000000000000007</c:v>
                </c:pt>
                <c:pt idx="253">
                  <c:v>3.0000000000000018</c:v>
                </c:pt>
                <c:pt idx="254">
                  <c:v>2.5</c:v>
                </c:pt>
                <c:pt idx="255">
                  <c:v>5.2000000000000011</c:v>
                </c:pt>
                <c:pt idx="256">
                  <c:v>2.2000000000000011</c:v>
                </c:pt>
                <c:pt idx="257">
                  <c:v>1.9000000000000004</c:v>
                </c:pt>
                <c:pt idx="258">
                  <c:v>3.9000000000000004</c:v>
                </c:pt>
                <c:pt idx="259">
                  <c:v>5.2999999999999989</c:v>
                </c:pt>
                <c:pt idx="260">
                  <c:v>4</c:v>
                </c:pt>
                <c:pt idx="261">
                  <c:v>4.2999999999999989</c:v>
                </c:pt>
                <c:pt idx="262">
                  <c:v>3.7000000000000011</c:v>
                </c:pt>
                <c:pt idx="263">
                  <c:v>3.5999999999999996</c:v>
                </c:pt>
                <c:pt idx="264">
                  <c:v>4.7000000000000011</c:v>
                </c:pt>
                <c:pt idx="265">
                  <c:v>1.6999999999999993</c:v>
                </c:pt>
                <c:pt idx="266">
                  <c:v>4.5999999999999996</c:v>
                </c:pt>
                <c:pt idx="267">
                  <c:v>3.4000000000000004</c:v>
                </c:pt>
                <c:pt idx="268">
                  <c:v>4</c:v>
                </c:pt>
                <c:pt idx="269">
                  <c:v>4.4000000000000004</c:v>
                </c:pt>
                <c:pt idx="270">
                  <c:v>2.9000000000000004</c:v>
                </c:pt>
                <c:pt idx="271">
                  <c:v>4.3000000000000007</c:v>
                </c:pt>
                <c:pt idx="272">
                  <c:v>3.7999999999999989</c:v>
                </c:pt>
                <c:pt idx="273">
                  <c:v>1.6000000000000014</c:v>
                </c:pt>
                <c:pt idx="274">
                  <c:v>2.9000000000000004</c:v>
                </c:pt>
                <c:pt idx="275">
                  <c:v>2.5999999999999996</c:v>
                </c:pt>
                <c:pt idx="276">
                  <c:v>3.5999999999999996</c:v>
                </c:pt>
                <c:pt idx="277">
                  <c:v>1.7000000000000011</c:v>
                </c:pt>
                <c:pt idx="278">
                  <c:v>3.7999999999999989</c:v>
                </c:pt>
                <c:pt idx="279">
                  <c:v>3.3000000000000007</c:v>
                </c:pt>
                <c:pt idx="280">
                  <c:v>3</c:v>
                </c:pt>
                <c:pt idx="281">
                  <c:v>4</c:v>
                </c:pt>
                <c:pt idx="282">
                  <c:v>3.3000000000000007</c:v>
                </c:pt>
                <c:pt idx="283">
                  <c:v>2</c:v>
                </c:pt>
                <c:pt idx="284">
                  <c:v>2</c:v>
                </c:pt>
                <c:pt idx="285">
                  <c:v>3.0999999999999996</c:v>
                </c:pt>
                <c:pt idx="286">
                  <c:v>3.5</c:v>
                </c:pt>
                <c:pt idx="287">
                  <c:v>2.7000000000000011</c:v>
                </c:pt>
                <c:pt idx="288">
                  <c:v>2.6999999999999993</c:v>
                </c:pt>
                <c:pt idx="289">
                  <c:v>2.7999999999999989</c:v>
                </c:pt>
                <c:pt idx="290">
                  <c:v>2.7000000000000011</c:v>
                </c:pt>
                <c:pt idx="291">
                  <c:v>2.8499999999999996</c:v>
                </c:pt>
                <c:pt idx="292">
                  <c:v>2.0999999999999996</c:v>
                </c:pt>
                <c:pt idx="293">
                  <c:v>2.3000000000000007</c:v>
                </c:pt>
                <c:pt idx="294">
                  <c:v>2.2000000000000011</c:v>
                </c:pt>
                <c:pt idx="295">
                  <c:v>1.3000000000000007</c:v>
                </c:pt>
                <c:pt idx="296">
                  <c:v>2</c:v>
                </c:pt>
                <c:pt idx="297">
                  <c:v>0.80000000000000071</c:v>
                </c:pt>
                <c:pt idx="298">
                  <c:v>2</c:v>
                </c:pt>
                <c:pt idx="299">
                  <c:v>2.0999999999999996</c:v>
                </c:pt>
                <c:pt idx="300">
                  <c:v>1.7999999999999989</c:v>
                </c:pt>
                <c:pt idx="301">
                  <c:v>2.0999999999999996</c:v>
                </c:pt>
                <c:pt idx="302">
                  <c:v>3</c:v>
                </c:pt>
                <c:pt idx="303">
                  <c:v>3.6000000000000014</c:v>
                </c:pt>
                <c:pt idx="304">
                  <c:v>3.8</c:v>
                </c:pt>
                <c:pt idx="305">
                  <c:v>3.2</c:v>
                </c:pt>
                <c:pt idx="306">
                  <c:v>3.8</c:v>
                </c:pt>
                <c:pt idx="307">
                  <c:v>1.9000000000000004</c:v>
                </c:pt>
                <c:pt idx="308">
                  <c:v>1.0999999999999996</c:v>
                </c:pt>
                <c:pt idx="309">
                  <c:v>1.6000000000000005</c:v>
                </c:pt>
                <c:pt idx="310">
                  <c:v>6.3</c:v>
                </c:pt>
                <c:pt idx="311">
                  <c:v>1.6999999999999997</c:v>
                </c:pt>
                <c:pt idx="312">
                  <c:v>3.3000000000000003</c:v>
                </c:pt>
                <c:pt idx="313">
                  <c:v>1.7000000000000002</c:v>
                </c:pt>
                <c:pt idx="314">
                  <c:v>1.5</c:v>
                </c:pt>
                <c:pt idx="315">
                  <c:v>2.6999999999999993</c:v>
                </c:pt>
                <c:pt idx="316">
                  <c:v>2.3999999999999995</c:v>
                </c:pt>
                <c:pt idx="317">
                  <c:v>2.5999999999999996</c:v>
                </c:pt>
                <c:pt idx="318">
                  <c:v>1.0999999999999996</c:v>
                </c:pt>
                <c:pt idx="319">
                  <c:v>2.3999999999999995</c:v>
                </c:pt>
                <c:pt idx="320">
                  <c:v>2.2000000000000002</c:v>
                </c:pt>
                <c:pt idx="321">
                  <c:v>2</c:v>
                </c:pt>
                <c:pt idx="322">
                  <c:v>2.2999999999999998</c:v>
                </c:pt>
                <c:pt idx="323">
                  <c:v>2.1999999999999997</c:v>
                </c:pt>
                <c:pt idx="324">
                  <c:v>1.5999999999999999</c:v>
                </c:pt>
                <c:pt idx="325">
                  <c:v>0.79999999999999993</c:v>
                </c:pt>
                <c:pt idx="326">
                  <c:v>2.7</c:v>
                </c:pt>
                <c:pt idx="327">
                  <c:v>1.4999999999999996</c:v>
                </c:pt>
                <c:pt idx="328">
                  <c:v>1.5000000000000004</c:v>
                </c:pt>
                <c:pt idx="329">
                  <c:v>1.6999999999999997</c:v>
                </c:pt>
                <c:pt idx="330">
                  <c:v>1.7</c:v>
                </c:pt>
                <c:pt idx="331">
                  <c:v>0.90000000000000013</c:v>
                </c:pt>
                <c:pt idx="332">
                  <c:v>1.1000000000000001</c:v>
                </c:pt>
                <c:pt idx="333">
                  <c:v>1.2999999999999998</c:v>
                </c:pt>
                <c:pt idx="334">
                  <c:v>0.8</c:v>
                </c:pt>
                <c:pt idx="335">
                  <c:v>0.89999999999999991</c:v>
                </c:pt>
                <c:pt idx="336">
                  <c:v>0.80000000000000027</c:v>
                </c:pt>
                <c:pt idx="337">
                  <c:v>1.1000000000000001</c:v>
                </c:pt>
                <c:pt idx="338">
                  <c:v>1.2000000000000002</c:v>
                </c:pt>
                <c:pt idx="339">
                  <c:v>0.7</c:v>
                </c:pt>
                <c:pt idx="340">
                  <c:v>1.5</c:v>
                </c:pt>
                <c:pt idx="341">
                  <c:v>5</c:v>
                </c:pt>
                <c:pt idx="342">
                  <c:v>3.2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1.8000000000000007</c:v>
                </c:pt>
                <c:pt idx="347">
                  <c:v>2.8</c:v>
                </c:pt>
                <c:pt idx="348">
                  <c:v>2.1000000000000005</c:v>
                </c:pt>
                <c:pt idx="349">
                  <c:v>3.1000000000000005</c:v>
                </c:pt>
                <c:pt idx="350">
                  <c:v>2.0999999999999996</c:v>
                </c:pt>
                <c:pt idx="351">
                  <c:v>4.8000000000000007</c:v>
                </c:pt>
                <c:pt idx="35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17-419A-AA2A-CFE08B472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227824"/>
        <c:axId val="669222416"/>
      </c:lineChart>
      <c:dateAx>
        <c:axId val="669227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69222416"/>
        <c:crosses val="autoZero"/>
        <c:auto val="1"/>
        <c:lblOffset val="100"/>
        <c:baseTimeUnit val="days"/>
      </c:dateAx>
      <c:valAx>
        <c:axId val="66922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6922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'Formule max afh van diepte'!$C$27</c:f>
              <c:strCache>
                <c:ptCount val="1"/>
                <c:pt idx="0">
                  <c:v>dTemp_plus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6563013216612789"/>
                  <c:y val="5.2294047664975099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70" b="1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70" baseline="0">
                        <a:solidFill>
                          <a:srgbClr val="FF0000"/>
                        </a:solidFill>
                      </a:rPr>
                      <a:t>y = -1.4841x + 3.6472</a:t>
                    </a:r>
                    <a:br>
                      <a:rPr lang="en-US" sz="1170" baseline="0">
                        <a:solidFill>
                          <a:srgbClr val="FF0000"/>
                        </a:solidFill>
                      </a:rPr>
                    </a:br>
                    <a:r>
                      <a:rPr lang="en-US" sz="1170" baseline="0">
                        <a:solidFill>
                          <a:srgbClr val="FF0000"/>
                        </a:solidFill>
                      </a:rPr>
                      <a:t>R² = 0.909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7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'Formule max afh van diepte'!$B$28:$B$36</c:f>
              <c:numCache>
                <c:formatCode>0.00</c:formatCode>
                <c:ptCount val="9"/>
                <c:pt idx="0">
                  <c:v>0.5</c:v>
                </c:pt>
                <c:pt idx="1">
                  <c:v>0.5</c:v>
                </c:pt>
                <c:pt idx="2">
                  <c:v>0.75</c:v>
                </c:pt>
                <c:pt idx="3">
                  <c:v>0.75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1.5</c:v>
                </c:pt>
              </c:numCache>
            </c:numRef>
          </c:xVal>
          <c:yVal>
            <c:numRef>
              <c:f>'Formule max afh van diepte'!$C$28:$C$36</c:f>
              <c:numCache>
                <c:formatCode>0.00</c:formatCode>
                <c:ptCount val="9"/>
                <c:pt idx="0">
                  <c:v>3</c:v>
                </c:pt>
                <c:pt idx="1">
                  <c:v>3</c:v>
                </c:pt>
                <c:pt idx="2">
                  <c:v>2.5</c:v>
                </c:pt>
                <c:pt idx="3">
                  <c:v>2.25</c:v>
                </c:pt>
                <c:pt idx="4">
                  <c:v>2.35</c:v>
                </c:pt>
                <c:pt idx="5">
                  <c:v>2.5</c:v>
                </c:pt>
                <c:pt idx="6">
                  <c:v>2</c:v>
                </c:pt>
                <c:pt idx="7">
                  <c:v>2</c:v>
                </c:pt>
                <c:pt idx="8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5-44B8-8A76-5B2B167C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519519"/>
        <c:axId val="1544515775"/>
      </c:scatterChart>
      <c:valAx>
        <c:axId val="1544519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Diepte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44515775"/>
        <c:crosses val="autoZero"/>
        <c:crossBetween val="midCat"/>
      </c:valAx>
      <c:valAx>
        <c:axId val="1544515775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Graden boven basisreeks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44519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 i="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'Formule max afh van diepte'!$C$27</c:f>
              <c:strCache>
                <c:ptCount val="1"/>
                <c:pt idx="0">
                  <c:v>dTemp_plus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6563013216612789"/>
                  <c:y val="5.2294047664975099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70" b="1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70" baseline="0">
                        <a:solidFill>
                          <a:srgbClr val="FF0000"/>
                        </a:solidFill>
                      </a:rPr>
                      <a:t>y = -1.4841x + 3.6472</a:t>
                    </a:r>
                    <a:br>
                      <a:rPr lang="en-US" sz="1170" baseline="0">
                        <a:solidFill>
                          <a:srgbClr val="FF0000"/>
                        </a:solidFill>
                      </a:rPr>
                    </a:br>
                    <a:r>
                      <a:rPr lang="en-US" sz="1170" baseline="0">
                        <a:solidFill>
                          <a:srgbClr val="FF0000"/>
                        </a:solidFill>
                      </a:rPr>
                      <a:t>R² = 0.909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7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'Formule max afh van diepte'!$B$28:$B$36</c:f>
              <c:numCache>
                <c:formatCode>0.00</c:formatCode>
                <c:ptCount val="9"/>
                <c:pt idx="0">
                  <c:v>0.5</c:v>
                </c:pt>
                <c:pt idx="1">
                  <c:v>0.5</c:v>
                </c:pt>
                <c:pt idx="2">
                  <c:v>0.75</c:v>
                </c:pt>
                <c:pt idx="3">
                  <c:v>0.75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1.5</c:v>
                </c:pt>
              </c:numCache>
            </c:numRef>
          </c:xVal>
          <c:yVal>
            <c:numRef>
              <c:f>'Formule max afh van diepte'!$C$28:$C$36</c:f>
              <c:numCache>
                <c:formatCode>0.00</c:formatCode>
                <c:ptCount val="9"/>
                <c:pt idx="0">
                  <c:v>3</c:v>
                </c:pt>
                <c:pt idx="1">
                  <c:v>3</c:v>
                </c:pt>
                <c:pt idx="2">
                  <c:v>2.5</c:v>
                </c:pt>
                <c:pt idx="3">
                  <c:v>2.25</c:v>
                </c:pt>
                <c:pt idx="4">
                  <c:v>2.35</c:v>
                </c:pt>
                <c:pt idx="5">
                  <c:v>2.5</c:v>
                </c:pt>
                <c:pt idx="6">
                  <c:v>2</c:v>
                </c:pt>
                <c:pt idx="7">
                  <c:v>2</c:v>
                </c:pt>
                <c:pt idx="8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A-4E93-845E-CD99EC558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519519"/>
        <c:axId val="1544515775"/>
      </c:scatterChart>
      <c:valAx>
        <c:axId val="1544519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Diepte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44515775"/>
        <c:crosses val="autoZero"/>
        <c:crossBetween val="midCat"/>
      </c:valAx>
      <c:valAx>
        <c:axId val="1544515775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Graden boven basisreeks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44519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 i="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'Tinput for haarvaten 2085'!$C$3:$C$357</c:f>
              <c:numCache>
                <c:formatCode>0.00</c:formatCode>
                <c:ptCount val="355"/>
                <c:pt idx="0">
                  <c:v>0</c:v>
                </c:pt>
                <c:pt idx="1">
                  <c:v>0</c:v>
                </c:pt>
                <c:pt idx="2">
                  <c:v>7.4145038167938928</c:v>
                </c:pt>
                <c:pt idx="3">
                  <c:v>8.5131944444444443</c:v>
                </c:pt>
                <c:pt idx="4">
                  <c:v>7.8770833333333306</c:v>
                </c:pt>
                <c:pt idx="5">
                  <c:v>7.773611111111113</c:v>
                </c:pt>
                <c:pt idx="6">
                  <c:v>7.9298611111111068</c:v>
                </c:pt>
                <c:pt idx="7">
                  <c:v>8.8479166666666664</c:v>
                </c:pt>
                <c:pt idx="8">
                  <c:v>7.3472222222222232</c:v>
                </c:pt>
                <c:pt idx="9">
                  <c:v>7.8791666666666691</c:v>
                </c:pt>
                <c:pt idx="10">
                  <c:v>6.8472222222222232</c:v>
                </c:pt>
                <c:pt idx="11">
                  <c:v>6.4368055555555568</c:v>
                </c:pt>
                <c:pt idx="12">
                  <c:v>8.429861111111105</c:v>
                </c:pt>
                <c:pt idx="13">
                  <c:v>9.0881944444444471</c:v>
                </c:pt>
                <c:pt idx="14">
                  <c:v>8.6805555555555642</c:v>
                </c:pt>
                <c:pt idx="15">
                  <c:v>7.6881944444444397</c:v>
                </c:pt>
                <c:pt idx="16">
                  <c:v>7.4076388888888882</c:v>
                </c:pt>
                <c:pt idx="17">
                  <c:v>9.0423611111111111</c:v>
                </c:pt>
                <c:pt idx="18">
                  <c:v>8.2607638888888921</c:v>
                </c:pt>
                <c:pt idx="19">
                  <c:v>10.699305555555553</c:v>
                </c:pt>
                <c:pt idx="20">
                  <c:v>8.4454861111111121</c:v>
                </c:pt>
                <c:pt idx="21">
                  <c:v>8.0722222222222229</c:v>
                </c:pt>
                <c:pt idx="22">
                  <c:v>8.52847222222222</c:v>
                </c:pt>
                <c:pt idx="23">
                  <c:v>10.369444444444444</c:v>
                </c:pt>
                <c:pt idx="24">
                  <c:v>10.805555555555552</c:v>
                </c:pt>
                <c:pt idx="25">
                  <c:v>9.6819444444444436</c:v>
                </c:pt>
                <c:pt idx="26">
                  <c:v>8.0874999999999986</c:v>
                </c:pt>
                <c:pt idx="27">
                  <c:v>10.306944444444447</c:v>
                </c:pt>
                <c:pt idx="28">
                  <c:v>8.5173611111111107</c:v>
                </c:pt>
                <c:pt idx="29">
                  <c:v>11.091666666666669</c:v>
                </c:pt>
                <c:pt idx="30">
                  <c:v>11.951388888888889</c:v>
                </c:pt>
                <c:pt idx="31">
                  <c:v>11.230555555555551</c:v>
                </c:pt>
                <c:pt idx="32">
                  <c:v>8.6097222222222207</c:v>
                </c:pt>
                <c:pt idx="33">
                  <c:v>6.7520833333333341</c:v>
                </c:pt>
                <c:pt idx="34">
                  <c:v>6.7506944444444441</c:v>
                </c:pt>
                <c:pt idx="35">
                  <c:v>11.004166666666665</c:v>
                </c:pt>
                <c:pt idx="36">
                  <c:v>10.16527777777778</c:v>
                </c:pt>
                <c:pt idx="37">
                  <c:v>12.206944444444439</c:v>
                </c:pt>
                <c:pt idx="38">
                  <c:v>11.344444444444441</c:v>
                </c:pt>
                <c:pt idx="39">
                  <c:v>9.9368055555555532</c:v>
                </c:pt>
                <c:pt idx="40">
                  <c:v>7.9375000000000009</c:v>
                </c:pt>
                <c:pt idx="41">
                  <c:v>10.115972222222219</c:v>
                </c:pt>
                <c:pt idx="42">
                  <c:v>9.0493055555555557</c:v>
                </c:pt>
                <c:pt idx="43">
                  <c:v>8.8569444444444425</c:v>
                </c:pt>
                <c:pt idx="44">
                  <c:v>9.7888888888888843</c:v>
                </c:pt>
                <c:pt idx="45">
                  <c:v>9.3402777777777768</c:v>
                </c:pt>
                <c:pt idx="46">
                  <c:v>8.25</c:v>
                </c:pt>
                <c:pt idx="47">
                  <c:v>8.9104166666666682</c:v>
                </c:pt>
                <c:pt idx="48">
                  <c:v>8.2902777777777779</c:v>
                </c:pt>
                <c:pt idx="49">
                  <c:v>8.2444444444444436</c:v>
                </c:pt>
                <c:pt idx="50">
                  <c:v>8.2430555555555642</c:v>
                </c:pt>
                <c:pt idx="51">
                  <c:v>10.625694444444445</c:v>
                </c:pt>
                <c:pt idx="52">
                  <c:v>9.7013888888888857</c:v>
                </c:pt>
                <c:pt idx="53">
                  <c:v>8.969444444444445</c:v>
                </c:pt>
                <c:pt idx="54">
                  <c:v>8.6277777777777764</c:v>
                </c:pt>
                <c:pt idx="55">
                  <c:v>8.57673611111111</c:v>
                </c:pt>
                <c:pt idx="56">
                  <c:v>9.344444444444445</c:v>
                </c:pt>
                <c:pt idx="57">
                  <c:v>8.2704861111111097</c:v>
                </c:pt>
                <c:pt idx="58">
                  <c:v>9.6659722222222229</c:v>
                </c:pt>
                <c:pt idx="59">
                  <c:v>11.380208333333332</c:v>
                </c:pt>
                <c:pt idx="60">
                  <c:v>11.186805555555553</c:v>
                </c:pt>
                <c:pt idx="61">
                  <c:v>12.604166666666661</c:v>
                </c:pt>
                <c:pt idx="62">
                  <c:v>14.272916666666664</c:v>
                </c:pt>
                <c:pt idx="63">
                  <c:v>14.677777777777777</c:v>
                </c:pt>
                <c:pt idx="64">
                  <c:v>14.885416666666661</c:v>
                </c:pt>
                <c:pt idx="65">
                  <c:v>13.596874999999994</c:v>
                </c:pt>
                <c:pt idx="66">
                  <c:v>14.089583333333326</c:v>
                </c:pt>
                <c:pt idx="67">
                  <c:v>14.347222222222221</c:v>
                </c:pt>
                <c:pt idx="68">
                  <c:v>13.034722222222218</c:v>
                </c:pt>
                <c:pt idx="69">
                  <c:v>9.1868055555555532</c:v>
                </c:pt>
                <c:pt idx="70">
                  <c:v>12.12222222222222</c:v>
                </c:pt>
                <c:pt idx="71">
                  <c:v>14.634722222222219</c:v>
                </c:pt>
                <c:pt idx="72">
                  <c:v>15.856944444444437</c:v>
                </c:pt>
                <c:pt idx="73">
                  <c:v>15.825694444444441</c:v>
                </c:pt>
                <c:pt idx="74">
                  <c:v>15.430555555555554</c:v>
                </c:pt>
                <c:pt idx="75">
                  <c:v>15.361111111111107</c:v>
                </c:pt>
                <c:pt idx="76">
                  <c:v>16.857638888888886</c:v>
                </c:pt>
                <c:pt idx="77">
                  <c:v>16.303472222222215</c:v>
                </c:pt>
                <c:pt idx="78">
                  <c:v>16.225694444444436</c:v>
                </c:pt>
                <c:pt idx="79">
                  <c:v>14.420138888888882</c:v>
                </c:pt>
                <c:pt idx="80">
                  <c:v>9.9402777777777764</c:v>
                </c:pt>
                <c:pt idx="81">
                  <c:v>7.0201388888888898</c:v>
                </c:pt>
                <c:pt idx="82">
                  <c:v>8.8805555555555546</c:v>
                </c:pt>
                <c:pt idx="83">
                  <c:v>10.315972222222221</c:v>
                </c:pt>
                <c:pt idx="84">
                  <c:v>10.055555555555554</c:v>
                </c:pt>
                <c:pt idx="85">
                  <c:v>12.981944444444441</c:v>
                </c:pt>
                <c:pt idx="86">
                  <c:v>13.167361111111106</c:v>
                </c:pt>
                <c:pt idx="87">
                  <c:v>12.753472222222218</c:v>
                </c:pt>
                <c:pt idx="88">
                  <c:v>11.435416666666669</c:v>
                </c:pt>
                <c:pt idx="89">
                  <c:v>11.301388888888884</c:v>
                </c:pt>
                <c:pt idx="90">
                  <c:v>13.143055555555552</c:v>
                </c:pt>
                <c:pt idx="91">
                  <c:v>15.343055555555548</c:v>
                </c:pt>
                <c:pt idx="92">
                  <c:v>16.343749999999989</c:v>
                </c:pt>
                <c:pt idx="93">
                  <c:v>18.493749999999991</c:v>
                </c:pt>
                <c:pt idx="94">
                  <c:v>19.843749999999996</c:v>
                </c:pt>
                <c:pt idx="95">
                  <c:v>19.886111111111102</c:v>
                </c:pt>
                <c:pt idx="96">
                  <c:v>19.031249999999993</c:v>
                </c:pt>
                <c:pt idx="97">
                  <c:v>18.329166666666659</c:v>
                </c:pt>
                <c:pt idx="98">
                  <c:v>19.133333333333329</c:v>
                </c:pt>
                <c:pt idx="99">
                  <c:v>19.240277777777777</c:v>
                </c:pt>
                <c:pt idx="100">
                  <c:v>18.450277777777771</c:v>
                </c:pt>
                <c:pt idx="101">
                  <c:v>18.177847222222212</c:v>
                </c:pt>
                <c:pt idx="102">
                  <c:v>18.153472222222213</c:v>
                </c:pt>
                <c:pt idx="103">
                  <c:v>17.890972222222224</c:v>
                </c:pt>
                <c:pt idx="104">
                  <c:v>17.61666666666666</c:v>
                </c:pt>
                <c:pt idx="105">
                  <c:v>14.546527777777772</c:v>
                </c:pt>
                <c:pt idx="106">
                  <c:v>16.359027777777779</c:v>
                </c:pt>
                <c:pt idx="107">
                  <c:v>16.283333333333328</c:v>
                </c:pt>
                <c:pt idx="108">
                  <c:v>16.572222222222212</c:v>
                </c:pt>
                <c:pt idx="109">
                  <c:v>15.756249999999994</c:v>
                </c:pt>
                <c:pt idx="110">
                  <c:v>16.149305555555546</c:v>
                </c:pt>
                <c:pt idx="111">
                  <c:v>18.176388888888884</c:v>
                </c:pt>
                <c:pt idx="112">
                  <c:v>19.186805555555544</c:v>
                </c:pt>
                <c:pt idx="113">
                  <c:v>17.240972222222215</c:v>
                </c:pt>
                <c:pt idx="114">
                  <c:v>15.872727272727271</c:v>
                </c:pt>
                <c:pt idx="115">
                  <c:v>25.441791044776117</c:v>
                </c:pt>
                <c:pt idx="116">
                  <c:v>23.047916666666673</c:v>
                </c:pt>
                <c:pt idx="117">
                  <c:v>21.111805555555549</c:v>
                </c:pt>
                <c:pt idx="118">
                  <c:v>22.131944444444454</c:v>
                </c:pt>
                <c:pt idx="119">
                  <c:v>21.320138888888891</c:v>
                </c:pt>
                <c:pt idx="120">
                  <c:v>20.77624999999999</c:v>
                </c:pt>
                <c:pt idx="121">
                  <c:v>21.345277777777781</c:v>
                </c:pt>
                <c:pt idx="122">
                  <c:v>21.654861111111114</c:v>
                </c:pt>
                <c:pt idx="123">
                  <c:v>22.831250000000008</c:v>
                </c:pt>
                <c:pt idx="124">
                  <c:v>23.708333333333336</c:v>
                </c:pt>
                <c:pt idx="125">
                  <c:v>22.804861111111105</c:v>
                </c:pt>
                <c:pt idx="126">
                  <c:v>23.640277777777776</c:v>
                </c:pt>
                <c:pt idx="127">
                  <c:v>25.347222222222225</c:v>
                </c:pt>
                <c:pt idx="128">
                  <c:v>24.176388888888891</c:v>
                </c:pt>
                <c:pt idx="129">
                  <c:v>21.65902777777778</c:v>
                </c:pt>
                <c:pt idx="130">
                  <c:v>21.620138888888885</c:v>
                </c:pt>
                <c:pt idx="131">
                  <c:v>23.926388888888887</c:v>
                </c:pt>
                <c:pt idx="132">
                  <c:v>22.634027777777785</c:v>
                </c:pt>
                <c:pt idx="133">
                  <c:v>21.640277777777776</c:v>
                </c:pt>
                <c:pt idx="134">
                  <c:v>20.766666666666662</c:v>
                </c:pt>
                <c:pt idx="135">
                  <c:v>21.349305555555549</c:v>
                </c:pt>
                <c:pt idx="136">
                  <c:v>21.114583333333325</c:v>
                </c:pt>
                <c:pt idx="137">
                  <c:v>19.869444444444436</c:v>
                </c:pt>
                <c:pt idx="138">
                  <c:v>18.951388888888889</c:v>
                </c:pt>
                <c:pt idx="139">
                  <c:v>19.63819444444443</c:v>
                </c:pt>
                <c:pt idx="140">
                  <c:v>20.947916666666664</c:v>
                </c:pt>
                <c:pt idx="141">
                  <c:v>20.990972222222219</c:v>
                </c:pt>
                <c:pt idx="142">
                  <c:v>22.329166666666676</c:v>
                </c:pt>
                <c:pt idx="143">
                  <c:v>23.095833333333328</c:v>
                </c:pt>
                <c:pt idx="144">
                  <c:v>21.03263888888889</c:v>
                </c:pt>
                <c:pt idx="145">
                  <c:v>20.344444444444441</c:v>
                </c:pt>
                <c:pt idx="146">
                  <c:v>20.364583333333332</c:v>
                </c:pt>
                <c:pt idx="147">
                  <c:v>21.720833333333331</c:v>
                </c:pt>
                <c:pt idx="148">
                  <c:v>21.752777777777773</c:v>
                </c:pt>
                <c:pt idx="149">
                  <c:v>23.497916666666658</c:v>
                </c:pt>
                <c:pt idx="150">
                  <c:v>23.992361111111109</c:v>
                </c:pt>
                <c:pt idx="151">
                  <c:v>24.970833333333335</c:v>
                </c:pt>
                <c:pt idx="152">
                  <c:v>25.122222222222227</c:v>
                </c:pt>
                <c:pt idx="153">
                  <c:v>24.355555555555554</c:v>
                </c:pt>
                <c:pt idx="154">
                  <c:v>24.369444444444447</c:v>
                </c:pt>
                <c:pt idx="155">
                  <c:v>25.45555555555557</c:v>
                </c:pt>
                <c:pt idx="156">
                  <c:v>26.664583333333336</c:v>
                </c:pt>
                <c:pt idx="157">
                  <c:v>27.625694444444445</c:v>
                </c:pt>
                <c:pt idx="158">
                  <c:v>27.495833333333334</c:v>
                </c:pt>
                <c:pt idx="159">
                  <c:v>22.268750000000015</c:v>
                </c:pt>
                <c:pt idx="160">
                  <c:v>22.583333333333329</c:v>
                </c:pt>
                <c:pt idx="161">
                  <c:v>23.896527777777774</c:v>
                </c:pt>
                <c:pt idx="162">
                  <c:v>25.572916666666675</c:v>
                </c:pt>
                <c:pt idx="163">
                  <c:v>27.13055555555556</c:v>
                </c:pt>
                <c:pt idx="164">
                  <c:v>27.581250000000011</c:v>
                </c:pt>
                <c:pt idx="165">
                  <c:v>25.749305555555555</c:v>
                </c:pt>
                <c:pt idx="166">
                  <c:v>25.422222222222214</c:v>
                </c:pt>
                <c:pt idx="167">
                  <c:v>23.981249999999996</c:v>
                </c:pt>
                <c:pt idx="168">
                  <c:v>24.804166666666671</c:v>
                </c:pt>
                <c:pt idx="169">
                  <c:v>26.608333333333334</c:v>
                </c:pt>
                <c:pt idx="170">
                  <c:v>25.477777777777781</c:v>
                </c:pt>
                <c:pt idx="171">
                  <c:v>23.643055555555545</c:v>
                </c:pt>
                <c:pt idx="172">
                  <c:v>24.659027777777776</c:v>
                </c:pt>
                <c:pt idx="173">
                  <c:v>25.462500000000006</c:v>
                </c:pt>
                <c:pt idx="174">
                  <c:v>25.728472222222219</c:v>
                </c:pt>
                <c:pt idx="175">
                  <c:v>25.554861111111109</c:v>
                </c:pt>
                <c:pt idx="176">
                  <c:v>23.996527777777768</c:v>
                </c:pt>
                <c:pt idx="177">
                  <c:v>22.34513888888889</c:v>
                </c:pt>
                <c:pt idx="178">
                  <c:v>23.951388888888889</c:v>
                </c:pt>
                <c:pt idx="179">
                  <c:v>25.253472222222225</c:v>
                </c:pt>
                <c:pt idx="180">
                  <c:v>23.755555555555556</c:v>
                </c:pt>
                <c:pt idx="181">
                  <c:v>25.847916666666666</c:v>
                </c:pt>
                <c:pt idx="182">
                  <c:v>27.259027777777785</c:v>
                </c:pt>
                <c:pt idx="183">
                  <c:v>28.114583333333339</c:v>
                </c:pt>
                <c:pt idx="184">
                  <c:v>25.613194444444456</c:v>
                </c:pt>
                <c:pt idx="185">
                  <c:v>25.058333333333334</c:v>
                </c:pt>
                <c:pt idx="186">
                  <c:v>25.593750000000004</c:v>
                </c:pt>
                <c:pt idx="187">
                  <c:v>26.203472222222224</c:v>
                </c:pt>
                <c:pt idx="188">
                  <c:v>28.653472222222231</c:v>
                </c:pt>
                <c:pt idx="189">
                  <c:v>30.246527777777771</c:v>
                </c:pt>
                <c:pt idx="190">
                  <c:v>28.71180555555555</c:v>
                </c:pt>
                <c:pt idx="191">
                  <c:v>24.902777777777768</c:v>
                </c:pt>
                <c:pt idx="192">
                  <c:v>23.706250000000004</c:v>
                </c:pt>
                <c:pt idx="193">
                  <c:v>25.972222222222225</c:v>
                </c:pt>
                <c:pt idx="194">
                  <c:v>27.883333333333347</c:v>
                </c:pt>
                <c:pt idx="195">
                  <c:v>27.122222222222224</c:v>
                </c:pt>
                <c:pt idx="196">
                  <c:v>24.159722222222225</c:v>
                </c:pt>
                <c:pt idx="197">
                  <c:v>23.422916666666669</c:v>
                </c:pt>
                <c:pt idx="198">
                  <c:v>22.915277777777778</c:v>
                </c:pt>
                <c:pt idx="199">
                  <c:v>24.353472222222219</c:v>
                </c:pt>
                <c:pt idx="200">
                  <c:v>25.279861111111106</c:v>
                </c:pt>
                <c:pt idx="201">
                  <c:v>24.472916666666677</c:v>
                </c:pt>
                <c:pt idx="202">
                  <c:v>25.561805555555559</c:v>
                </c:pt>
                <c:pt idx="203">
                  <c:v>25.680555555555564</c:v>
                </c:pt>
                <c:pt idx="204">
                  <c:v>27.672916666666676</c:v>
                </c:pt>
                <c:pt idx="205">
                  <c:v>27.753472222222225</c:v>
                </c:pt>
                <c:pt idx="206">
                  <c:v>24.543055555555551</c:v>
                </c:pt>
                <c:pt idx="207">
                  <c:v>23.773611111111105</c:v>
                </c:pt>
                <c:pt idx="208">
                  <c:v>24.422916666666673</c:v>
                </c:pt>
                <c:pt idx="209">
                  <c:v>24.457638888888891</c:v>
                </c:pt>
                <c:pt idx="210">
                  <c:v>25.197222222222226</c:v>
                </c:pt>
                <c:pt idx="211">
                  <c:v>25.942361111111115</c:v>
                </c:pt>
                <c:pt idx="212">
                  <c:v>26.870833333333341</c:v>
                </c:pt>
                <c:pt idx="213">
                  <c:v>27.354166666666661</c:v>
                </c:pt>
                <c:pt idx="214">
                  <c:v>27.681250000000016</c:v>
                </c:pt>
                <c:pt idx="215">
                  <c:v>28.419444444444458</c:v>
                </c:pt>
                <c:pt idx="216">
                  <c:v>27.861111111111125</c:v>
                </c:pt>
                <c:pt idx="217">
                  <c:v>27.147222222222219</c:v>
                </c:pt>
                <c:pt idx="218">
                  <c:v>25.110416666666669</c:v>
                </c:pt>
                <c:pt idx="219">
                  <c:v>25.668055555555547</c:v>
                </c:pt>
                <c:pt idx="220">
                  <c:v>25.937499999999996</c:v>
                </c:pt>
                <c:pt idx="221">
                  <c:v>26.597222222222225</c:v>
                </c:pt>
                <c:pt idx="222">
                  <c:v>25.426388888888894</c:v>
                </c:pt>
                <c:pt idx="223">
                  <c:v>26.616319444444454</c:v>
                </c:pt>
                <c:pt idx="224">
                  <c:v>27.513888888888882</c:v>
                </c:pt>
                <c:pt idx="225">
                  <c:v>28.337500000000009</c:v>
                </c:pt>
                <c:pt idx="226">
                  <c:v>28.296527777777779</c:v>
                </c:pt>
                <c:pt idx="227">
                  <c:v>24.913888888888881</c:v>
                </c:pt>
                <c:pt idx="228">
                  <c:v>22.652777777777779</c:v>
                </c:pt>
                <c:pt idx="229">
                  <c:v>22.34236111111111</c:v>
                </c:pt>
                <c:pt idx="230">
                  <c:v>22.451388888888886</c:v>
                </c:pt>
                <c:pt idx="231">
                  <c:v>22.968749999999996</c:v>
                </c:pt>
                <c:pt idx="232">
                  <c:v>22.340277777777775</c:v>
                </c:pt>
                <c:pt idx="233">
                  <c:v>22.25694444444445</c:v>
                </c:pt>
                <c:pt idx="234">
                  <c:v>22.291666666666661</c:v>
                </c:pt>
                <c:pt idx="235">
                  <c:v>22.887499999999992</c:v>
                </c:pt>
                <c:pt idx="236">
                  <c:v>24.536111111111115</c:v>
                </c:pt>
                <c:pt idx="237">
                  <c:v>24.974305555555564</c:v>
                </c:pt>
                <c:pt idx="238">
                  <c:v>25.572222222222234</c:v>
                </c:pt>
                <c:pt idx="239">
                  <c:v>25.233333333333338</c:v>
                </c:pt>
                <c:pt idx="240">
                  <c:v>24.218750000000004</c:v>
                </c:pt>
                <c:pt idx="241">
                  <c:v>21.032638888888894</c:v>
                </c:pt>
                <c:pt idx="242">
                  <c:v>22.054166666666671</c:v>
                </c:pt>
                <c:pt idx="243">
                  <c:v>23.211111111111105</c:v>
                </c:pt>
                <c:pt idx="244">
                  <c:v>24.284027777777784</c:v>
                </c:pt>
                <c:pt idx="245">
                  <c:v>24.955555555555563</c:v>
                </c:pt>
                <c:pt idx="246">
                  <c:v>23.307638888888892</c:v>
                </c:pt>
                <c:pt idx="247">
                  <c:v>21.181944444444454</c:v>
                </c:pt>
                <c:pt idx="248">
                  <c:v>18.126388888888879</c:v>
                </c:pt>
                <c:pt idx="249">
                  <c:v>16.963888888888878</c:v>
                </c:pt>
                <c:pt idx="250">
                  <c:v>16.171527777777772</c:v>
                </c:pt>
                <c:pt idx="251">
                  <c:v>16.828472222222217</c:v>
                </c:pt>
                <c:pt idx="252">
                  <c:v>18.677083333333336</c:v>
                </c:pt>
                <c:pt idx="253">
                  <c:v>19.734722222222214</c:v>
                </c:pt>
                <c:pt idx="254">
                  <c:v>19.017361111111107</c:v>
                </c:pt>
                <c:pt idx="255">
                  <c:v>18.324999999999996</c:v>
                </c:pt>
                <c:pt idx="256">
                  <c:v>18.463194444444429</c:v>
                </c:pt>
                <c:pt idx="257">
                  <c:v>18.145833333333329</c:v>
                </c:pt>
                <c:pt idx="258">
                  <c:v>17.211805555555543</c:v>
                </c:pt>
                <c:pt idx="259">
                  <c:v>15.131250000000001</c:v>
                </c:pt>
                <c:pt idx="260">
                  <c:v>15.870833333333326</c:v>
                </c:pt>
                <c:pt idx="261">
                  <c:v>16.384722222222216</c:v>
                </c:pt>
                <c:pt idx="262">
                  <c:v>16.367361111111101</c:v>
                </c:pt>
                <c:pt idx="263">
                  <c:v>17.326388888888882</c:v>
                </c:pt>
                <c:pt idx="264">
                  <c:v>18.008333333333329</c:v>
                </c:pt>
                <c:pt idx="265">
                  <c:v>17.372916666666661</c:v>
                </c:pt>
                <c:pt idx="266">
                  <c:v>18.048611111111097</c:v>
                </c:pt>
                <c:pt idx="267">
                  <c:v>18.246527777777771</c:v>
                </c:pt>
                <c:pt idx="268">
                  <c:v>17.11388888888888</c:v>
                </c:pt>
                <c:pt idx="269">
                  <c:v>16.415277777777774</c:v>
                </c:pt>
                <c:pt idx="270">
                  <c:v>16.911111111111101</c:v>
                </c:pt>
                <c:pt idx="271">
                  <c:v>16.255555555555549</c:v>
                </c:pt>
                <c:pt idx="272">
                  <c:v>14.843055555555555</c:v>
                </c:pt>
                <c:pt idx="273">
                  <c:v>14.788194444444439</c:v>
                </c:pt>
                <c:pt idx="274">
                  <c:v>14.945833333333322</c:v>
                </c:pt>
                <c:pt idx="275">
                  <c:v>15.569444444444436</c:v>
                </c:pt>
                <c:pt idx="276">
                  <c:v>15.628472222222218</c:v>
                </c:pt>
                <c:pt idx="277">
                  <c:v>16.476388888888881</c:v>
                </c:pt>
                <c:pt idx="278">
                  <c:v>17.213194444444436</c:v>
                </c:pt>
                <c:pt idx="279">
                  <c:v>17.549999999999997</c:v>
                </c:pt>
                <c:pt idx="280">
                  <c:v>17.350694444444436</c:v>
                </c:pt>
                <c:pt idx="281">
                  <c:v>15.425694444444439</c:v>
                </c:pt>
                <c:pt idx="282">
                  <c:v>14.044444444444451</c:v>
                </c:pt>
                <c:pt idx="283">
                  <c:v>16.363888888888884</c:v>
                </c:pt>
                <c:pt idx="284">
                  <c:v>17.415277777777778</c:v>
                </c:pt>
                <c:pt idx="285">
                  <c:v>17.019444444444435</c:v>
                </c:pt>
                <c:pt idx="286">
                  <c:v>17.154166666666658</c:v>
                </c:pt>
                <c:pt idx="287">
                  <c:v>17.335416666666664</c:v>
                </c:pt>
                <c:pt idx="288">
                  <c:v>17.268055555555556</c:v>
                </c:pt>
                <c:pt idx="289">
                  <c:v>17.636805555555547</c:v>
                </c:pt>
                <c:pt idx="290">
                  <c:v>17.974305555555549</c:v>
                </c:pt>
                <c:pt idx="291">
                  <c:v>17.86527777777777</c:v>
                </c:pt>
                <c:pt idx="292">
                  <c:v>17.647222222222215</c:v>
                </c:pt>
                <c:pt idx="293">
                  <c:v>23.045833333333345</c:v>
                </c:pt>
                <c:pt idx="294">
                  <c:v>16.206249999999997</c:v>
                </c:pt>
                <c:pt idx="295">
                  <c:v>14.762499999999999</c:v>
                </c:pt>
                <c:pt idx="296">
                  <c:v>14.328472222222221</c:v>
                </c:pt>
                <c:pt idx="297">
                  <c:v>14.333333333333332</c:v>
                </c:pt>
                <c:pt idx="298">
                  <c:v>13.310416666666658</c:v>
                </c:pt>
                <c:pt idx="299">
                  <c:v>13.508333333333319</c:v>
                </c:pt>
                <c:pt idx="300">
                  <c:v>14.166666666666675</c:v>
                </c:pt>
                <c:pt idx="301">
                  <c:v>14.350694444444436</c:v>
                </c:pt>
                <c:pt idx="302">
                  <c:v>14.352777777777778</c:v>
                </c:pt>
                <c:pt idx="303">
                  <c:v>14.295833333333334</c:v>
                </c:pt>
                <c:pt idx="304">
                  <c:v>13.861111111111104</c:v>
                </c:pt>
                <c:pt idx="305">
                  <c:v>13.163888888888881</c:v>
                </c:pt>
                <c:pt idx="306">
                  <c:v>12.21458333333333</c:v>
                </c:pt>
                <c:pt idx="307">
                  <c:v>9.9270833333333286</c:v>
                </c:pt>
                <c:pt idx="308">
                  <c:v>11.640972222222219</c:v>
                </c:pt>
                <c:pt idx="309">
                  <c:v>13.079861111111111</c:v>
                </c:pt>
                <c:pt idx="310">
                  <c:v>12.769444444444435</c:v>
                </c:pt>
                <c:pt idx="311">
                  <c:v>11.502083333333331</c:v>
                </c:pt>
                <c:pt idx="312">
                  <c:v>8.7624999999999993</c:v>
                </c:pt>
                <c:pt idx="313">
                  <c:v>5.6444444444444457</c:v>
                </c:pt>
                <c:pt idx="314">
                  <c:v>8.1437500000000025</c:v>
                </c:pt>
                <c:pt idx="315">
                  <c:v>9.1868055555555603</c:v>
                </c:pt>
                <c:pt idx="316">
                  <c:v>10.376388888888885</c:v>
                </c:pt>
                <c:pt idx="317">
                  <c:v>10.655555555555555</c:v>
                </c:pt>
                <c:pt idx="318">
                  <c:v>11.003472222222225</c:v>
                </c:pt>
                <c:pt idx="319">
                  <c:v>9.8541666666666643</c:v>
                </c:pt>
                <c:pt idx="320">
                  <c:v>9.7152777777777715</c:v>
                </c:pt>
                <c:pt idx="321">
                  <c:v>11.124305555555562</c:v>
                </c:pt>
                <c:pt idx="322">
                  <c:v>10.869444444444444</c:v>
                </c:pt>
                <c:pt idx="323">
                  <c:v>10.336805555555554</c:v>
                </c:pt>
                <c:pt idx="324">
                  <c:v>8.5263888888888903</c:v>
                </c:pt>
                <c:pt idx="325">
                  <c:v>7.5486111111111143</c:v>
                </c:pt>
                <c:pt idx="326">
                  <c:v>5.5749999999999993</c:v>
                </c:pt>
                <c:pt idx="327">
                  <c:v>4.3812499999999996</c:v>
                </c:pt>
                <c:pt idx="328">
                  <c:v>6.436805555555555</c:v>
                </c:pt>
                <c:pt idx="329">
                  <c:v>7.5798611111111072</c:v>
                </c:pt>
                <c:pt idx="330">
                  <c:v>7.4305555555555554</c:v>
                </c:pt>
                <c:pt idx="331">
                  <c:v>7.2076388888888934</c:v>
                </c:pt>
                <c:pt idx="332">
                  <c:v>6.0124999999999993</c:v>
                </c:pt>
                <c:pt idx="333">
                  <c:v>5.4965277777777768</c:v>
                </c:pt>
                <c:pt idx="334">
                  <c:v>5.8020833333333339</c:v>
                </c:pt>
                <c:pt idx="335">
                  <c:v>5.3576388888888893</c:v>
                </c:pt>
                <c:pt idx="336">
                  <c:v>5.4166666666666679</c:v>
                </c:pt>
                <c:pt idx="337">
                  <c:v>5.5625000000000018</c:v>
                </c:pt>
                <c:pt idx="338">
                  <c:v>5.5572916666666643</c:v>
                </c:pt>
                <c:pt idx="339">
                  <c:v>5.6861111111111127</c:v>
                </c:pt>
                <c:pt idx="340">
                  <c:v>5.6222222222222227</c:v>
                </c:pt>
                <c:pt idx="341">
                  <c:v>5.179861111111113</c:v>
                </c:pt>
                <c:pt idx="342">
                  <c:v>4.4520833333333325</c:v>
                </c:pt>
                <c:pt idx="343">
                  <c:v>6.7618055555555578</c:v>
                </c:pt>
                <c:pt idx="344">
                  <c:v>8.1576388888888935</c:v>
                </c:pt>
                <c:pt idx="345">
                  <c:v>9.6770833333333321</c:v>
                </c:pt>
                <c:pt idx="346">
                  <c:v>10.677083333333339</c:v>
                </c:pt>
                <c:pt idx="347">
                  <c:v>10.813194444444438</c:v>
                </c:pt>
                <c:pt idx="348">
                  <c:v>10.41111111111111</c:v>
                </c:pt>
                <c:pt idx="349">
                  <c:v>9.8222222222222229</c:v>
                </c:pt>
                <c:pt idx="350">
                  <c:v>8.0826388888888836</c:v>
                </c:pt>
                <c:pt idx="351">
                  <c:v>10.38125</c:v>
                </c:pt>
                <c:pt idx="352">
                  <c:v>11.18055555555555</c:v>
                </c:pt>
                <c:pt idx="353">
                  <c:v>9.3076388888888886</c:v>
                </c:pt>
                <c:pt idx="354">
                  <c:v>13.43194444444444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2-4C2E-96A6-A2922007400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'Tinput for haarvaten 2085'!$D$3:$D$357</c:f>
              <c:numCache>
                <c:formatCode>0.00</c:formatCode>
                <c:ptCount val="355"/>
                <c:pt idx="0" formatCode="General">
                  <c:v>0.25</c:v>
                </c:pt>
                <c:pt idx="1">
                  <c:v>28.702168982950848</c:v>
                </c:pt>
                <c:pt idx="2" formatCode="General">
                  <c:v>10.690678816793893</c:v>
                </c:pt>
                <c:pt idx="3" formatCode="General">
                  <c:v>11.789369444444445</c:v>
                </c:pt>
                <c:pt idx="4" formatCode="General">
                  <c:v>11.15325833333333</c:v>
                </c:pt>
                <c:pt idx="5" formatCode="General">
                  <c:v>11.049786111111114</c:v>
                </c:pt>
                <c:pt idx="6" formatCode="General">
                  <c:v>11.206036111111107</c:v>
                </c:pt>
                <c:pt idx="7" formatCode="General">
                  <c:v>12.124091666666667</c:v>
                </c:pt>
                <c:pt idx="8" formatCode="General">
                  <c:v>10.623397222222223</c:v>
                </c:pt>
                <c:pt idx="9" formatCode="General">
                  <c:v>11.155341666666668</c:v>
                </c:pt>
                <c:pt idx="10" formatCode="General">
                  <c:v>10.123397222222223</c:v>
                </c:pt>
                <c:pt idx="11" formatCode="General">
                  <c:v>9.7129805555555571</c:v>
                </c:pt>
                <c:pt idx="12" formatCode="General">
                  <c:v>11.706036111111105</c:v>
                </c:pt>
                <c:pt idx="13" formatCode="General">
                  <c:v>12.364369444444447</c:v>
                </c:pt>
                <c:pt idx="14" formatCode="General">
                  <c:v>11.956730555555565</c:v>
                </c:pt>
                <c:pt idx="15" formatCode="General">
                  <c:v>10.96436944444444</c:v>
                </c:pt>
                <c:pt idx="16" formatCode="General">
                  <c:v>10.683813888888888</c:v>
                </c:pt>
                <c:pt idx="17" formatCode="General">
                  <c:v>12.318536111111111</c:v>
                </c:pt>
                <c:pt idx="18" formatCode="General">
                  <c:v>11.536938888888892</c:v>
                </c:pt>
                <c:pt idx="19" formatCode="General">
                  <c:v>13.975480555555553</c:v>
                </c:pt>
                <c:pt idx="20" formatCode="General">
                  <c:v>11.721661111111112</c:v>
                </c:pt>
                <c:pt idx="21" formatCode="General">
                  <c:v>11.348397222222223</c:v>
                </c:pt>
                <c:pt idx="22" formatCode="General">
                  <c:v>11.80464722222222</c:v>
                </c:pt>
                <c:pt idx="23" formatCode="General">
                  <c:v>13.645619444444444</c:v>
                </c:pt>
                <c:pt idx="24" formatCode="General">
                  <c:v>14.081730555555552</c:v>
                </c:pt>
                <c:pt idx="25" formatCode="General">
                  <c:v>12.958119444444444</c:v>
                </c:pt>
                <c:pt idx="26" formatCode="General">
                  <c:v>11.363674999999999</c:v>
                </c:pt>
                <c:pt idx="27" formatCode="General">
                  <c:v>13.583119444444447</c:v>
                </c:pt>
                <c:pt idx="28" formatCode="General">
                  <c:v>11.793536111111111</c:v>
                </c:pt>
                <c:pt idx="29" formatCode="General">
                  <c:v>14.367841666666669</c:v>
                </c:pt>
                <c:pt idx="30" formatCode="General">
                  <c:v>15.22756388888889</c:v>
                </c:pt>
                <c:pt idx="31" formatCode="General">
                  <c:v>14.506730555555551</c:v>
                </c:pt>
                <c:pt idx="32" formatCode="General">
                  <c:v>11.885897222222221</c:v>
                </c:pt>
                <c:pt idx="33" formatCode="General">
                  <c:v>10.028258333333333</c:v>
                </c:pt>
                <c:pt idx="34" formatCode="General">
                  <c:v>10.026869444444444</c:v>
                </c:pt>
                <c:pt idx="35" formatCode="General">
                  <c:v>14.280341666666665</c:v>
                </c:pt>
                <c:pt idx="36" formatCode="General">
                  <c:v>13.44145277777778</c:v>
                </c:pt>
                <c:pt idx="37" formatCode="General">
                  <c:v>15.483119444444439</c:v>
                </c:pt>
                <c:pt idx="38" formatCode="General">
                  <c:v>14.620619444444442</c:v>
                </c:pt>
                <c:pt idx="39" formatCode="General">
                  <c:v>13.212980555555554</c:v>
                </c:pt>
                <c:pt idx="40" formatCode="General">
                  <c:v>11.213675000000002</c:v>
                </c:pt>
                <c:pt idx="41" formatCode="General">
                  <c:v>13.392147222222219</c:v>
                </c:pt>
                <c:pt idx="42" formatCode="General">
                  <c:v>12.325480555555556</c:v>
                </c:pt>
                <c:pt idx="43" formatCode="General">
                  <c:v>12.133119444444443</c:v>
                </c:pt>
                <c:pt idx="44" formatCode="General">
                  <c:v>13.065063888888885</c:v>
                </c:pt>
                <c:pt idx="45" formatCode="General">
                  <c:v>12.616452777777777</c:v>
                </c:pt>
                <c:pt idx="46" formatCode="General">
                  <c:v>11.526175</c:v>
                </c:pt>
                <c:pt idx="47" formatCode="General">
                  <c:v>12.186591666666668</c:v>
                </c:pt>
                <c:pt idx="48" formatCode="General">
                  <c:v>11.566452777777778</c:v>
                </c:pt>
                <c:pt idx="49" formatCode="General">
                  <c:v>11.520619444444444</c:v>
                </c:pt>
                <c:pt idx="50" formatCode="General">
                  <c:v>11.519230555555565</c:v>
                </c:pt>
                <c:pt idx="51" formatCode="General">
                  <c:v>13.901869444444445</c:v>
                </c:pt>
                <c:pt idx="52" formatCode="General">
                  <c:v>12.977563888888886</c:v>
                </c:pt>
                <c:pt idx="53" formatCode="General">
                  <c:v>12.245619444444445</c:v>
                </c:pt>
                <c:pt idx="54" formatCode="General">
                  <c:v>11.903952777777777</c:v>
                </c:pt>
                <c:pt idx="55" formatCode="General">
                  <c:v>11.85291111111111</c:v>
                </c:pt>
                <c:pt idx="56" formatCode="General">
                  <c:v>12.620619444444445</c:v>
                </c:pt>
                <c:pt idx="57" formatCode="General">
                  <c:v>11.54666111111111</c:v>
                </c:pt>
                <c:pt idx="58" formatCode="General">
                  <c:v>12.942147222222223</c:v>
                </c:pt>
                <c:pt idx="59" formatCode="General">
                  <c:v>14.656383333333332</c:v>
                </c:pt>
                <c:pt idx="60" formatCode="General">
                  <c:v>14.462980555555554</c:v>
                </c:pt>
                <c:pt idx="61" formatCode="General">
                  <c:v>15.880341666666661</c:v>
                </c:pt>
                <c:pt idx="62" formatCode="General">
                  <c:v>17.549091666666662</c:v>
                </c:pt>
                <c:pt idx="63" formatCode="General">
                  <c:v>17.953952777777779</c:v>
                </c:pt>
                <c:pt idx="64" formatCode="General">
                  <c:v>18.161591666666659</c:v>
                </c:pt>
                <c:pt idx="65" formatCode="General">
                  <c:v>16.873049999999992</c:v>
                </c:pt>
                <c:pt idx="66" formatCode="General">
                  <c:v>17.365758333333325</c:v>
                </c:pt>
                <c:pt idx="67" formatCode="General">
                  <c:v>17.623397222222223</c:v>
                </c:pt>
                <c:pt idx="68" formatCode="General">
                  <c:v>16.310897222222216</c:v>
                </c:pt>
                <c:pt idx="69" formatCode="General">
                  <c:v>12.462980555555554</c:v>
                </c:pt>
                <c:pt idx="70" formatCode="General">
                  <c:v>15.39839722222222</c:v>
                </c:pt>
                <c:pt idx="71" formatCode="General">
                  <c:v>17.910897222222218</c:v>
                </c:pt>
                <c:pt idx="72" formatCode="General">
                  <c:v>19.133119444444439</c:v>
                </c:pt>
                <c:pt idx="73" formatCode="General">
                  <c:v>19.101869444444439</c:v>
                </c:pt>
                <c:pt idx="74" formatCode="General">
                  <c:v>18.706730555555552</c:v>
                </c:pt>
                <c:pt idx="75" formatCode="General">
                  <c:v>18.637286111111109</c:v>
                </c:pt>
                <c:pt idx="76" formatCode="General">
                  <c:v>20.133813888888888</c:v>
                </c:pt>
                <c:pt idx="77" formatCode="General">
                  <c:v>19.579647222222214</c:v>
                </c:pt>
                <c:pt idx="78" formatCode="General">
                  <c:v>19.501869444444438</c:v>
                </c:pt>
                <c:pt idx="79" formatCode="General">
                  <c:v>17.696313888888881</c:v>
                </c:pt>
                <c:pt idx="80" formatCode="General">
                  <c:v>13.216452777777777</c:v>
                </c:pt>
                <c:pt idx="81" formatCode="General">
                  <c:v>10.296313888888889</c:v>
                </c:pt>
                <c:pt idx="82" formatCode="General">
                  <c:v>12.156730555555555</c:v>
                </c:pt>
                <c:pt idx="83" formatCode="General">
                  <c:v>13.592147222222222</c:v>
                </c:pt>
                <c:pt idx="84" formatCode="General">
                  <c:v>13.331730555555554</c:v>
                </c:pt>
                <c:pt idx="85" formatCode="General">
                  <c:v>16.258119444444439</c:v>
                </c:pt>
                <c:pt idx="86" formatCode="General">
                  <c:v>16.443536111111108</c:v>
                </c:pt>
                <c:pt idx="87" formatCode="General">
                  <c:v>16.029647222222216</c:v>
                </c:pt>
                <c:pt idx="88" formatCode="General">
                  <c:v>14.711591666666669</c:v>
                </c:pt>
                <c:pt idx="89" formatCode="General">
                  <c:v>14.577563888888884</c:v>
                </c:pt>
                <c:pt idx="90" formatCode="General">
                  <c:v>16.419230555555551</c:v>
                </c:pt>
                <c:pt idx="91" formatCode="General">
                  <c:v>18.619230555555546</c:v>
                </c:pt>
                <c:pt idx="92" formatCode="General">
                  <c:v>19.619924999999988</c:v>
                </c:pt>
                <c:pt idx="93" formatCode="General">
                  <c:v>21.769924999999994</c:v>
                </c:pt>
                <c:pt idx="94" formatCode="General">
                  <c:v>23.119924999999995</c:v>
                </c:pt>
                <c:pt idx="95" formatCode="General">
                  <c:v>23.162286111111101</c:v>
                </c:pt>
                <c:pt idx="96" formatCode="General">
                  <c:v>22.307424999999995</c:v>
                </c:pt>
                <c:pt idx="97" formatCode="General">
                  <c:v>21.605341666666661</c:v>
                </c:pt>
                <c:pt idx="98" formatCode="General">
                  <c:v>22.409508333333328</c:v>
                </c:pt>
                <c:pt idx="99" formatCode="General">
                  <c:v>22.516452777777779</c:v>
                </c:pt>
                <c:pt idx="100" formatCode="General">
                  <c:v>21.726452777777773</c:v>
                </c:pt>
                <c:pt idx="101" formatCode="General">
                  <c:v>21.454022222222214</c:v>
                </c:pt>
                <c:pt idx="102" formatCode="General">
                  <c:v>21.429647222222215</c:v>
                </c:pt>
                <c:pt idx="103" formatCode="General">
                  <c:v>21.167147222222226</c:v>
                </c:pt>
                <c:pt idx="104" formatCode="General">
                  <c:v>20.892841666666662</c:v>
                </c:pt>
                <c:pt idx="105" formatCode="General">
                  <c:v>17.822702777777771</c:v>
                </c:pt>
                <c:pt idx="106" formatCode="General">
                  <c:v>19.635202777777778</c:v>
                </c:pt>
                <c:pt idx="107" formatCode="General">
                  <c:v>19.559508333333326</c:v>
                </c:pt>
                <c:pt idx="108" formatCode="General">
                  <c:v>19.848397222222211</c:v>
                </c:pt>
                <c:pt idx="109" formatCode="General">
                  <c:v>19.032424999999996</c:v>
                </c:pt>
                <c:pt idx="110" formatCode="General">
                  <c:v>19.425480555555545</c:v>
                </c:pt>
                <c:pt idx="111" formatCode="General">
                  <c:v>21.452563888888882</c:v>
                </c:pt>
                <c:pt idx="112" formatCode="General">
                  <c:v>22.462980555555546</c:v>
                </c:pt>
                <c:pt idx="113" formatCode="General">
                  <c:v>20.517147222222214</c:v>
                </c:pt>
                <c:pt idx="114" formatCode="General">
                  <c:v>19.14890227272727</c:v>
                </c:pt>
                <c:pt idx="115" formatCode="General">
                  <c:v>28.717966044776119</c:v>
                </c:pt>
                <c:pt idx="116" formatCode="General">
                  <c:v>26.324091666666675</c:v>
                </c:pt>
                <c:pt idx="117" formatCode="General">
                  <c:v>24.387980555555551</c:v>
                </c:pt>
                <c:pt idx="118" formatCode="General">
                  <c:v>25.408119444444452</c:v>
                </c:pt>
                <c:pt idx="119" formatCode="General">
                  <c:v>24.596313888888893</c:v>
                </c:pt>
                <c:pt idx="120" formatCode="General">
                  <c:v>24.052424999999992</c:v>
                </c:pt>
                <c:pt idx="121" formatCode="General">
                  <c:v>24.621452777777783</c:v>
                </c:pt>
                <c:pt idx="122" formatCode="General">
                  <c:v>24.931036111111112</c:v>
                </c:pt>
                <c:pt idx="123" formatCode="General">
                  <c:v>26.107425000000006</c:v>
                </c:pt>
                <c:pt idx="124" formatCode="General">
                  <c:v>26.984508333333338</c:v>
                </c:pt>
                <c:pt idx="125" formatCode="General">
                  <c:v>26.081036111111104</c:v>
                </c:pt>
                <c:pt idx="126" formatCode="General">
                  <c:v>26.916452777777778</c:v>
                </c:pt>
                <c:pt idx="127" formatCode="General">
                  <c:v>28.623397222222223</c:v>
                </c:pt>
                <c:pt idx="128" formatCode="General">
                  <c:v>27.452563888888889</c:v>
                </c:pt>
                <c:pt idx="129" formatCode="General">
                  <c:v>24.935202777777782</c:v>
                </c:pt>
                <c:pt idx="130" formatCode="General">
                  <c:v>24.896313888888884</c:v>
                </c:pt>
                <c:pt idx="131" formatCode="General">
                  <c:v>27.202563888888889</c:v>
                </c:pt>
                <c:pt idx="132" formatCode="General">
                  <c:v>25.910202777777783</c:v>
                </c:pt>
                <c:pt idx="133" formatCode="General">
                  <c:v>24.916452777777778</c:v>
                </c:pt>
                <c:pt idx="134" formatCode="General">
                  <c:v>24.042841666666661</c:v>
                </c:pt>
                <c:pt idx="135" formatCode="General">
                  <c:v>24.625480555555548</c:v>
                </c:pt>
                <c:pt idx="136" formatCode="General">
                  <c:v>24.390758333333324</c:v>
                </c:pt>
                <c:pt idx="137" formatCode="General">
                  <c:v>23.145619444444435</c:v>
                </c:pt>
                <c:pt idx="138" formatCode="General">
                  <c:v>22.227563888888888</c:v>
                </c:pt>
                <c:pt idx="139" formatCode="General">
                  <c:v>22.914369444444432</c:v>
                </c:pt>
                <c:pt idx="140" formatCode="General">
                  <c:v>24.224091666666666</c:v>
                </c:pt>
                <c:pt idx="141" formatCode="General">
                  <c:v>24.267147222222221</c:v>
                </c:pt>
                <c:pt idx="142" formatCode="General">
                  <c:v>25.605341666666675</c:v>
                </c:pt>
                <c:pt idx="143" formatCode="General">
                  <c:v>26.372008333333326</c:v>
                </c:pt>
                <c:pt idx="144" formatCode="General">
                  <c:v>24.308813888888892</c:v>
                </c:pt>
                <c:pt idx="145" formatCode="General">
                  <c:v>23.620619444444444</c:v>
                </c:pt>
                <c:pt idx="146" formatCode="General">
                  <c:v>23.640758333333331</c:v>
                </c:pt>
                <c:pt idx="147" formatCode="General">
                  <c:v>24.997008333333333</c:v>
                </c:pt>
                <c:pt idx="148" formatCode="General">
                  <c:v>25.028952777777775</c:v>
                </c:pt>
                <c:pt idx="149" formatCode="General">
                  <c:v>26.774091666666656</c:v>
                </c:pt>
                <c:pt idx="150" formatCode="General">
                  <c:v>27.268536111111111</c:v>
                </c:pt>
                <c:pt idx="151" formatCode="General">
                  <c:v>28.247008333333333</c:v>
                </c:pt>
                <c:pt idx="152" formatCode="General">
                  <c:v>28.398397222222229</c:v>
                </c:pt>
                <c:pt idx="153" formatCode="General">
                  <c:v>27.631730555555556</c:v>
                </c:pt>
                <c:pt idx="154" formatCode="General">
                  <c:v>27.645619444444449</c:v>
                </c:pt>
                <c:pt idx="155" formatCode="General">
                  <c:v>28.731730555555572</c:v>
                </c:pt>
                <c:pt idx="156" formatCode="General">
                  <c:v>29.940758333333335</c:v>
                </c:pt>
                <c:pt idx="157" formatCode="General">
                  <c:v>30.901869444444444</c:v>
                </c:pt>
                <c:pt idx="158" formatCode="General">
                  <c:v>30.772008333333332</c:v>
                </c:pt>
                <c:pt idx="159" formatCode="General">
                  <c:v>25.544925000000013</c:v>
                </c:pt>
                <c:pt idx="160" formatCode="General">
                  <c:v>25.859508333333331</c:v>
                </c:pt>
                <c:pt idx="161" formatCode="General">
                  <c:v>27.172702777777772</c:v>
                </c:pt>
                <c:pt idx="162" formatCode="General">
                  <c:v>28.849091666666673</c:v>
                </c:pt>
                <c:pt idx="163" formatCode="General">
                  <c:v>30.406730555555562</c:v>
                </c:pt>
                <c:pt idx="164" formatCode="General">
                  <c:v>30.857425000000013</c:v>
                </c:pt>
                <c:pt idx="165" formatCode="General">
                  <c:v>29.025480555555554</c:v>
                </c:pt>
                <c:pt idx="166" formatCode="General">
                  <c:v>28.698397222222212</c:v>
                </c:pt>
                <c:pt idx="167" formatCode="General">
                  <c:v>27.257424999999998</c:v>
                </c:pt>
                <c:pt idx="168" formatCode="General">
                  <c:v>28.080341666666669</c:v>
                </c:pt>
                <c:pt idx="169" formatCode="General">
                  <c:v>29.884508333333336</c:v>
                </c:pt>
                <c:pt idx="170" formatCode="General">
                  <c:v>28.753952777777783</c:v>
                </c:pt>
                <c:pt idx="171" formatCode="General">
                  <c:v>26.919230555555544</c:v>
                </c:pt>
                <c:pt idx="172" formatCode="General">
                  <c:v>27.935202777777775</c:v>
                </c:pt>
                <c:pt idx="173" formatCode="General">
                  <c:v>28.738675000000008</c:v>
                </c:pt>
                <c:pt idx="174" formatCode="General">
                  <c:v>29.004647222222218</c:v>
                </c:pt>
                <c:pt idx="175" formatCode="General">
                  <c:v>28.831036111111111</c:v>
                </c:pt>
                <c:pt idx="176" formatCode="General">
                  <c:v>27.272702777777766</c:v>
                </c:pt>
                <c:pt idx="177" formatCode="General">
                  <c:v>25.621313888888892</c:v>
                </c:pt>
                <c:pt idx="178" formatCode="General">
                  <c:v>27.227563888888888</c:v>
                </c:pt>
                <c:pt idx="179" formatCode="General">
                  <c:v>28.529647222222223</c:v>
                </c:pt>
                <c:pt idx="180" formatCode="General">
                  <c:v>27.031730555555555</c:v>
                </c:pt>
                <c:pt idx="181" formatCode="General">
                  <c:v>29.124091666666665</c:v>
                </c:pt>
                <c:pt idx="182" formatCode="General">
                  <c:v>30.535202777777783</c:v>
                </c:pt>
                <c:pt idx="183" formatCode="General">
                  <c:v>31.390758333333338</c:v>
                </c:pt>
                <c:pt idx="184" formatCode="General">
                  <c:v>28.889369444444455</c:v>
                </c:pt>
                <c:pt idx="185" formatCode="General">
                  <c:v>28.334508333333332</c:v>
                </c:pt>
                <c:pt idx="186" formatCode="General">
                  <c:v>28.869925000000002</c:v>
                </c:pt>
                <c:pt idx="187" formatCode="General">
                  <c:v>29.479647222222226</c:v>
                </c:pt>
                <c:pt idx="188" formatCode="General">
                  <c:v>31.929647222222229</c:v>
                </c:pt>
                <c:pt idx="189" formatCode="General">
                  <c:v>33.522702777777774</c:v>
                </c:pt>
                <c:pt idx="190" formatCode="General">
                  <c:v>31.987980555555552</c:v>
                </c:pt>
                <c:pt idx="191" formatCode="General">
                  <c:v>28.178952777777766</c:v>
                </c:pt>
                <c:pt idx="192" formatCode="General">
                  <c:v>26.982425000000006</c:v>
                </c:pt>
                <c:pt idx="193" formatCode="General">
                  <c:v>29.248397222222223</c:v>
                </c:pt>
                <c:pt idx="194" formatCode="General">
                  <c:v>31.159508333333349</c:v>
                </c:pt>
                <c:pt idx="195" formatCode="General">
                  <c:v>30.398397222222222</c:v>
                </c:pt>
                <c:pt idx="196" formatCode="General">
                  <c:v>27.435897222222223</c:v>
                </c:pt>
                <c:pt idx="197" formatCode="General">
                  <c:v>26.699091666666668</c:v>
                </c:pt>
                <c:pt idx="198" formatCode="General">
                  <c:v>26.191452777777776</c:v>
                </c:pt>
                <c:pt idx="199" formatCode="General">
                  <c:v>27.629647222222218</c:v>
                </c:pt>
                <c:pt idx="200" formatCode="General">
                  <c:v>28.556036111111105</c:v>
                </c:pt>
                <c:pt idx="201" formatCode="General">
                  <c:v>27.749091666666679</c:v>
                </c:pt>
                <c:pt idx="202" formatCode="General">
                  <c:v>28.837980555555561</c:v>
                </c:pt>
                <c:pt idx="203" formatCode="General">
                  <c:v>28.956730555555566</c:v>
                </c:pt>
                <c:pt idx="204" formatCode="General">
                  <c:v>30.949091666666675</c:v>
                </c:pt>
                <c:pt idx="205" formatCode="General">
                  <c:v>31.029647222222223</c:v>
                </c:pt>
                <c:pt idx="206" formatCode="General">
                  <c:v>27.819230555555549</c:v>
                </c:pt>
                <c:pt idx="207" formatCode="General">
                  <c:v>27.049786111111104</c:v>
                </c:pt>
                <c:pt idx="208" formatCode="General">
                  <c:v>27.699091666666675</c:v>
                </c:pt>
                <c:pt idx="209" formatCode="General">
                  <c:v>27.733813888888889</c:v>
                </c:pt>
                <c:pt idx="210" formatCode="General">
                  <c:v>28.473397222222225</c:v>
                </c:pt>
                <c:pt idx="211" formatCode="General">
                  <c:v>29.218536111111113</c:v>
                </c:pt>
                <c:pt idx="212" formatCode="General">
                  <c:v>30.147008333333339</c:v>
                </c:pt>
                <c:pt idx="213" formatCode="General">
                  <c:v>30.630341666666659</c:v>
                </c:pt>
                <c:pt idx="214" formatCode="General">
                  <c:v>30.957425000000015</c:v>
                </c:pt>
                <c:pt idx="215" formatCode="General">
                  <c:v>31.695619444444461</c:v>
                </c:pt>
                <c:pt idx="216" formatCode="General">
                  <c:v>31.137286111111123</c:v>
                </c:pt>
                <c:pt idx="217" formatCode="General">
                  <c:v>30.423397222222221</c:v>
                </c:pt>
                <c:pt idx="218" formatCode="General">
                  <c:v>28.386591666666668</c:v>
                </c:pt>
                <c:pt idx="219" formatCode="General">
                  <c:v>28.944230555555549</c:v>
                </c:pt>
                <c:pt idx="220" formatCode="General">
                  <c:v>29.213674999999995</c:v>
                </c:pt>
                <c:pt idx="221" formatCode="General">
                  <c:v>29.873397222222223</c:v>
                </c:pt>
                <c:pt idx="222" formatCode="General">
                  <c:v>28.702563888888896</c:v>
                </c:pt>
                <c:pt idx="223" formatCode="General">
                  <c:v>29.892494444444452</c:v>
                </c:pt>
                <c:pt idx="224" formatCode="General">
                  <c:v>30.790063888888881</c:v>
                </c:pt>
                <c:pt idx="225" formatCode="General">
                  <c:v>31.613675000000008</c:v>
                </c:pt>
                <c:pt idx="226" formatCode="General">
                  <c:v>31.572702777777778</c:v>
                </c:pt>
                <c:pt idx="227" formatCode="General">
                  <c:v>28.190063888888879</c:v>
                </c:pt>
                <c:pt idx="228" formatCode="General">
                  <c:v>25.928952777777781</c:v>
                </c:pt>
                <c:pt idx="229" formatCode="General">
                  <c:v>25.618536111111112</c:v>
                </c:pt>
                <c:pt idx="230" formatCode="General">
                  <c:v>25.727563888888888</c:v>
                </c:pt>
                <c:pt idx="231" formatCode="General">
                  <c:v>26.244924999999995</c:v>
                </c:pt>
                <c:pt idx="232" formatCode="General">
                  <c:v>25.616452777777774</c:v>
                </c:pt>
                <c:pt idx="233" formatCode="General">
                  <c:v>25.533119444444452</c:v>
                </c:pt>
                <c:pt idx="234" formatCode="General">
                  <c:v>25.567841666666659</c:v>
                </c:pt>
                <c:pt idx="235" formatCode="General">
                  <c:v>26.163674999999991</c:v>
                </c:pt>
                <c:pt idx="236" formatCode="General">
                  <c:v>27.812286111111113</c:v>
                </c:pt>
                <c:pt idx="237" formatCode="General">
                  <c:v>28.250480555555562</c:v>
                </c:pt>
                <c:pt idx="238" formatCode="General">
                  <c:v>28.848397222222232</c:v>
                </c:pt>
                <c:pt idx="239" formatCode="General">
                  <c:v>28.509508333333336</c:v>
                </c:pt>
                <c:pt idx="240" formatCode="General">
                  <c:v>27.494925000000002</c:v>
                </c:pt>
                <c:pt idx="241" formatCode="General">
                  <c:v>24.308813888888892</c:v>
                </c:pt>
                <c:pt idx="242" formatCode="General">
                  <c:v>25.330341666666669</c:v>
                </c:pt>
                <c:pt idx="243" formatCode="General">
                  <c:v>26.487286111111104</c:v>
                </c:pt>
                <c:pt idx="244" formatCode="General">
                  <c:v>27.560202777777782</c:v>
                </c:pt>
                <c:pt idx="245" formatCode="General">
                  <c:v>28.231730555555565</c:v>
                </c:pt>
                <c:pt idx="246" formatCode="General">
                  <c:v>26.583813888888891</c:v>
                </c:pt>
                <c:pt idx="247" formatCode="General">
                  <c:v>24.458119444444456</c:v>
                </c:pt>
                <c:pt idx="248" formatCode="General">
                  <c:v>21.402563888888878</c:v>
                </c:pt>
                <c:pt idx="249" formatCode="General">
                  <c:v>20.240063888888876</c:v>
                </c:pt>
                <c:pt idx="250" formatCode="General">
                  <c:v>19.447702777777771</c:v>
                </c:pt>
                <c:pt idx="251" formatCode="General">
                  <c:v>20.104647222222219</c:v>
                </c:pt>
                <c:pt idx="252" formatCode="General">
                  <c:v>21.953258333333338</c:v>
                </c:pt>
                <c:pt idx="253" formatCode="General">
                  <c:v>23.010897222222212</c:v>
                </c:pt>
                <c:pt idx="254" formatCode="General">
                  <c:v>22.293536111111109</c:v>
                </c:pt>
                <c:pt idx="255" formatCode="General">
                  <c:v>21.601174999999998</c:v>
                </c:pt>
                <c:pt idx="256" formatCode="General">
                  <c:v>21.739369444444428</c:v>
                </c:pt>
                <c:pt idx="257" formatCode="General">
                  <c:v>21.422008333333331</c:v>
                </c:pt>
                <c:pt idx="258" formatCode="General">
                  <c:v>20.487980555555545</c:v>
                </c:pt>
                <c:pt idx="259" formatCode="General">
                  <c:v>18.407425000000003</c:v>
                </c:pt>
                <c:pt idx="260" formatCode="General">
                  <c:v>19.147008333333325</c:v>
                </c:pt>
                <c:pt idx="261" formatCode="General">
                  <c:v>19.660897222222218</c:v>
                </c:pt>
                <c:pt idx="262" formatCode="General">
                  <c:v>19.643536111111104</c:v>
                </c:pt>
                <c:pt idx="263" formatCode="General">
                  <c:v>20.602563888888881</c:v>
                </c:pt>
                <c:pt idx="264" formatCode="General">
                  <c:v>21.284508333333328</c:v>
                </c:pt>
                <c:pt idx="265" formatCode="General">
                  <c:v>20.649091666666664</c:v>
                </c:pt>
                <c:pt idx="266" formatCode="General">
                  <c:v>21.324786111111095</c:v>
                </c:pt>
                <c:pt idx="267" formatCode="General">
                  <c:v>21.522702777777774</c:v>
                </c:pt>
                <c:pt idx="268" formatCode="General">
                  <c:v>20.390063888888882</c:v>
                </c:pt>
                <c:pt idx="269" formatCode="General">
                  <c:v>19.691452777777776</c:v>
                </c:pt>
                <c:pt idx="270" formatCode="General">
                  <c:v>20.187286111111099</c:v>
                </c:pt>
                <c:pt idx="271" formatCode="General">
                  <c:v>19.531730555555548</c:v>
                </c:pt>
                <c:pt idx="272" formatCode="General">
                  <c:v>18.119230555555554</c:v>
                </c:pt>
                <c:pt idx="273" formatCode="General">
                  <c:v>18.064369444444438</c:v>
                </c:pt>
                <c:pt idx="274" formatCode="General">
                  <c:v>18.222008333333321</c:v>
                </c:pt>
                <c:pt idx="275" formatCode="General">
                  <c:v>18.845619444444438</c:v>
                </c:pt>
                <c:pt idx="276" formatCode="General">
                  <c:v>18.904647222222216</c:v>
                </c:pt>
                <c:pt idx="277" formatCode="General">
                  <c:v>19.752563888888879</c:v>
                </c:pt>
                <c:pt idx="278" formatCode="General">
                  <c:v>20.489369444444435</c:v>
                </c:pt>
                <c:pt idx="279" formatCode="General">
                  <c:v>20.826174999999999</c:v>
                </c:pt>
                <c:pt idx="280" formatCode="General">
                  <c:v>20.626869444444438</c:v>
                </c:pt>
                <c:pt idx="281" formatCode="General">
                  <c:v>18.701869444444441</c:v>
                </c:pt>
                <c:pt idx="282" formatCode="General">
                  <c:v>17.320619444444453</c:v>
                </c:pt>
                <c:pt idx="283" formatCode="General">
                  <c:v>19.640063888888882</c:v>
                </c:pt>
                <c:pt idx="284" formatCode="General">
                  <c:v>20.691452777777776</c:v>
                </c:pt>
                <c:pt idx="285" formatCode="General">
                  <c:v>20.295619444444434</c:v>
                </c:pt>
                <c:pt idx="286" formatCode="General">
                  <c:v>20.430341666666656</c:v>
                </c:pt>
                <c:pt idx="287" formatCode="General">
                  <c:v>20.611591666666662</c:v>
                </c:pt>
                <c:pt idx="288" formatCode="General">
                  <c:v>20.544230555555558</c:v>
                </c:pt>
                <c:pt idx="289" formatCode="General">
                  <c:v>20.912980555555549</c:v>
                </c:pt>
                <c:pt idx="290" formatCode="General">
                  <c:v>21.250480555555548</c:v>
                </c:pt>
                <c:pt idx="291" formatCode="General">
                  <c:v>21.141452777777772</c:v>
                </c:pt>
                <c:pt idx="292" formatCode="General">
                  <c:v>20.923397222222214</c:v>
                </c:pt>
                <c:pt idx="293" formatCode="General">
                  <c:v>26.322008333333343</c:v>
                </c:pt>
                <c:pt idx="294" formatCode="General">
                  <c:v>19.482424999999999</c:v>
                </c:pt>
                <c:pt idx="295" formatCode="General">
                  <c:v>18.038674999999998</c:v>
                </c:pt>
                <c:pt idx="296" formatCode="General">
                  <c:v>17.604647222222219</c:v>
                </c:pt>
                <c:pt idx="297" formatCode="General">
                  <c:v>17.609508333333331</c:v>
                </c:pt>
                <c:pt idx="298" formatCode="General">
                  <c:v>16.586591666666656</c:v>
                </c:pt>
                <c:pt idx="299" formatCode="General">
                  <c:v>16.784508333333321</c:v>
                </c:pt>
                <c:pt idx="300" formatCode="General">
                  <c:v>17.442841666666673</c:v>
                </c:pt>
                <c:pt idx="301" formatCode="General">
                  <c:v>17.626869444444438</c:v>
                </c:pt>
                <c:pt idx="302" formatCode="General">
                  <c:v>17.628952777777776</c:v>
                </c:pt>
                <c:pt idx="303" formatCode="General">
                  <c:v>17.572008333333336</c:v>
                </c:pt>
                <c:pt idx="304" formatCode="General">
                  <c:v>17.137286111111102</c:v>
                </c:pt>
                <c:pt idx="305" formatCode="General">
                  <c:v>16.440063888888879</c:v>
                </c:pt>
                <c:pt idx="306" formatCode="General">
                  <c:v>15.49075833333333</c:v>
                </c:pt>
                <c:pt idx="307" formatCode="General">
                  <c:v>13.203258333333329</c:v>
                </c:pt>
                <c:pt idx="308" formatCode="General">
                  <c:v>14.917147222222219</c:v>
                </c:pt>
                <c:pt idx="309" formatCode="General">
                  <c:v>16.356036111111109</c:v>
                </c:pt>
                <c:pt idx="310" formatCode="General">
                  <c:v>16.045619444444434</c:v>
                </c:pt>
                <c:pt idx="311" formatCode="General">
                  <c:v>14.778258333333332</c:v>
                </c:pt>
                <c:pt idx="312" formatCode="General">
                  <c:v>12.038675</c:v>
                </c:pt>
                <c:pt idx="313" formatCode="General">
                  <c:v>8.920619444444446</c:v>
                </c:pt>
                <c:pt idx="314" formatCode="General">
                  <c:v>11.419925000000003</c:v>
                </c:pt>
                <c:pt idx="315" formatCode="General">
                  <c:v>12.462980555555561</c:v>
                </c:pt>
                <c:pt idx="316" formatCode="General">
                  <c:v>13.652563888888885</c:v>
                </c:pt>
                <c:pt idx="317" formatCode="General">
                  <c:v>13.931730555555555</c:v>
                </c:pt>
                <c:pt idx="318" formatCode="General">
                  <c:v>14.279647222222225</c:v>
                </c:pt>
                <c:pt idx="319" formatCode="General">
                  <c:v>13.130341666666665</c:v>
                </c:pt>
                <c:pt idx="320" formatCode="General">
                  <c:v>12.991452777777772</c:v>
                </c:pt>
                <c:pt idx="321" formatCode="General">
                  <c:v>14.400480555555562</c:v>
                </c:pt>
                <c:pt idx="322" formatCode="General">
                  <c:v>14.145619444444444</c:v>
                </c:pt>
                <c:pt idx="323" formatCode="General">
                  <c:v>13.612980555555554</c:v>
                </c:pt>
                <c:pt idx="324" formatCode="General">
                  <c:v>11.802563888888891</c:v>
                </c:pt>
                <c:pt idx="325" formatCode="General">
                  <c:v>10.824786111111115</c:v>
                </c:pt>
                <c:pt idx="326" formatCode="General">
                  <c:v>8.8511749999999996</c:v>
                </c:pt>
                <c:pt idx="327" formatCode="General">
                  <c:v>7.6574249999999999</c:v>
                </c:pt>
                <c:pt idx="328" formatCode="General">
                  <c:v>9.7129805555555553</c:v>
                </c:pt>
                <c:pt idx="329" formatCode="General">
                  <c:v>10.856036111111107</c:v>
                </c:pt>
                <c:pt idx="330" formatCode="General">
                  <c:v>10.706730555555556</c:v>
                </c:pt>
                <c:pt idx="331" formatCode="General">
                  <c:v>10.483813888888893</c:v>
                </c:pt>
                <c:pt idx="332" formatCode="General">
                  <c:v>9.2886749999999996</c:v>
                </c:pt>
                <c:pt idx="333" formatCode="General">
                  <c:v>8.7727027777777771</c:v>
                </c:pt>
                <c:pt idx="334" formatCode="General">
                  <c:v>9.0782583333333342</c:v>
                </c:pt>
                <c:pt idx="335" formatCode="General">
                  <c:v>8.6338138888888896</c:v>
                </c:pt>
                <c:pt idx="336" formatCode="General">
                  <c:v>8.6928416666666681</c:v>
                </c:pt>
                <c:pt idx="337" formatCode="General">
                  <c:v>8.8386750000000021</c:v>
                </c:pt>
                <c:pt idx="338" formatCode="General">
                  <c:v>8.8334666666666646</c:v>
                </c:pt>
                <c:pt idx="339" formatCode="General">
                  <c:v>8.9622861111111121</c:v>
                </c:pt>
                <c:pt idx="340" formatCode="General">
                  <c:v>8.8983972222222221</c:v>
                </c:pt>
                <c:pt idx="341" formatCode="General">
                  <c:v>8.4560361111111142</c:v>
                </c:pt>
                <c:pt idx="342" formatCode="General">
                  <c:v>7.7282583333333328</c:v>
                </c:pt>
                <c:pt idx="343" formatCode="General">
                  <c:v>10.037980555555558</c:v>
                </c:pt>
                <c:pt idx="344" formatCode="General">
                  <c:v>11.433813888888894</c:v>
                </c:pt>
                <c:pt idx="345" formatCode="General">
                  <c:v>12.953258333333332</c:v>
                </c:pt>
                <c:pt idx="346" formatCode="General">
                  <c:v>13.95325833333334</c:v>
                </c:pt>
                <c:pt idx="347" formatCode="General">
                  <c:v>14.089369444444438</c:v>
                </c:pt>
                <c:pt idx="348" formatCode="General">
                  <c:v>13.68728611111111</c:v>
                </c:pt>
                <c:pt idx="349" formatCode="General">
                  <c:v>13.098397222222223</c:v>
                </c:pt>
                <c:pt idx="350" formatCode="General">
                  <c:v>11.358813888888884</c:v>
                </c:pt>
                <c:pt idx="351" formatCode="General">
                  <c:v>13.657425</c:v>
                </c:pt>
                <c:pt idx="352" formatCode="General">
                  <c:v>14.45673055555555</c:v>
                </c:pt>
                <c:pt idx="353" formatCode="General">
                  <c:v>12.583813888888889</c:v>
                </c:pt>
                <c:pt idx="354" formatCode="General">
                  <c:v>16.708119444444442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2-4C2E-96A6-A29220074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204288"/>
        <c:axId val="768737872"/>
      </c:lineChart>
      <c:catAx>
        <c:axId val="672204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68737872"/>
        <c:crosses val="autoZero"/>
        <c:auto val="1"/>
        <c:lblAlgn val="ctr"/>
        <c:lblOffset val="100"/>
        <c:noMultiLvlLbl val="0"/>
      </c:catAx>
      <c:valAx>
        <c:axId val="7687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220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Overschrijdingstemperatuur gemiddeld eens per jaar voor 7 aaneensluitende</a:t>
            </a:r>
            <a:r>
              <a:rPr lang="nl-NL" baseline="0"/>
              <a:t> dagen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'Tinput for haarvaten 2085'!$D$3:$AC$3</c:f>
              <c:numCache>
                <c:formatCode>General</c:formatCode>
                <c:ptCount val="26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  <c:pt idx="10">
                  <c:v>0.75000000000000011</c:v>
                </c:pt>
                <c:pt idx="11">
                  <c:v>0.80000000000000016</c:v>
                </c:pt>
                <c:pt idx="12">
                  <c:v>0.8500000000000002</c:v>
                </c:pt>
                <c:pt idx="13">
                  <c:v>0.90000000000000024</c:v>
                </c:pt>
                <c:pt idx="14">
                  <c:v>0.95000000000000029</c:v>
                </c:pt>
                <c:pt idx="15">
                  <c:v>1.0000000000000002</c:v>
                </c:pt>
                <c:pt idx="16">
                  <c:v>1.0500000000000003</c:v>
                </c:pt>
                <c:pt idx="17">
                  <c:v>1.1000000000000003</c:v>
                </c:pt>
                <c:pt idx="18">
                  <c:v>1.1500000000000004</c:v>
                </c:pt>
                <c:pt idx="19">
                  <c:v>1.2000000000000004</c:v>
                </c:pt>
                <c:pt idx="20">
                  <c:v>1.2500000000000004</c:v>
                </c:pt>
                <c:pt idx="21">
                  <c:v>1.3000000000000005</c:v>
                </c:pt>
                <c:pt idx="22">
                  <c:v>1.3500000000000005</c:v>
                </c:pt>
                <c:pt idx="23">
                  <c:v>1.4000000000000006</c:v>
                </c:pt>
                <c:pt idx="24">
                  <c:v>1.4500000000000006</c:v>
                </c:pt>
                <c:pt idx="25">
                  <c:v>1.5000000000000007</c:v>
                </c:pt>
              </c:numCache>
            </c:numRef>
          </c:xVal>
          <c:yVal>
            <c:numRef>
              <c:f>'Tinput for haarvaten 2085'!$D$4:$AC$4</c:f>
              <c:numCache>
                <c:formatCode>0.00</c:formatCode>
                <c:ptCount val="26"/>
                <c:pt idx="0">
                  <c:v>28.702168982950848</c:v>
                </c:pt>
                <c:pt idx="1">
                  <c:v>28.627963982950849</c:v>
                </c:pt>
                <c:pt idx="2">
                  <c:v>28.553758982950843</c:v>
                </c:pt>
                <c:pt idx="3">
                  <c:v>28.479553982950844</c:v>
                </c:pt>
                <c:pt idx="4">
                  <c:v>28.405348982950844</c:v>
                </c:pt>
                <c:pt idx="5">
                  <c:v>28.331143982950845</c:v>
                </c:pt>
                <c:pt idx="6">
                  <c:v>28.256938982950846</c:v>
                </c:pt>
                <c:pt idx="7">
                  <c:v>28.182733982950847</c:v>
                </c:pt>
                <c:pt idx="8">
                  <c:v>28.108528982950848</c:v>
                </c:pt>
                <c:pt idx="9">
                  <c:v>28.034323982950848</c:v>
                </c:pt>
                <c:pt idx="10">
                  <c:v>27.960118982950849</c:v>
                </c:pt>
                <c:pt idx="11">
                  <c:v>27.885913982950843</c:v>
                </c:pt>
                <c:pt idx="12">
                  <c:v>27.811708982950844</c:v>
                </c:pt>
                <c:pt idx="13">
                  <c:v>27.737503982950845</c:v>
                </c:pt>
                <c:pt idx="14">
                  <c:v>27.663298982950845</c:v>
                </c:pt>
                <c:pt idx="15">
                  <c:v>27.589093982950846</c:v>
                </c:pt>
                <c:pt idx="16">
                  <c:v>27.514888982950847</c:v>
                </c:pt>
                <c:pt idx="17">
                  <c:v>27.440683982950848</c:v>
                </c:pt>
                <c:pt idx="18">
                  <c:v>27.366478982950849</c:v>
                </c:pt>
                <c:pt idx="19">
                  <c:v>27.292273982950849</c:v>
                </c:pt>
                <c:pt idx="20">
                  <c:v>27.218068982950843</c:v>
                </c:pt>
                <c:pt idx="21">
                  <c:v>27.143863982950844</c:v>
                </c:pt>
                <c:pt idx="22">
                  <c:v>27.069658982950845</c:v>
                </c:pt>
                <c:pt idx="23">
                  <c:v>26.995453982950846</c:v>
                </c:pt>
                <c:pt idx="24">
                  <c:v>26.921248982950846</c:v>
                </c:pt>
                <c:pt idx="25">
                  <c:v>26.847043982950847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A0-4807-B160-83548D263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135024"/>
        <c:axId val="1575916192"/>
      </c:scatterChart>
      <c:valAx>
        <c:axId val="155713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Diepte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75916192"/>
        <c:crosses val="autoZero"/>
        <c:crossBetween val="midCat"/>
      </c:valAx>
      <c:valAx>
        <c:axId val="157591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5713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'Formule max afh van diepte'!$C$27</c:f>
              <c:strCache>
                <c:ptCount val="1"/>
                <c:pt idx="0">
                  <c:v>dTemp_plus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6563013216612789"/>
                  <c:y val="5.2294047664975099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70" b="1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70" baseline="0">
                        <a:solidFill>
                          <a:srgbClr val="FF0000"/>
                        </a:solidFill>
                      </a:rPr>
                      <a:t>y = -1.4841x + 3.6472</a:t>
                    </a:r>
                    <a:br>
                      <a:rPr lang="en-US" sz="1170" baseline="0">
                        <a:solidFill>
                          <a:srgbClr val="FF0000"/>
                        </a:solidFill>
                      </a:rPr>
                    </a:br>
                    <a:r>
                      <a:rPr lang="en-US" sz="1170" baseline="0">
                        <a:solidFill>
                          <a:srgbClr val="FF0000"/>
                        </a:solidFill>
                      </a:rPr>
                      <a:t>R² = 0.909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7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'Formule max afh van diepte'!$B$28:$B$36</c:f>
              <c:numCache>
                <c:formatCode>0.00</c:formatCode>
                <c:ptCount val="9"/>
                <c:pt idx="0">
                  <c:v>0.5</c:v>
                </c:pt>
                <c:pt idx="1">
                  <c:v>0.5</c:v>
                </c:pt>
                <c:pt idx="2">
                  <c:v>0.75</c:v>
                </c:pt>
                <c:pt idx="3">
                  <c:v>0.75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1.5</c:v>
                </c:pt>
              </c:numCache>
            </c:numRef>
          </c:xVal>
          <c:yVal>
            <c:numRef>
              <c:f>'Formule max afh van diepte'!$C$28:$C$36</c:f>
              <c:numCache>
                <c:formatCode>0.00</c:formatCode>
                <c:ptCount val="9"/>
                <c:pt idx="0">
                  <c:v>3</c:v>
                </c:pt>
                <c:pt idx="1">
                  <c:v>3</c:v>
                </c:pt>
                <c:pt idx="2">
                  <c:v>2.5</c:v>
                </c:pt>
                <c:pt idx="3">
                  <c:v>2.25</c:v>
                </c:pt>
                <c:pt idx="4">
                  <c:v>2.35</c:v>
                </c:pt>
                <c:pt idx="5">
                  <c:v>2.5</c:v>
                </c:pt>
                <c:pt idx="6">
                  <c:v>2</c:v>
                </c:pt>
                <c:pt idx="7">
                  <c:v>2</c:v>
                </c:pt>
                <c:pt idx="8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40-42B1-9911-1865DF86C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519519"/>
        <c:axId val="1544515775"/>
      </c:scatterChart>
      <c:valAx>
        <c:axId val="1544519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Diepte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44515775"/>
        <c:crosses val="autoZero"/>
        <c:crossBetween val="midCat"/>
      </c:valAx>
      <c:valAx>
        <c:axId val="1544515775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Graden boven basisreeks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44519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 i="0" baseline="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'Tinput for haarvaten Klimaat''14'!$C$3:$C$357</c:f>
              <c:numCache>
                <c:formatCode>0.00</c:formatCode>
                <c:ptCount val="355"/>
                <c:pt idx="0">
                  <c:v>0</c:v>
                </c:pt>
                <c:pt idx="1">
                  <c:v>0</c:v>
                </c:pt>
                <c:pt idx="2">
                  <c:v>3.7145038167938926</c:v>
                </c:pt>
                <c:pt idx="3">
                  <c:v>4.8131944444444441</c:v>
                </c:pt>
                <c:pt idx="4">
                  <c:v>4.1770833333333304</c:v>
                </c:pt>
                <c:pt idx="5">
                  <c:v>4.0736111111111128</c:v>
                </c:pt>
                <c:pt idx="6">
                  <c:v>4.2298611111111066</c:v>
                </c:pt>
                <c:pt idx="7">
                  <c:v>5.1479166666666671</c:v>
                </c:pt>
                <c:pt idx="8">
                  <c:v>3.6472222222222226</c:v>
                </c:pt>
                <c:pt idx="9">
                  <c:v>4.1791666666666689</c:v>
                </c:pt>
                <c:pt idx="10">
                  <c:v>3.1472222222222235</c:v>
                </c:pt>
                <c:pt idx="11">
                  <c:v>2.7368055555555562</c:v>
                </c:pt>
                <c:pt idx="12">
                  <c:v>4.7298611111111057</c:v>
                </c:pt>
                <c:pt idx="13">
                  <c:v>5.3881944444444461</c:v>
                </c:pt>
                <c:pt idx="14">
                  <c:v>4.9805555555555641</c:v>
                </c:pt>
                <c:pt idx="15">
                  <c:v>3.9881944444444395</c:v>
                </c:pt>
                <c:pt idx="16">
                  <c:v>3.707638888888888</c:v>
                </c:pt>
                <c:pt idx="17">
                  <c:v>5.3423611111111109</c:v>
                </c:pt>
                <c:pt idx="18">
                  <c:v>4.5607638888888928</c:v>
                </c:pt>
                <c:pt idx="19">
                  <c:v>6.9993055555555523</c:v>
                </c:pt>
                <c:pt idx="20">
                  <c:v>4.745486111111112</c:v>
                </c:pt>
                <c:pt idx="21">
                  <c:v>4.3722222222222227</c:v>
                </c:pt>
                <c:pt idx="22">
                  <c:v>4.8284722222222207</c:v>
                </c:pt>
                <c:pt idx="23">
                  <c:v>6.6694444444444443</c:v>
                </c:pt>
                <c:pt idx="24">
                  <c:v>7.1055555555555516</c:v>
                </c:pt>
                <c:pt idx="25">
                  <c:v>5.9819444444444425</c:v>
                </c:pt>
                <c:pt idx="26">
                  <c:v>4.3874999999999993</c:v>
                </c:pt>
                <c:pt idx="27">
                  <c:v>6.6069444444444461</c:v>
                </c:pt>
                <c:pt idx="28">
                  <c:v>4.8173611111111105</c:v>
                </c:pt>
                <c:pt idx="29">
                  <c:v>7.3916666666666675</c:v>
                </c:pt>
                <c:pt idx="30">
                  <c:v>8.25138888888889</c:v>
                </c:pt>
                <c:pt idx="31">
                  <c:v>7.5305555555555497</c:v>
                </c:pt>
                <c:pt idx="32">
                  <c:v>4.9097222222222205</c:v>
                </c:pt>
                <c:pt idx="33">
                  <c:v>3.0520833333333339</c:v>
                </c:pt>
                <c:pt idx="34">
                  <c:v>3.0506944444444439</c:v>
                </c:pt>
                <c:pt idx="35">
                  <c:v>7.3041666666666645</c:v>
                </c:pt>
                <c:pt idx="36">
                  <c:v>6.4652777777777795</c:v>
                </c:pt>
                <c:pt idx="37">
                  <c:v>8.5069444444444393</c:v>
                </c:pt>
                <c:pt idx="38">
                  <c:v>7.6444444444444422</c:v>
                </c:pt>
                <c:pt idx="39">
                  <c:v>6.236805555555553</c:v>
                </c:pt>
                <c:pt idx="40">
                  <c:v>4.2375000000000007</c:v>
                </c:pt>
                <c:pt idx="41">
                  <c:v>6.4159722222222175</c:v>
                </c:pt>
                <c:pt idx="42">
                  <c:v>5.3493055555555555</c:v>
                </c:pt>
                <c:pt idx="43">
                  <c:v>5.1569444444444423</c:v>
                </c:pt>
                <c:pt idx="44">
                  <c:v>6.088888888888885</c:v>
                </c:pt>
                <c:pt idx="45">
                  <c:v>5.6402777777777766</c:v>
                </c:pt>
                <c:pt idx="46">
                  <c:v>4.55</c:v>
                </c:pt>
                <c:pt idx="47">
                  <c:v>5.210416666666668</c:v>
                </c:pt>
                <c:pt idx="48">
                  <c:v>4.5902777777777777</c:v>
                </c:pt>
                <c:pt idx="49">
                  <c:v>4.5444444444444434</c:v>
                </c:pt>
                <c:pt idx="50">
                  <c:v>4.5430555555555632</c:v>
                </c:pt>
                <c:pt idx="51">
                  <c:v>6.9256944444444439</c:v>
                </c:pt>
                <c:pt idx="52">
                  <c:v>6.0013888888888864</c:v>
                </c:pt>
                <c:pt idx="53">
                  <c:v>5.2694444444444448</c:v>
                </c:pt>
                <c:pt idx="54">
                  <c:v>4.9277777777777771</c:v>
                </c:pt>
                <c:pt idx="55">
                  <c:v>4.8767361111111107</c:v>
                </c:pt>
                <c:pt idx="56">
                  <c:v>5.6444444444444439</c:v>
                </c:pt>
                <c:pt idx="57">
                  <c:v>4.5704861111111095</c:v>
                </c:pt>
                <c:pt idx="58">
                  <c:v>5.9659722222222236</c:v>
                </c:pt>
                <c:pt idx="59">
                  <c:v>7.680208333333332</c:v>
                </c:pt>
                <c:pt idx="60">
                  <c:v>7.486805555555553</c:v>
                </c:pt>
                <c:pt idx="61">
                  <c:v>8.9041666666666615</c:v>
                </c:pt>
                <c:pt idx="62">
                  <c:v>10.572916666666664</c:v>
                </c:pt>
                <c:pt idx="63">
                  <c:v>10.977777777777776</c:v>
                </c:pt>
                <c:pt idx="64">
                  <c:v>11.18541666666666</c:v>
                </c:pt>
                <c:pt idx="65">
                  <c:v>9.8968749999999925</c:v>
                </c:pt>
                <c:pt idx="66">
                  <c:v>10.389583333333327</c:v>
                </c:pt>
                <c:pt idx="67">
                  <c:v>10.647222222222222</c:v>
                </c:pt>
                <c:pt idx="68">
                  <c:v>9.3347222222222186</c:v>
                </c:pt>
                <c:pt idx="69">
                  <c:v>5.486805555555553</c:v>
                </c:pt>
                <c:pt idx="70">
                  <c:v>8.4222222222222207</c:v>
                </c:pt>
                <c:pt idx="71">
                  <c:v>10.93472222222222</c:v>
                </c:pt>
                <c:pt idx="72">
                  <c:v>12.156944444444438</c:v>
                </c:pt>
                <c:pt idx="73">
                  <c:v>12.12569444444444</c:v>
                </c:pt>
                <c:pt idx="74">
                  <c:v>11.730555555555553</c:v>
                </c:pt>
                <c:pt idx="75">
                  <c:v>11.661111111111108</c:v>
                </c:pt>
                <c:pt idx="76">
                  <c:v>13.157638888888885</c:v>
                </c:pt>
                <c:pt idx="77">
                  <c:v>12.603472222222216</c:v>
                </c:pt>
                <c:pt idx="78">
                  <c:v>12.525694444444436</c:v>
                </c:pt>
                <c:pt idx="79">
                  <c:v>10.720138888888881</c:v>
                </c:pt>
                <c:pt idx="80">
                  <c:v>6.2402777777777754</c:v>
                </c:pt>
                <c:pt idx="81">
                  <c:v>3.3201388888888896</c:v>
                </c:pt>
                <c:pt idx="82">
                  <c:v>5.1805555555555545</c:v>
                </c:pt>
                <c:pt idx="83">
                  <c:v>6.6159722222222221</c:v>
                </c:pt>
                <c:pt idx="84">
                  <c:v>6.3555555555555525</c:v>
                </c:pt>
                <c:pt idx="85">
                  <c:v>9.2819444444444414</c:v>
                </c:pt>
                <c:pt idx="86">
                  <c:v>9.4673611111111047</c:v>
                </c:pt>
                <c:pt idx="87">
                  <c:v>9.0534722222222186</c:v>
                </c:pt>
                <c:pt idx="88">
                  <c:v>7.7354166666666693</c:v>
                </c:pt>
                <c:pt idx="89">
                  <c:v>7.6013888888888834</c:v>
                </c:pt>
                <c:pt idx="90">
                  <c:v>9.4430555555555529</c:v>
                </c:pt>
                <c:pt idx="91">
                  <c:v>11.643055555555547</c:v>
                </c:pt>
                <c:pt idx="92">
                  <c:v>12.64374999999999</c:v>
                </c:pt>
                <c:pt idx="93">
                  <c:v>14.793749999999992</c:v>
                </c:pt>
                <c:pt idx="94">
                  <c:v>16.143749999999997</c:v>
                </c:pt>
                <c:pt idx="95">
                  <c:v>16.186111111111103</c:v>
                </c:pt>
                <c:pt idx="96">
                  <c:v>15.331249999999992</c:v>
                </c:pt>
                <c:pt idx="97">
                  <c:v>14.629166666666659</c:v>
                </c:pt>
                <c:pt idx="98">
                  <c:v>15.43333333333333</c:v>
                </c:pt>
                <c:pt idx="99">
                  <c:v>15.540277777777776</c:v>
                </c:pt>
                <c:pt idx="100">
                  <c:v>14.750277777777772</c:v>
                </c:pt>
                <c:pt idx="101">
                  <c:v>14.477847222222213</c:v>
                </c:pt>
                <c:pt idx="102">
                  <c:v>14.453472222222214</c:v>
                </c:pt>
                <c:pt idx="103">
                  <c:v>14.190972222222223</c:v>
                </c:pt>
                <c:pt idx="104">
                  <c:v>13.916666666666659</c:v>
                </c:pt>
                <c:pt idx="105">
                  <c:v>10.846527777777771</c:v>
                </c:pt>
                <c:pt idx="106">
                  <c:v>12.659027777777778</c:v>
                </c:pt>
                <c:pt idx="107">
                  <c:v>12.583333333333327</c:v>
                </c:pt>
                <c:pt idx="108">
                  <c:v>12.872222222222213</c:v>
                </c:pt>
                <c:pt idx="109">
                  <c:v>12.056249999999995</c:v>
                </c:pt>
                <c:pt idx="110">
                  <c:v>12.449305555555547</c:v>
                </c:pt>
                <c:pt idx="111">
                  <c:v>14.476388888888883</c:v>
                </c:pt>
                <c:pt idx="112">
                  <c:v>15.486805555555545</c:v>
                </c:pt>
                <c:pt idx="113">
                  <c:v>13.540972222222214</c:v>
                </c:pt>
                <c:pt idx="114">
                  <c:v>12.17272727272727</c:v>
                </c:pt>
                <c:pt idx="115">
                  <c:v>21.741791044776118</c:v>
                </c:pt>
                <c:pt idx="116">
                  <c:v>19.347916666666674</c:v>
                </c:pt>
                <c:pt idx="117">
                  <c:v>17.411805555555549</c:v>
                </c:pt>
                <c:pt idx="118">
                  <c:v>18.431944444444454</c:v>
                </c:pt>
                <c:pt idx="119">
                  <c:v>17.620138888888892</c:v>
                </c:pt>
                <c:pt idx="120">
                  <c:v>17.076249999999991</c:v>
                </c:pt>
                <c:pt idx="121">
                  <c:v>17.645277777777782</c:v>
                </c:pt>
                <c:pt idx="122">
                  <c:v>17.954861111111114</c:v>
                </c:pt>
                <c:pt idx="123">
                  <c:v>19.131250000000009</c:v>
                </c:pt>
                <c:pt idx="124">
                  <c:v>20.008333333333336</c:v>
                </c:pt>
                <c:pt idx="125">
                  <c:v>19.104861111111106</c:v>
                </c:pt>
                <c:pt idx="126">
                  <c:v>19.940277777777776</c:v>
                </c:pt>
                <c:pt idx="127">
                  <c:v>21.647222222222226</c:v>
                </c:pt>
                <c:pt idx="128">
                  <c:v>20.476388888888891</c:v>
                </c:pt>
                <c:pt idx="129">
                  <c:v>17.959027777777781</c:v>
                </c:pt>
                <c:pt idx="130">
                  <c:v>17.920138888888886</c:v>
                </c:pt>
                <c:pt idx="131">
                  <c:v>20.226388888888888</c:v>
                </c:pt>
                <c:pt idx="132">
                  <c:v>18.934027777777786</c:v>
                </c:pt>
                <c:pt idx="133">
                  <c:v>17.940277777777776</c:v>
                </c:pt>
                <c:pt idx="134">
                  <c:v>17.066666666666663</c:v>
                </c:pt>
                <c:pt idx="135">
                  <c:v>17.64930555555555</c:v>
                </c:pt>
                <c:pt idx="136">
                  <c:v>17.414583333333326</c:v>
                </c:pt>
                <c:pt idx="137">
                  <c:v>16.169444444444437</c:v>
                </c:pt>
                <c:pt idx="138">
                  <c:v>15.25138888888889</c:v>
                </c:pt>
                <c:pt idx="139">
                  <c:v>15.938194444444431</c:v>
                </c:pt>
                <c:pt idx="140">
                  <c:v>17.247916666666665</c:v>
                </c:pt>
                <c:pt idx="141">
                  <c:v>17.290972222222219</c:v>
                </c:pt>
                <c:pt idx="142">
                  <c:v>18.629166666666677</c:v>
                </c:pt>
                <c:pt idx="143">
                  <c:v>19.395833333333329</c:v>
                </c:pt>
                <c:pt idx="144">
                  <c:v>17.332638888888891</c:v>
                </c:pt>
                <c:pt idx="145">
                  <c:v>16.644444444444442</c:v>
                </c:pt>
                <c:pt idx="146">
                  <c:v>16.664583333333333</c:v>
                </c:pt>
                <c:pt idx="147">
                  <c:v>18.020833333333332</c:v>
                </c:pt>
                <c:pt idx="148">
                  <c:v>18.052777777777774</c:v>
                </c:pt>
                <c:pt idx="149">
                  <c:v>19.797916666666659</c:v>
                </c:pt>
                <c:pt idx="150">
                  <c:v>20.292361111111109</c:v>
                </c:pt>
                <c:pt idx="151">
                  <c:v>21.270833333333336</c:v>
                </c:pt>
                <c:pt idx="152">
                  <c:v>21.422222222222228</c:v>
                </c:pt>
                <c:pt idx="153">
                  <c:v>20.655555555555555</c:v>
                </c:pt>
                <c:pt idx="154">
                  <c:v>20.669444444444448</c:v>
                </c:pt>
                <c:pt idx="155">
                  <c:v>21.755555555555571</c:v>
                </c:pt>
                <c:pt idx="156">
                  <c:v>22.964583333333337</c:v>
                </c:pt>
                <c:pt idx="157">
                  <c:v>23.925694444444446</c:v>
                </c:pt>
                <c:pt idx="158">
                  <c:v>23.795833333333334</c:v>
                </c:pt>
                <c:pt idx="159">
                  <c:v>18.568750000000016</c:v>
                </c:pt>
                <c:pt idx="160">
                  <c:v>18.883333333333329</c:v>
                </c:pt>
                <c:pt idx="161">
                  <c:v>20.196527777777774</c:v>
                </c:pt>
                <c:pt idx="162">
                  <c:v>21.872916666666676</c:v>
                </c:pt>
                <c:pt idx="163">
                  <c:v>23.430555555555561</c:v>
                </c:pt>
                <c:pt idx="164">
                  <c:v>23.881250000000012</c:v>
                </c:pt>
                <c:pt idx="165">
                  <c:v>22.049305555555556</c:v>
                </c:pt>
                <c:pt idx="166">
                  <c:v>21.722222222222214</c:v>
                </c:pt>
                <c:pt idx="167">
                  <c:v>20.281249999999996</c:v>
                </c:pt>
                <c:pt idx="168">
                  <c:v>21.104166666666671</c:v>
                </c:pt>
                <c:pt idx="169">
                  <c:v>22.908333333333335</c:v>
                </c:pt>
                <c:pt idx="170">
                  <c:v>21.777777777777782</c:v>
                </c:pt>
                <c:pt idx="171">
                  <c:v>19.943055555555546</c:v>
                </c:pt>
                <c:pt idx="172">
                  <c:v>20.959027777777777</c:v>
                </c:pt>
                <c:pt idx="173">
                  <c:v>21.762500000000006</c:v>
                </c:pt>
                <c:pt idx="174">
                  <c:v>22.02847222222222</c:v>
                </c:pt>
                <c:pt idx="175">
                  <c:v>21.854861111111109</c:v>
                </c:pt>
                <c:pt idx="176">
                  <c:v>20.296527777777769</c:v>
                </c:pt>
                <c:pt idx="177">
                  <c:v>18.645138888888891</c:v>
                </c:pt>
                <c:pt idx="178">
                  <c:v>20.25138888888889</c:v>
                </c:pt>
                <c:pt idx="179">
                  <c:v>21.553472222222226</c:v>
                </c:pt>
                <c:pt idx="180">
                  <c:v>20.055555555555557</c:v>
                </c:pt>
                <c:pt idx="181">
                  <c:v>22.147916666666667</c:v>
                </c:pt>
                <c:pt idx="182">
                  <c:v>23.559027777777786</c:v>
                </c:pt>
                <c:pt idx="183">
                  <c:v>24.41458333333334</c:v>
                </c:pt>
                <c:pt idx="184">
                  <c:v>21.913194444444457</c:v>
                </c:pt>
                <c:pt idx="185">
                  <c:v>21.358333333333334</c:v>
                </c:pt>
                <c:pt idx="186">
                  <c:v>21.893750000000004</c:v>
                </c:pt>
                <c:pt idx="187">
                  <c:v>22.503472222222225</c:v>
                </c:pt>
                <c:pt idx="188">
                  <c:v>24.953472222222231</c:v>
                </c:pt>
                <c:pt idx="189">
                  <c:v>26.546527777777772</c:v>
                </c:pt>
                <c:pt idx="190">
                  <c:v>25.011805555555551</c:v>
                </c:pt>
                <c:pt idx="191">
                  <c:v>21.202777777777769</c:v>
                </c:pt>
                <c:pt idx="192">
                  <c:v>20.006250000000005</c:v>
                </c:pt>
                <c:pt idx="193">
                  <c:v>22.272222222222226</c:v>
                </c:pt>
                <c:pt idx="194">
                  <c:v>24.183333333333348</c:v>
                </c:pt>
                <c:pt idx="195">
                  <c:v>23.422222222222224</c:v>
                </c:pt>
                <c:pt idx="196">
                  <c:v>20.459722222222226</c:v>
                </c:pt>
                <c:pt idx="197">
                  <c:v>19.72291666666667</c:v>
                </c:pt>
                <c:pt idx="198">
                  <c:v>19.215277777777779</c:v>
                </c:pt>
                <c:pt idx="199">
                  <c:v>20.65347222222222</c:v>
                </c:pt>
                <c:pt idx="200">
                  <c:v>21.579861111111107</c:v>
                </c:pt>
                <c:pt idx="201">
                  <c:v>20.772916666666678</c:v>
                </c:pt>
                <c:pt idx="202">
                  <c:v>21.861805555555559</c:v>
                </c:pt>
                <c:pt idx="203">
                  <c:v>21.980555555555565</c:v>
                </c:pt>
                <c:pt idx="204">
                  <c:v>23.972916666666677</c:v>
                </c:pt>
                <c:pt idx="205">
                  <c:v>24.053472222222226</c:v>
                </c:pt>
                <c:pt idx="206">
                  <c:v>20.843055555555551</c:v>
                </c:pt>
                <c:pt idx="207">
                  <c:v>20.073611111111106</c:v>
                </c:pt>
                <c:pt idx="208">
                  <c:v>20.722916666666674</c:v>
                </c:pt>
                <c:pt idx="209">
                  <c:v>20.757638888888891</c:v>
                </c:pt>
                <c:pt idx="210">
                  <c:v>21.497222222222227</c:v>
                </c:pt>
                <c:pt idx="211">
                  <c:v>22.242361111111116</c:v>
                </c:pt>
                <c:pt idx="212">
                  <c:v>23.170833333333341</c:v>
                </c:pt>
                <c:pt idx="213">
                  <c:v>23.654166666666661</c:v>
                </c:pt>
                <c:pt idx="214">
                  <c:v>23.981250000000017</c:v>
                </c:pt>
                <c:pt idx="215">
                  <c:v>24.719444444444459</c:v>
                </c:pt>
                <c:pt idx="216">
                  <c:v>24.161111111111126</c:v>
                </c:pt>
                <c:pt idx="217">
                  <c:v>23.447222222222219</c:v>
                </c:pt>
                <c:pt idx="218">
                  <c:v>21.41041666666667</c:v>
                </c:pt>
                <c:pt idx="219">
                  <c:v>21.968055555555548</c:v>
                </c:pt>
                <c:pt idx="220">
                  <c:v>22.237499999999997</c:v>
                </c:pt>
                <c:pt idx="221">
                  <c:v>22.897222222222226</c:v>
                </c:pt>
                <c:pt idx="222">
                  <c:v>21.726388888888895</c:v>
                </c:pt>
                <c:pt idx="223">
                  <c:v>22.916319444444454</c:v>
                </c:pt>
                <c:pt idx="224">
                  <c:v>23.813888888888883</c:v>
                </c:pt>
                <c:pt idx="225">
                  <c:v>24.63750000000001</c:v>
                </c:pt>
                <c:pt idx="226">
                  <c:v>24.59652777777778</c:v>
                </c:pt>
                <c:pt idx="227">
                  <c:v>21.213888888888881</c:v>
                </c:pt>
                <c:pt idx="228">
                  <c:v>18.952777777777779</c:v>
                </c:pt>
                <c:pt idx="229">
                  <c:v>18.642361111111111</c:v>
                </c:pt>
                <c:pt idx="230">
                  <c:v>18.751388888888886</c:v>
                </c:pt>
                <c:pt idx="231">
                  <c:v>19.268749999999997</c:v>
                </c:pt>
                <c:pt idx="232">
                  <c:v>18.640277777777776</c:v>
                </c:pt>
                <c:pt idx="233">
                  <c:v>18.556944444444451</c:v>
                </c:pt>
                <c:pt idx="234">
                  <c:v>18.591666666666661</c:v>
                </c:pt>
                <c:pt idx="235">
                  <c:v>19.187499999999993</c:v>
                </c:pt>
                <c:pt idx="236">
                  <c:v>20.836111111111116</c:v>
                </c:pt>
                <c:pt idx="237">
                  <c:v>21.274305555555564</c:v>
                </c:pt>
                <c:pt idx="238">
                  <c:v>21.872222222222234</c:v>
                </c:pt>
                <c:pt idx="239">
                  <c:v>21.533333333333339</c:v>
                </c:pt>
                <c:pt idx="240">
                  <c:v>20.518750000000004</c:v>
                </c:pt>
                <c:pt idx="241">
                  <c:v>17.332638888888894</c:v>
                </c:pt>
                <c:pt idx="242">
                  <c:v>18.354166666666671</c:v>
                </c:pt>
                <c:pt idx="243">
                  <c:v>19.511111111111106</c:v>
                </c:pt>
                <c:pt idx="244">
                  <c:v>20.584027777777784</c:v>
                </c:pt>
                <c:pt idx="245">
                  <c:v>21.255555555555564</c:v>
                </c:pt>
                <c:pt idx="246">
                  <c:v>19.607638888888893</c:v>
                </c:pt>
                <c:pt idx="247">
                  <c:v>17.481944444444455</c:v>
                </c:pt>
                <c:pt idx="248">
                  <c:v>14.42638888888888</c:v>
                </c:pt>
                <c:pt idx="249">
                  <c:v>13.263888888888879</c:v>
                </c:pt>
                <c:pt idx="250">
                  <c:v>12.471527777777773</c:v>
                </c:pt>
                <c:pt idx="251">
                  <c:v>13.128472222222216</c:v>
                </c:pt>
                <c:pt idx="252">
                  <c:v>14.977083333333335</c:v>
                </c:pt>
                <c:pt idx="253">
                  <c:v>16.034722222222214</c:v>
                </c:pt>
                <c:pt idx="254">
                  <c:v>15.317361111111106</c:v>
                </c:pt>
                <c:pt idx="255">
                  <c:v>14.624999999999996</c:v>
                </c:pt>
                <c:pt idx="256">
                  <c:v>14.76319444444443</c:v>
                </c:pt>
                <c:pt idx="257">
                  <c:v>14.445833333333329</c:v>
                </c:pt>
                <c:pt idx="258">
                  <c:v>13.511805555555544</c:v>
                </c:pt>
                <c:pt idx="259">
                  <c:v>11.43125</c:v>
                </c:pt>
                <c:pt idx="260">
                  <c:v>12.170833333333325</c:v>
                </c:pt>
                <c:pt idx="261">
                  <c:v>12.684722222222215</c:v>
                </c:pt>
                <c:pt idx="262">
                  <c:v>12.6673611111111</c:v>
                </c:pt>
                <c:pt idx="263">
                  <c:v>13.626388888888883</c:v>
                </c:pt>
                <c:pt idx="264">
                  <c:v>14.30833333333333</c:v>
                </c:pt>
                <c:pt idx="265">
                  <c:v>13.67291666666666</c:v>
                </c:pt>
                <c:pt idx="266">
                  <c:v>14.348611111111097</c:v>
                </c:pt>
                <c:pt idx="267">
                  <c:v>14.54652777777777</c:v>
                </c:pt>
                <c:pt idx="268">
                  <c:v>13.413888888888879</c:v>
                </c:pt>
                <c:pt idx="269">
                  <c:v>12.715277777777773</c:v>
                </c:pt>
                <c:pt idx="270">
                  <c:v>13.211111111111101</c:v>
                </c:pt>
                <c:pt idx="271">
                  <c:v>12.555555555555548</c:v>
                </c:pt>
                <c:pt idx="272">
                  <c:v>11.143055555555554</c:v>
                </c:pt>
                <c:pt idx="273">
                  <c:v>11.08819444444444</c:v>
                </c:pt>
                <c:pt idx="274">
                  <c:v>11.245833333333323</c:v>
                </c:pt>
                <c:pt idx="275">
                  <c:v>11.869444444444435</c:v>
                </c:pt>
                <c:pt idx="276">
                  <c:v>11.928472222222219</c:v>
                </c:pt>
                <c:pt idx="277">
                  <c:v>12.776388888888881</c:v>
                </c:pt>
                <c:pt idx="278">
                  <c:v>13.513194444444437</c:v>
                </c:pt>
                <c:pt idx="279">
                  <c:v>13.849999999999996</c:v>
                </c:pt>
                <c:pt idx="280">
                  <c:v>13.650694444444435</c:v>
                </c:pt>
                <c:pt idx="281">
                  <c:v>11.725694444444439</c:v>
                </c:pt>
                <c:pt idx="282">
                  <c:v>10.344444444444452</c:v>
                </c:pt>
                <c:pt idx="283">
                  <c:v>12.663888888888883</c:v>
                </c:pt>
                <c:pt idx="284">
                  <c:v>13.715277777777779</c:v>
                </c:pt>
                <c:pt idx="285">
                  <c:v>13.319444444444434</c:v>
                </c:pt>
                <c:pt idx="286">
                  <c:v>13.454166666666659</c:v>
                </c:pt>
                <c:pt idx="287">
                  <c:v>13.635416666666663</c:v>
                </c:pt>
                <c:pt idx="288">
                  <c:v>13.568055555555555</c:v>
                </c:pt>
                <c:pt idx="289">
                  <c:v>13.936805555555546</c:v>
                </c:pt>
                <c:pt idx="290">
                  <c:v>14.27430555555555</c:v>
                </c:pt>
                <c:pt idx="291">
                  <c:v>14.165277777777769</c:v>
                </c:pt>
                <c:pt idx="292">
                  <c:v>13.947222222222214</c:v>
                </c:pt>
                <c:pt idx="293">
                  <c:v>19.345833333333346</c:v>
                </c:pt>
                <c:pt idx="294">
                  <c:v>12.506249999999996</c:v>
                </c:pt>
                <c:pt idx="295">
                  <c:v>11.062499999999998</c:v>
                </c:pt>
                <c:pt idx="296">
                  <c:v>10.628472222222221</c:v>
                </c:pt>
                <c:pt idx="297">
                  <c:v>10.633333333333331</c:v>
                </c:pt>
                <c:pt idx="298">
                  <c:v>9.6104166666666586</c:v>
                </c:pt>
                <c:pt idx="299">
                  <c:v>9.8083333333333176</c:v>
                </c:pt>
                <c:pt idx="300">
                  <c:v>10.466666666666676</c:v>
                </c:pt>
                <c:pt idx="301">
                  <c:v>10.650694444444436</c:v>
                </c:pt>
                <c:pt idx="302">
                  <c:v>10.652777777777777</c:v>
                </c:pt>
                <c:pt idx="303">
                  <c:v>10.595833333333335</c:v>
                </c:pt>
                <c:pt idx="304">
                  <c:v>10.161111111111103</c:v>
                </c:pt>
                <c:pt idx="305">
                  <c:v>9.4638888888888815</c:v>
                </c:pt>
                <c:pt idx="306">
                  <c:v>8.514583333333329</c:v>
                </c:pt>
                <c:pt idx="307">
                  <c:v>6.2270833333333293</c:v>
                </c:pt>
                <c:pt idx="308">
                  <c:v>7.9409722222222188</c:v>
                </c:pt>
                <c:pt idx="309">
                  <c:v>9.3798611111111114</c:v>
                </c:pt>
                <c:pt idx="310">
                  <c:v>9.0694444444444358</c:v>
                </c:pt>
                <c:pt idx="311">
                  <c:v>7.8020833333333304</c:v>
                </c:pt>
                <c:pt idx="312">
                  <c:v>5.0624999999999991</c:v>
                </c:pt>
                <c:pt idx="313">
                  <c:v>1.9444444444444453</c:v>
                </c:pt>
                <c:pt idx="314">
                  <c:v>4.4437500000000023</c:v>
                </c:pt>
                <c:pt idx="315">
                  <c:v>5.4868055555555602</c:v>
                </c:pt>
                <c:pt idx="316">
                  <c:v>6.6763888888888845</c:v>
                </c:pt>
                <c:pt idx="317">
                  <c:v>6.9555555555555548</c:v>
                </c:pt>
                <c:pt idx="318">
                  <c:v>7.3034722222222239</c:v>
                </c:pt>
                <c:pt idx="319">
                  <c:v>6.154166666666665</c:v>
                </c:pt>
                <c:pt idx="320">
                  <c:v>6.0152777777777722</c:v>
                </c:pt>
                <c:pt idx="321">
                  <c:v>7.424305555555561</c:v>
                </c:pt>
                <c:pt idx="322">
                  <c:v>7.1694444444444434</c:v>
                </c:pt>
                <c:pt idx="323">
                  <c:v>6.6368055555555534</c:v>
                </c:pt>
                <c:pt idx="324">
                  <c:v>4.8263888888888902</c:v>
                </c:pt>
                <c:pt idx="325">
                  <c:v>3.8486111111111145</c:v>
                </c:pt>
                <c:pt idx="326">
                  <c:v>1.8749999999999989</c:v>
                </c:pt>
                <c:pt idx="327">
                  <c:v>0.68124999999999902</c:v>
                </c:pt>
                <c:pt idx="328">
                  <c:v>2.7368055555555553</c:v>
                </c:pt>
                <c:pt idx="329">
                  <c:v>3.8798611111111074</c:v>
                </c:pt>
                <c:pt idx="330">
                  <c:v>3.7305555555555552</c:v>
                </c:pt>
                <c:pt idx="331">
                  <c:v>3.5076388888888932</c:v>
                </c:pt>
                <c:pt idx="332">
                  <c:v>2.3124999999999991</c:v>
                </c:pt>
                <c:pt idx="333">
                  <c:v>1.7965277777777762</c:v>
                </c:pt>
                <c:pt idx="334">
                  <c:v>2.1020833333333342</c:v>
                </c:pt>
                <c:pt idx="335">
                  <c:v>1.6576388888888893</c:v>
                </c:pt>
                <c:pt idx="336">
                  <c:v>1.7166666666666672</c:v>
                </c:pt>
                <c:pt idx="337">
                  <c:v>1.8625000000000018</c:v>
                </c:pt>
                <c:pt idx="338">
                  <c:v>1.8572916666666646</c:v>
                </c:pt>
                <c:pt idx="339">
                  <c:v>1.9861111111111127</c:v>
                </c:pt>
                <c:pt idx="340">
                  <c:v>1.9222222222222227</c:v>
                </c:pt>
                <c:pt idx="341">
                  <c:v>1.4798611111111126</c:v>
                </c:pt>
                <c:pt idx="342">
                  <c:v>0.75208333333333266</c:v>
                </c:pt>
                <c:pt idx="343">
                  <c:v>3.0618055555555577</c:v>
                </c:pt>
                <c:pt idx="344">
                  <c:v>4.4576388888888934</c:v>
                </c:pt>
                <c:pt idx="345">
                  <c:v>5.9770833333333311</c:v>
                </c:pt>
                <c:pt idx="346">
                  <c:v>6.97708333333334</c:v>
                </c:pt>
                <c:pt idx="347">
                  <c:v>7.1131944444444377</c:v>
                </c:pt>
                <c:pt idx="348">
                  <c:v>6.7111111111111095</c:v>
                </c:pt>
                <c:pt idx="349">
                  <c:v>6.1222222222222236</c:v>
                </c:pt>
                <c:pt idx="350">
                  <c:v>4.3826388888888834</c:v>
                </c:pt>
                <c:pt idx="351">
                  <c:v>6.6812499999999995</c:v>
                </c:pt>
                <c:pt idx="352">
                  <c:v>7.4805555555555507</c:v>
                </c:pt>
                <c:pt idx="353">
                  <c:v>5.6076388888888893</c:v>
                </c:pt>
                <c:pt idx="354">
                  <c:v>9.731944444444439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8-4E74-8A07-E66731B8972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'Tinput for haarvaten Klimaat''14'!$D$3:$D$357</c:f>
              <c:numCache>
                <c:formatCode>0.00</c:formatCode>
                <c:ptCount val="355"/>
                <c:pt idx="0" formatCode="General">
                  <c:v>0.25</c:v>
                </c:pt>
                <c:pt idx="1">
                  <c:v>25.002168982950845</c:v>
                </c:pt>
                <c:pt idx="2" formatCode="General">
                  <c:v>6.9906788167938929</c:v>
                </c:pt>
                <c:pt idx="3" formatCode="General">
                  <c:v>8.0893694444444435</c:v>
                </c:pt>
                <c:pt idx="4" formatCode="General">
                  <c:v>7.4532583333333307</c:v>
                </c:pt>
                <c:pt idx="5" formatCode="General">
                  <c:v>7.3497861111111131</c:v>
                </c:pt>
                <c:pt idx="6" formatCode="General">
                  <c:v>7.5060361111111069</c:v>
                </c:pt>
                <c:pt idx="7" formatCode="General">
                  <c:v>8.4240916666666674</c:v>
                </c:pt>
                <c:pt idx="8" formatCode="General">
                  <c:v>6.9233972222222224</c:v>
                </c:pt>
                <c:pt idx="9" formatCode="General">
                  <c:v>7.4553416666666692</c:v>
                </c:pt>
                <c:pt idx="10" formatCode="General">
                  <c:v>6.4233972222222242</c:v>
                </c:pt>
                <c:pt idx="11" formatCode="General">
                  <c:v>6.012980555555556</c:v>
                </c:pt>
                <c:pt idx="12" formatCode="General">
                  <c:v>8.006036111111106</c:v>
                </c:pt>
                <c:pt idx="13" formatCode="General">
                  <c:v>8.6643694444444463</c:v>
                </c:pt>
                <c:pt idx="14" formatCode="General">
                  <c:v>8.2567305555555635</c:v>
                </c:pt>
                <c:pt idx="15" formatCode="General">
                  <c:v>7.2643694444444398</c:v>
                </c:pt>
                <c:pt idx="16" formatCode="General">
                  <c:v>6.9838138888888883</c:v>
                </c:pt>
                <c:pt idx="17" formatCode="General">
                  <c:v>8.6185361111111121</c:v>
                </c:pt>
                <c:pt idx="18" formatCode="General">
                  <c:v>7.8369388888888931</c:v>
                </c:pt>
                <c:pt idx="19" formatCode="General">
                  <c:v>10.275480555555554</c:v>
                </c:pt>
                <c:pt idx="20" formatCode="General">
                  <c:v>8.0216611111111114</c:v>
                </c:pt>
                <c:pt idx="21" formatCode="General">
                  <c:v>7.648397222222223</c:v>
                </c:pt>
                <c:pt idx="22" formatCode="General">
                  <c:v>8.104647222222221</c:v>
                </c:pt>
                <c:pt idx="23" formatCode="General">
                  <c:v>9.9456194444444446</c:v>
                </c:pt>
                <c:pt idx="24" formatCode="General">
                  <c:v>10.381730555555553</c:v>
                </c:pt>
                <c:pt idx="25" formatCode="General">
                  <c:v>9.2581194444444428</c:v>
                </c:pt>
                <c:pt idx="26" formatCode="General">
                  <c:v>7.6636749999999996</c:v>
                </c:pt>
                <c:pt idx="27" formatCode="General">
                  <c:v>9.8831194444444463</c:v>
                </c:pt>
                <c:pt idx="28" formatCode="General">
                  <c:v>8.0935361111111099</c:v>
                </c:pt>
                <c:pt idx="29" formatCode="General">
                  <c:v>10.667841666666668</c:v>
                </c:pt>
                <c:pt idx="30" formatCode="General">
                  <c:v>11.52756388888889</c:v>
                </c:pt>
                <c:pt idx="31" formatCode="General">
                  <c:v>10.80673055555555</c:v>
                </c:pt>
                <c:pt idx="32" formatCode="General">
                  <c:v>8.1858972222222199</c:v>
                </c:pt>
                <c:pt idx="33" formatCode="General">
                  <c:v>6.3282583333333342</c:v>
                </c:pt>
                <c:pt idx="34" formatCode="General">
                  <c:v>6.3268694444444442</c:v>
                </c:pt>
                <c:pt idx="35" formatCode="General">
                  <c:v>10.580341666666666</c:v>
                </c:pt>
                <c:pt idx="36" formatCode="General">
                  <c:v>9.7414527777777806</c:v>
                </c:pt>
                <c:pt idx="37" formatCode="General">
                  <c:v>11.78311944444444</c:v>
                </c:pt>
                <c:pt idx="38" formatCode="General">
                  <c:v>10.920619444444442</c:v>
                </c:pt>
                <c:pt idx="39" formatCode="General">
                  <c:v>9.5129805555555542</c:v>
                </c:pt>
                <c:pt idx="40" formatCode="General">
                  <c:v>7.513675000000001</c:v>
                </c:pt>
                <c:pt idx="41" formatCode="General">
                  <c:v>9.6921472222222178</c:v>
                </c:pt>
                <c:pt idx="42" formatCode="General">
                  <c:v>8.6254805555555549</c:v>
                </c:pt>
                <c:pt idx="43" formatCode="General">
                  <c:v>8.4331194444444435</c:v>
                </c:pt>
                <c:pt idx="44" formatCode="General">
                  <c:v>9.3650638888888853</c:v>
                </c:pt>
                <c:pt idx="45" formatCode="General">
                  <c:v>8.9164527777777778</c:v>
                </c:pt>
                <c:pt idx="46" formatCode="General">
                  <c:v>7.8261750000000001</c:v>
                </c:pt>
                <c:pt idx="47" formatCode="General">
                  <c:v>8.4865916666666692</c:v>
                </c:pt>
                <c:pt idx="48" formatCode="General">
                  <c:v>7.866452777777778</c:v>
                </c:pt>
                <c:pt idx="49" formatCode="General">
                  <c:v>7.8206194444444437</c:v>
                </c:pt>
                <c:pt idx="50" formatCode="General">
                  <c:v>7.8192305555555635</c:v>
                </c:pt>
                <c:pt idx="51" formatCode="General">
                  <c:v>10.201869444444444</c:v>
                </c:pt>
                <c:pt idx="52" formatCode="General">
                  <c:v>9.2775638888888867</c:v>
                </c:pt>
                <c:pt idx="53" formatCode="General">
                  <c:v>8.5456194444444442</c:v>
                </c:pt>
                <c:pt idx="54" formatCode="General">
                  <c:v>8.2039527777777774</c:v>
                </c:pt>
                <c:pt idx="55" formatCode="General">
                  <c:v>8.152911111111111</c:v>
                </c:pt>
                <c:pt idx="56" formatCode="General">
                  <c:v>8.9206194444444442</c:v>
                </c:pt>
                <c:pt idx="57" formatCode="General">
                  <c:v>7.8466611111111098</c:v>
                </c:pt>
                <c:pt idx="58" formatCode="General">
                  <c:v>9.2421472222222238</c:v>
                </c:pt>
                <c:pt idx="59" formatCode="General">
                  <c:v>10.956383333333331</c:v>
                </c:pt>
                <c:pt idx="60" formatCode="General">
                  <c:v>10.762980555555554</c:v>
                </c:pt>
                <c:pt idx="61" formatCode="General">
                  <c:v>12.180341666666662</c:v>
                </c:pt>
                <c:pt idx="62" formatCode="General">
                  <c:v>13.849091666666665</c:v>
                </c:pt>
                <c:pt idx="63" formatCode="General">
                  <c:v>14.253952777777776</c:v>
                </c:pt>
                <c:pt idx="64" formatCode="General">
                  <c:v>14.46159166666666</c:v>
                </c:pt>
                <c:pt idx="65" formatCode="General">
                  <c:v>13.173049999999993</c:v>
                </c:pt>
                <c:pt idx="66" formatCode="General">
                  <c:v>13.665758333333327</c:v>
                </c:pt>
                <c:pt idx="67" formatCode="General">
                  <c:v>13.923397222222222</c:v>
                </c:pt>
                <c:pt idx="68" formatCode="General">
                  <c:v>12.610897222222219</c:v>
                </c:pt>
                <c:pt idx="69" formatCode="General">
                  <c:v>8.7629805555555542</c:v>
                </c:pt>
                <c:pt idx="70" formatCode="General">
                  <c:v>11.698397222222221</c:v>
                </c:pt>
                <c:pt idx="71" formatCode="General">
                  <c:v>14.21089722222222</c:v>
                </c:pt>
                <c:pt idx="72" formatCode="General">
                  <c:v>15.433119444444438</c:v>
                </c:pt>
                <c:pt idx="73" formatCode="General">
                  <c:v>15.40186944444444</c:v>
                </c:pt>
                <c:pt idx="74" formatCode="General">
                  <c:v>15.006730555555553</c:v>
                </c:pt>
                <c:pt idx="75" formatCode="General">
                  <c:v>14.937286111111108</c:v>
                </c:pt>
                <c:pt idx="76" formatCode="General">
                  <c:v>16.433813888888885</c:v>
                </c:pt>
                <c:pt idx="77" formatCode="General">
                  <c:v>15.879647222222216</c:v>
                </c:pt>
                <c:pt idx="78" formatCode="General">
                  <c:v>15.801869444444437</c:v>
                </c:pt>
                <c:pt idx="79" formatCode="General">
                  <c:v>13.996313888888881</c:v>
                </c:pt>
                <c:pt idx="80" formatCode="General">
                  <c:v>9.5164527777777757</c:v>
                </c:pt>
                <c:pt idx="81" formatCode="General">
                  <c:v>6.5963138888888899</c:v>
                </c:pt>
                <c:pt idx="82" formatCode="General">
                  <c:v>8.4567305555555556</c:v>
                </c:pt>
                <c:pt idx="83" formatCode="General">
                  <c:v>9.8921472222222224</c:v>
                </c:pt>
                <c:pt idx="84" formatCode="General">
                  <c:v>9.6317305555555528</c:v>
                </c:pt>
                <c:pt idx="85" formatCode="General">
                  <c:v>12.558119444444442</c:v>
                </c:pt>
                <c:pt idx="86" formatCode="General">
                  <c:v>12.743536111111105</c:v>
                </c:pt>
                <c:pt idx="87" formatCode="General">
                  <c:v>12.329647222222219</c:v>
                </c:pt>
                <c:pt idx="88" formatCode="General">
                  <c:v>11.01159166666667</c:v>
                </c:pt>
                <c:pt idx="89" formatCode="General">
                  <c:v>10.877563888888883</c:v>
                </c:pt>
                <c:pt idx="90" formatCode="General">
                  <c:v>12.719230555555553</c:v>
                </c:pt>
                <c:pt idx="91" formatCode="General">
                  <c:v>14.919230555555547</c:v>
                </c:pt>
                <c:pt idx="92" formatCode="General">
                  <c:v>15.91992499999999</c:v>
                </c:pt>
                <c:pt idx="93" formatCode="General">
                  <c:v>18.069924999999991</c:v>
                </c:pt>
                <c:pt idx="94" formatCode="General">
                  <c:v>19.419924999999999</c:v>
                </c:pt>
                <c:pt idx="95" formatCode="General">
                  <c:v>19.462286111111105</c:v>
                </c:pt>
                <c:pt idx="96" formatCode="General">
                  <c:v>18.607424999999992</c:v>
                </c:pt>
                <c:pt idx="97" formatCode="General">
                  <c:v>17.905341666666658</c:v>
                </c:pt>
                <c:pt idx="98" formatCode="General">
                  <c:v>18.709508333333332</c:v>
                </c:pt>
                <c:pt idx="99" formatCode="General">
                  <c:v>18.816452777777776</c:v>
                </c:pt>
                <c:pt idx="100" formatCode="General">
                  <c:v>18.02645277777777</c:v>
                </c:pt>
                <c:pt idx="101" formatCode="General">
                  <c:v>17.754022222222211</c:v>
                </c:pt>
                <c:pt idx="102" formatCode="General">
                  <c:v>17.729647222222212</c:v>
                </c:pt>
                <c:pt idx="103" formatCode="General">
                  <c:v>17.467147222222223</c:v>
                </c:pt>
                <c:pt idx="104" formatCode="General">
                  <c:v>17.192841666666659</c:v>
                </c:pt>
                <c:pt idx="105" formatCode="General">
                  <c:v>14.122702777777771</c:v>
                </c:pt>
                <c:pt idx="106" formatCode="General">
                  <c:v>15.935202777777778</c:v>
                </c:pt>
                <c:pt idx="107" formatCode="General">
                  <c:v>15.859508333333327</c:v>
                </c:pt>
                <c:pt idx="108" formatCode="General">
                  <c:v>16.148397222222215</c:v>
                </c:pt>
                <c:pt idx="109" formatCode="General">
                  <c:v>15.332424999999995</c:v>
                </c:pt>
                <c:pt idx="110" formatCode="General">
                  <c:v>15.725480555555547</c:v>
                </c:pt>
                <c:pt idx="111" formatCode="General">
                  <c:v>17.752563888888883</c:v>
                </c:pt>
                <c:pt idx="112" formatCode="General">
                  <c:v>18.762980555555544</c:v>
                </c:pt>
                <c:pt idx="113" formatCode="General">
                  <c:v>16.817147222222214</c:v>
                </c:pt>
                <c:pt idx="114" formatCode="General">
                  <c:v>15.44890227272727</c:v>
                </c:pt>
                <c:pt idx="115" formatCode="General">
                  <c:v>25.017966044776117</c:v>
                </c:pt>
                <c:pt idx="116" formatCode="General">
                  <c:v>22.624091666666672</c:v>
                </c:pt>
                <c:pt idx="117" formatCode="General">
                  <c:v>20.687980555555548</c:v>
                </c:pt>
                <c:pt idx="118" formatCode="General">
                  <c:v>21.708119444444456</c:v>
                </c:pt>
                <c:pt idx="119" formatCode="General">
                  <c:v>20.896313888888891</c:v>
                </c:pt>
                <c:pt idx="120" formatCode="General">
                  <c:v>20.35242499999999</c:v>
                </c:pt>
                <c:pt idx="121" formatCode="General">
                  <c:v>20.92145277777778</c:v>
                </c:pt>
                <c:pt idx="122" formatCode="General">
                  <c:v>21.231036111111116</c:v>
                </c:pt>
                <c:pt idx="123" formatCode="General">
                  <c:v>22.407425000000011</c:v>
                </c:pt>
                <c:pt idx="124" formatCode="General">
                  <c:v>23.284508333333335</c:v>
                </c:pt>
                <c:pt idx="125" formatCode="General">
                  <c:v>22.381036111111108</c:v>
                </c:pt>
                <c:pt idx="126" formatCode="General">
                  <c:v>23.216452777777775</c:v>
                </c:pt>
                <c:pt idx="127" formatCode="General">
                  <c:v>24.923397222222228</c:v>
                </c:pt>
                <c:pt idx="128" formatCode="General">
                  <c:v>23.752563888888893</c:v>
                </c:pt>
                <c:pt idx="129" formatCode="General">
                  <c:v>21.235202777777779</c:v>
                </c:pt>
                <c:pt idx="130" formatCode="General">
                  <c:v>21.196313888888888</c:v>
                </c:pt>
                <c:pt idx="131" formatCode="General">
                  <c:v>23.502563888888886</c:v>
                </c:pt>
                <c:pt idx="132" formatCode="General">
                  <c:v>22.210202777777788</c:v>
                </c:pt>
                <c:pt idx="133" formatCode="General">
                  <c:v>21.216452777777775</c:v>
                </c:pt>
                <c:pt idx="134" formatCode="General">
                  <c:v>20.342841666666665</c:v>
                </c:pt>
                <c:pt idx="135" formatCode="General">
                  <c:v>20.925480555555552</c:v>
                </c:pt>
                <c:pt idx="136" formatCode="General">
                  <c:v>20.690758333333328</c:v>
                </c:pt>
                <c:pt idx="137" formatCode="General">
                  <c:v>19.445619444444439</c:v>
                </c:pt>
                <c:pt idx="138" formatCode="General">
                  <c:v>18.527563888888892</c:v>
                </c:pt>
                <c:pt idx="139" formatCode="General">
                  <c:v>19.214369444444429</c:v>
                </c:pt>
                <c:pt idx="140" formatCode="General">
                  <c:v>20.524091666666664</c:v>
                </c:pt>
                <c:pt idx="141" formatCode="General">
                  <c:v>20.567147222222218</c:v>
                </c:pt>
                <c:pt idx="142" formatCode="General">
                  <c:v>21.905341666666679</c:v>
                </c:pt>
                <c:pt idx="143" formatCode="General">
                  <c:v>22.672008333333331</c:v>
                </c:pt>
                <c:pt idx="144" formatCode="General">
                  <c:v>20.608813888888889</c:v>
                </c:pt>
                <c:pt idx="145" formatCode="General">
                  <c:v>19.920619444444441</c:v>
                </c:pt>
                <c:pt idx="146" formatCode="General">
                  <c:v>19.940758333333335</c:v>
                </c:pt>
                <c:pt idx="147" formatCode="General">
                  <c:v>21.297008333333331</c:v>
                </c:pt>
                <c:pt idx="148" formatCode="General">
                  <c:v>21.328952777777772</c:v>
                </c:pt>
                <c:pt idx="149" formatCode="General">
                  <c:v>23.074091666666661</c:v>
                </c:pt>
                <c:pt idx="150" formatCode="General">
                  <c:v>23.568536111111108</c:v>
                </c:pt>
                <c:pt idx="151" formatCode="General">
                  <c:v>24.547008333333338</c:v>
                </c:pt>
                <c:pt idx="152" formatCode="General">
                  <c:v>24.698397222222226</c:v>
                </c:pt>
                <c:pt idx="153" formatCode="General">
                  <c:v>23.931730555555554</c:v>
                </c:pt>
                <c:pt idx="154" formatCode="General">
                  <c:v>23.945619444444446</c:v>
                </c:pt>
                <c:pt idx="155" formatCode="General">
                  <c:v>25.031730555555569</c:v>
                </c:pt>
                <c:pt idx="156" formatCode="General">
                  <c:v>26.240758333333339</c:v>
                </c:pt>
                <c:pt idx="157" formatCode="General">
                  <c:v>27.201869444444448</c:v>
                </c:pt>
                <c:pt idx="158" formatCode="General">
                  <c:v>27.072008333333336</c:v>
                </c:pt>
                <c:pt idx="159" formatCode="General">
                  <c:v>21.844925000000018</c:v>
                </c:pt>
                <c:pt idx="160" formatCode="General">
                  <c:v>22.159508333333328</c:v>
                </c:pt>
                <c:pt idx="161" formatCode="General">
                  <c:v>23.472702777777776</c:v>
                </c:pt>
                <c:pt idx="162" formatCode="General">
                  <c:v>25.149091666666678</c:v>
                </c:pt>
                <c:pt idx="163" formatCode="General">
                  <c:v>26.706730555555559</c:v>
                </c:pt>
                <c:pt idx="164" formatCode="General">
                  <c:v>27.157425000000011</c:v>
                </c:pt>
                <c:pt idx="165" formatCode="General">
                  <c:v>25.325480555555558</c:v>
                </c:pt>
                <c:pt idx="166" formatCode="General">
                  <c:v>24.998397222222216</c:v>
                </c:pt>
                <c:pt idx="167" formatCode="General">
                  <c:v>23.557424999999995</c:v>
                </c:pt>
                <c:pt idx="168" formatCode="General">
                  <c:v>24.380341666666673</c:v>
                </c:pt>
                <c:pt idx="169" formatCode="General">
                  <c:v>26.184508333333333</c:v>
                </c:pt>
                <c:pt idx="170" formatCode="General">
                  <c:v>25.053952777777781</c:v>
                </c:pt>
                <c:pt idx="171" formatCode="General">
                  <c:v>23.219230555555548</c:v>
                </c:pt>
                <c:pt idx="172" formatCode="General">
                  <c:v>24.235202777777779</c:v>
                </c:pt>
                <c:pt idx="173" formatCode="General">
                  <c:v>25.038675000000005</c:v>
                </c:pt>
                <c:pt idx="174" formatCode="General">
                  <c:v>25.304647222222222</c:v>
                </c:pt>
                <c:pt idx="175" formatCode="General">
                  <c:v>25.131036111111108</c:v>
                </c:pt>
                <c:pt idx="176" formatCode="General">
                  <c:v>23.572702777777771</c:v>
                </c:pt>
                <c:pt idx="177" formatCode="General">
                  <c:v>21.921313888888889</c:v>
                </c:pt>
                <c:pt idx="178" formatCode="General">
                  <c:v>23.527563888888892</c:v>
                </c:pt>
                <c:pt idx="179" formatCode="General">
                  <c:v>24.829647222222228</c:v>
                </c:pt>
                <c:pt idx="180" formatCode="General">
                  <c:v>23.331730555555559</c:v>
                </c:pt>
                <c:pt idx="181" formatCode="General">
                  <c:v>25.424091666666669</c:v>
                </c:pt>
                <c:pt idx="182" formatCode="General">
                  <c:v>26.835202777777788</c:v>
                </c:pt>
                <c:pt idx="183" formatCode="General">
                  <c:v>27.690758333333342</c:v>
                </c:pt>
                <c:pt idx="184" formatCode="General">
                  <c:v>25.189369444444459</c:v>
                </c:pt>
                <c:pt idx="185" formatCode="General">
                  <c:v>24.634508333333336</c:v>
                </c:pt>
                <c:pt idx="186" formatCode="General">
                  <c:v>25.169925000000006</c:v>
                </c:pt>
                <c:pt idx="187" formatCode="General">
                  <c:v>25.779647222222223</c:v>
                </c:pt>
                <c:pt idx="188" formatCode="General">
                  <c:v>28.229647222222233</c:v>
                </c:pt>
                <c:pt idx="189" formatCode="General">
                  <c:v>29.822702777777771</c:v>
                </c:pt>
                <c:pt idx="190" formatCode="General">
                  <c:v>28.287980555555549</c:v>
                </c:pt>
                <c:pt idx="191" formatCode="General">
                  <c:v>24.478952777777771</c:v>
                </c:pt>
                <c:pt idx="192" formatCode="General">
                  <c:v>23.282425000000003</c:v>
                </c:pt>
                <c:pt idx="193" formatCode="General">
                  <c:v>25.548397222222228</c:v>
                </c:pt>
                <c:pt idx="194" formatCode="General">
                  <c:v>27.459508333333346</c:v>
                </c:pt>
                <c:pt idx="195" formatCode="General">
                  <c:v>26.698397222222226</c:v>
                </c:pt>
                <c:pt idx="196" formatCode="General">
                  <c:v>23.735897222222228</c:v>
                </c:pt>
                <c:pt idx="197" formatCode="General">
                  <c:v>22.999091666666672</c:v>
                </c:pt>
                <c:pt idx="198" formatCode="General">
                  <c:v>22.491452777777781</c:v>
                </c:pt>
                <c:pt idx="199" formatCode="General">
                  <c:v>23.929647222222222</c:v>
                </c:pt>
                <c:pt idx="200" formatCode="General">
                  <c:v>24.856036111111109</c:v>
                </c:pt>
                <c:pt idx="201" formatCode="General">
                  <c:v>24.049091666666676</c:v>
                </c:pt>
                <c:pt idx="202" formatCode="General">
                  <c:v>25.137980555555558</c:v>
                </c:pt>
                <c:pt idx="203" formatCode="General">
                  <c:v>25.256730555555563</c:v>
                </c:pt>
                <c:pt idx="204" formatCode="General">
                  <c:v>27.249091666666679</c:v>
                </c:pt>
                <c:pt idx="205" formatCode="General">
                  <c:v>27.329647222222228</c:v>
                </c:pt>
                <c:pt idx="206" formatCode="General">
                  <c:v>24.119230555555554</c:v>
                </c:pt>
                <c:pt idx="207" formatCode="General">
                  <c:v>23.349786111111108</c:v>
                </c:pt>
                <c:pt idx="208" formatCode="General">
                  <c:v>23.999091666666672</c:v>
                </c:pt>
                <c:pt idx="209" formatCode="General">
                  <c:v>24.033813888888893</c:v>
                </c:pt>
                <c:pt idx="210" formatCode="General">
                  <c:v>24.773397222222229</c:v>
                </c:pt>
                <c:pt idx="211" formatCode="General">
                  <c:v>25.518536111111118</c:v>
                </c:pt>
                <c:pt idx="212" formatCode="General">
                  <c:v>26.447008333333343</c:v>
                </c:pt>
                <c:pt idx="213" formatCode="General">
                  <c:v>26.930341666666664</c:v>
                </c:pt>
                <c:pt idx="214" formatCode="General">
                  <c:v>27.257425000000019</c:v>
                </c:pt>
                <c:pt idx="215" formatCode="General">
                  <c:v>27.995619444444458</c:v>
                </c:pt>
                <c:pt idx="216" formatCode="General">
                  <c:v>27.437286111111128</c:v>
                </c:pt>
                <c:pt idx="217" formatCode="General">
                  <c:v>26.723397222222218</c:v>
                </c:pt>
                <c:pt idx="218" formatCode="General">
                  <c:v>24.686591666666672</c:v>
                </c:pt>
                <c:pt idx="219" formatCode="General">
                  <c:v>25.244230555555546</c:v>
                </c:pt>
                <c:pt idx="220" formatCode="General">
                  <c:v>25.513674999999999</c:v>
                </c:pt>
                <c:pt idx="221" formatCode="General">
                  <c:v>26.173397222222228</c:v>
                </c:pt>
                <c:pt idx="222" formatCode="General">
                  <c:v>25.002563888888893</c:v>
                </c:pt>
                <c:pt idx="223" formatCode="General">
                  <c:v>26.192494444444456</c:v>
                </c:pt>
                <c:pt idx="224" formatCode="General">
                  <c:v>27.090063888888885</c:v>
                </c:pt>
                <c:pt idx="225" formatCode="General">
                  <c:v>27.913675000000012</c:v>
                </c:pt>
                <c:pt idx="226" formatCode="General">
                  <c:v>27.872702777777782</c:v>
                </c:pt>
                <c:pt idx="227" formatCode="General">
                  <c:v>24.490063888888884</c:v>
                </c:pt>
                <c:pt idx="228" formatCode="General">
                  <c:v>22.228952777777778</c:v>
                </c:pt>
                <c:pt idx="229" formatCode="General">
                  <c:v>21.918536111111109</c:v>
                </c:pt>
                <c:pt idx="230" formatCode="General">
                  <c:v>22.027563888888885</c:v>
                </c:pt>
                <c:pt idx="231" formatCode="General">
                  <c:v>22.544924999999999</c:v>
                </c:pt>
                <c:pt idx="232" formatCode="General">
                  <c:v>21.916452777777778</c:v>
                </c:pt>
                <c:pt idx="233" formatCode="General">
                  <c:v>21.833119444444449</c:v>
                </c:pt>
                <c:pt idx="234" formatCode="General">
                  <c:v>21.867841666666664</c:v>
                </c:pt>
                <c:pt idx="235" formatCode="General">
                  <c:v>22.463674999999995</c:v>
                </c:pt>
                <c:pt idx="236" formatCode="General">
                  <c:v>24.112286111111118</c:v>
                </c:pt>
                <c:pt idx="237" formatCode="General">
                  <c:v>24.550480555555566</c:v>
                </c:pt>
                <c:pt idx="238" formatCode="General">
                  <c:v>25.148397222222236</c:v>
                </c:pt>
                <c:pt idx="239" formatCode="General">
                  <c:v>24.809508333333341</c:v>
                </c:pt>
                <c:pt idx="240" formatCode="General">
                  <c:v>23.794925000000006</c:v>
                </c:pt>
                <c:pt idx="241" formatCode="General">
                  <c:v>20.608813888888896</c:v>
                </c:pt>
                <c:pt idx="242" formatCode="General">
                  <c:v>21.630341666666673</c:v>
                </c:pt>
                <c:pt idx="243" formatCode="General">
                  <c:v>22.787286111111108</c:v>
                </c:pt>
                <c:pt idx="244" formatCode="General">
                  <c:v>23.860202777777786</c:v>
                </c:pt>
                <c:pt idx="245" formatCode="General">
                  <c:v>24.531730555555562</c:v>
                </c:pt>
                <c:pt idx="246" formatCode="General">
                  <c:v>22.883813888888895</c:v>
                </c:pt>
                <c:pt idx="247" formatCode="General">
                  <c:v>20.758119444444453</c:v>
                </c:pt>
                <c:pt idx="248" formatCode="General">
                  <c:v>17.702563888888882</c:v>
                </c:pt>
                <c:pt idx="249" formatCode="General">
                  <c:v>16.540063888888881</c:v>
                </c:pt>
                <c:pt idx="250" formatCode="General">
                  <c:v>15.747702777777773</c:v>
                </c:pt>
                <c:pt idx="251" formatCode="General">
                  <c:v>16.404647222222216</c:v>
                </c:pt>
                <c:pt idx="252" formatCode="General">
                  <c:v>18.253258333333335</c:v>
                </c:pt>
                <c:pt idx="253" formatCode="General">
                  <c:v>19.310897222222216</c:v>
                </c:pt>
                <c:pt idx="254" formatCode="General">
                  <c:v>18.593536111111106</c:v>
                </c:pt>
                <c:pt idx="255" formatCode="General">
                  <c:v>17.901174999999995</c:v>
                </c:pt>
                <c:pt idx="256" formatCode="General">
                  <c:v>18.039369444444432</c:v>
                </c:pt>
                <c:pt idx="257" formatCode="General">
                  <c:v>17.722008333333328</c:v>
                </c:pt>
                <c:pt idx="258" formatCode="General">
                  <c:v>16.787980555555542</c:v>
                </c:pt>
                <c:pt idx="259" formatCode="General">
                  <c:v>14.707425000000001</c:v>
                </c:pt>
                <c:pt idx="260" formatCode="General">
                  <c:v>15.447008333333326</c:v>
                </c:pt>
                <c:pt idx="261" formatCode="General">
                  <c:v>15.960897222222215</c:v>
                </c:pt>
                <c:pt idx="262" formatCode="General">
                  <c:v>15.943536111111101</c:v>
                </c:pt>
                <c:pt idx="263" formatCode="General">
                  <c:v>16.902563888888885</c:v>
                </c:pt>
                <c:pt idx="264" formatCode="General">
                  <c:v>17.584508333333332</c:v>
                </c:pt>
                <c:pt idx="265" formatCode="General">
                  <c:v>16.949091666666661</c:v>
                </c:pt>
                <c:pt idx="266" formatCode="General">
                  <c:v>17.624786111111099</c:v>
                </c:pt>
                <c:pt idx="267" formatCode="General">
                  <c:v>17.822702777777771</c:v>
                </c:pt>
                <c:pt idx="268" formatCode="General">
                  <c:v>16.690063888888879</c:v>
                </c:pt>
                <c:pt idx="269" formatCode="General">
                  <c:v>15.991452777777774</c:v>
                </c:pt>
                <c:pt idx="270" formatCode="General">
                  <c:v>16.487286111111104</c:v>
                </c:pt>
                <c:pt idx="271" formatCode="General">
                  <c:v>15.831730555555549</c:v>
                </c:pt>
                <c:pt idx="272" formatCode="General">
                  <c:v>14.419230555555554</c:v>
                </c:pt>
                <c:pt idx="273" formatCode="General">
                  <c:v>14.36436944444444</c:v>
                </c:pt>
                <c:pt idx="274" formatCode="General">
                  <c:v>14.522008333333323</c:v>
                </c:pt>
                <c:pt idx="275" formatCode="General">
                  <c:v>15.145619444444435</c:v>
                </c:pt>
                <c:pt idx="276" formatCode="General">
                  <c:v>15.204647222222219</c:v>
                </c:pt>
                <c:pt idx="277" formatCode="General">
                  <c:v>16.052563888888884</c:v>
                </c:pt>
                <c:pt idx="278" formatCode="General">
                  <c:v>16.789369444444439</c:v>
                </c:pt>
                <c:pt idx="279" formatCode="General">
                  <c:v>17.126174999999996</c:v>
                </c:pt>
                <c:pt idx="280" formatCode="General">
                  <c:v>16.926869444444435</c:v>
                </c:pt>
                <c:pt idx="281" formatCode="General">
                  <c:v>15.00186944444444</c:v>
                </c:pt>
                <c:pt idx="282" formatCode="General">
                  <c:v>13.620619444444452</c:v>
                </c:pt>
                <c:pt idx="283" formatCode="General">
                  <c:v>15.940063888888883</c:v>
                </c:pt>
                <c:pt idx="284" formatCode="General">
                  <c:v>16.991452777777781</c:v>
                </c:pt>
                <c:pt idx="285" formatCode="General">
                  <c:v>16.595619444444434</c:v>
                </c:pt>
                <c:pt idx="286" formatCode="General">
                  <c:v>16.730341666666661</c:v>
                </c:pt>
                <c:pt idx="287" formatCode="General">
                  <c:v>16.911591666666663</c:v>
                </c:pt>
                <c:pt idx="288" formatCode="General">
                  <c:v>16.844230555555555</c:v>
                </c:pt>
                <c:pt idx="289" formatCode="General">
                  <c:v>17.212980555555546</c:v>
                </c:pt>
                <c:pt idx="290" formatCode="General">
                  <c:v>17.550480555555552</c:v>
                </c:pt>
                <c:pt idx="291" formatCode="General">
                  <c:v>17.441452777777769</c:v>
                </c:pt>
                <c:pt idx="292" formatCode="General">
                  <c:v>17.223397222222214</c:v>
                </c:pt>
                <c:pt idx="293" formatCode="General">
                  <c:v>22.622008333333348</c:v>
                </c:pt>
                <c:pt idx="294" formatCode="General">
                  <c:v>15.782424999999996</c:v>
                </c:pt>
                <c:pt idx="295" formatCode="General">
                  <c:v>14.338674999999999</c:v>
                </c:pt>
                <c:pt idx="296" formatCode="General">
                  <c:v>13.904647222222222</c:v>
                </c:pt>
                <c:pt idx="297" formatCode="General">
                  <c:v>13.909508333333331</c:v>
                </c:pt>
                <c:pt idx="298" formatCode="General">
                  <c:v>12.886591666666659</c:v>
                </c:pt>
                <c:pt idx="299" formatCode="General">
                  <c:v>13.084508333333318</c:v>
                </c:pt>
                <c:pt idx="300" formatCode="General">
                  <c:v>13.742841666666676</c:v>
                </c:pt>
                <c:pt idx="301" formatCode="General">
                  <c:v>13.926869444444437</c:v>
                </c:pt>
                <c:pt idx="302" formatCode="General">
                  <c:v>13.928952777777777</c:v>
                </c:pt>
                <c:pt idx="303" formatCode="General">
                  <c:v>13.872008333333335</c:v>
                </c:pt>
                <c:pt idx="304" formatCode="General">
                  <c:v>13.437286111111103</c:v>
                </c:pt>
                <c:pt idx="305" formatCode="General">
                  <c:v>12.740063888888882</c:v>
                </c:pt>
                <c:pt idx="306" formatCode="General">
                  <c:v>11.790758333333329</c:v>
                </c:pt>
                <c:pt idx="307" formatCode="General">
                  <c:v>9.5032583333333296</c:v>
                </c:pt>
                <c:pt idx="308" formatCode="General">
                  <c:v>11.21714722222222</c:v>
                </c:pt>
                <c:pt idx="309" formatCode="General">
                  <c:v>12.656036111111112</c:v>
                </c:pt>
                <c:pt idx="310" formatCode="General">
                  <c:v>12.345619444444436</c:v>
                </c:pt>
                <c:pt idx="311" formatCode="General">
                  <c:v>11.078258333333331</c:v>
                </c:pt>
                <c:pt idx="312" formatCode="General">
                  <c:v>8.3386749999999985</c:v>
                </c:pt>
                <c:pt idx="313" formatCode="General">
                  <c:v>5.2206194444444458</c:v>
                </c:pt>
                <c:pt idx="314" formatCode="General">
                  <c:v>7.7199250000000026</c:v>
                </c:pt>
                <c:pt idx="315" formatCode="General">
                  <c:v>8.7629805555555613</c:v>
                </c:pt>
                <c:pt idx="316" formatCode="General">
                  <c:v>9.9525638888888857</c:v>
                </c:pt>
                <c:pt idx="317" formatCode="General">
                  <c:v>10.231730555555554</c:v>
                </c:pt>
                <c:pt idx="318" formatCode="General">
                  <c:v>10.579647222222224</c:v>
                </c:pt>
                <c:pt idx="319" formatCode="General">
                  <c:v>9.4303416666666653</c:v>
                </c:pt>
                <c:pt idx="320" formatCode="General">
                  <c:v>9.2914527777777725</c:v>
                </c:pt>
                <c:pt idx="321" formatCode="General">
                  <c:v>10.700480555555561</c:v>
                </c:pt>
                <c:pt idx="322" formatCode="General">
                  <c:v>10.445619444444443</c:v>
                </c:pt>
                <c:pt idx="323" formatCode="General">
                  <c:v>9.9129805555555528</c:v>
                </c:pt>
                <c:pt idx="324" formatCode="General">
                  <c:v>8.1025638888888913</c:v>
                </c:pt>
                <c:pt idx="325" formatCode="General">
                  <c:v>7.1247861111111153</c:v>
                </c:pt>
                <c:pt idx="326" formatCode="General">
                  <c:v>5.1511749999999994</c:v>
                </c:pt>
                <c:pt idx="327" formatCode="General">
                  <c:v>3.9574249999999993</c:v>
                </c:pt>
                <c:pt idx="328" formatCode="General">
                  <c:v>6.012980555555556</c:v>
                </c:pt>
                <c:pt idx="329" formatCode="General">
                  <c:v>7.1560361111111082</c:v>
                </c:pt>
                <c:pt idx="330" formatCode="General">
                  <c:v>7.0067305555555555</c:v>
                </c:pt>
                <c:pt idx="331" formatCode="General">
                  <c:v>6.7838138888888935</c:v>
                </c:pt>
                <c:pt idx="332" formatCode="General">
                  <c:v>5.5886749999999994</c:v>
                </c:pt>
                <c:pt idx="333" formatCode="General">
                  <c:v>5.072702777777776</c:v>
                </c:pt>
                <c:pt idx="334" formatCode="General">
                  <c:v>5.3782583333333349</c:v>
                </c:pt>
                <c:pt idx="335" formatCode="General">
                  <c:v>4.9338138888888894</c:v>
                </c:pt>
                <c:pt idx="336" formatCode="General">
                  <c:v>4.9928416666666671</c:v>
                </c:pt>
                <c:pt idx="337" formatCode="General">
                  <c:v>5.1386750000000019</c:v>
                </c:pt>
                <c:pt idx="338" formatCode="General">
                  <c:v>5.1334666666666653</c:v>
                </c:pt>
                <c:pt idx="339" formatCode="General">
                  <c:v>5.2622861111111128</c:v>
                </c:pt>
                <c:pt idx="340" formatCode="General">
                  <c:v>5.1983972222222228</c:v>
                </c:pt>
                <c:pt idx="341" formatCode="General">
                  <c:v>4.7560361111111131</c:v>
                </c:pt>
                <c:pt idx="342" formatCode="General">
                  <c:v>4.0282583333333326</c:v>
                </c:pt>
                <c:pt idx="343" formatCode="General">
                  <c:v>6.3379805555555579</c:v>
                </c:pt>
                <c:pt idx="344" formatCode="General">
                  <c:v>7.7338138888888937</c:v>
                </c:pt>
                <c:pt idx="345" formatCode="General">
                  <c:v>9.2532583333333314</c:v>
                </c:pt>
                <c:pt idx="346" formatCode="General">
                  <c:v>10.25325833333334</c:v>
                </c:pt>
                <c:pt idx="347" formatCode="General">
                  <c:v>10.389369444444437</c:v>
                </c:pt>
                <c:pt idx="348" formatCode="General">
                  <c:v>9.9872861111111106</c:v>
                </c:pt>
                <c:pt idx="349" formatCode="General">
                  <c:v>9.3983972222222238</c:v>
                </c:pt>
                <c:pt idx="350" formatCode="General">
                  <c:v>7.6588138888888837</c:v>
                </c:pt>
                <c:pt idx="351" formatCode="General">
                  <c:v>9.9574250000000006</c:v>
                </c:pt>
                <c:pt idx="352" formatCode="General">
                  <c:v>10.756730555555551</c:v>
                </c:pt>
                <c:pt idx="353" formatCode="General">
                  <c:v>8.8838138888888896</c:v>
                </c:pt>
                <c:pt idx="354" formatCode="General">
                  <c:v>13.008119444444439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8-4E74-8A07-E66731B89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204288"/>
        <c:axId val="768737872"/>
      </c:lineChart>
      <c:catAx>
        <c:axId val="672204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68737872"/>
        <c:crosses val="autoZero"/>
        <c:auto val="1"/>
        <c:lblAlgn val="ctr"/>
        <c:lblOffset val="100"/>
        <c:noMultiLvlLbl val="0"/>
      </c:catAx>
      <c:valAx>
        <c:axId val="7687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220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Overschrijdingstemperatuur gemiddeld eens per jaar voor 7 aaneensluitende</a:t>
            </a:r>
            <a:r>
              <a:rPr lang="nl-NL" baseline="0"/>
              <a:t> dagen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'Tinput for haarvaten Klimaat''14'!$D$3:$AC$3</c:f>
              <c:numCache>
                <c:formatCode>General</c:formatCode>
                <c:ptCount val="26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  <c:pt idx="10">
                  <c:v>0.75000000000000011</c:v>
                </c:pt>
                <c:pt idx="11">
                  <c:v>0.80000000000000016</c:v>
                </c:pt>
                <c:pt idx="12">
                  <c:v>0.8500000000000002</c:v>
                </c:pt>
                <c:pt idx="13">
                  <c:v>0.90000000000000024</c:v>
                </c:pt>
                <c:pt idx="14">
                  <c:v>0.95000000000000029</c:v>
                </c:pt>
                <c:pt idx="15">
                  <c:v>1.0000000000000002</c:v>
                </c:pt>
                <c:pt idx="16">
                  <c:v>1.0500000000000003</c:v>
                </c:pt>
                <c:pt idx="17">
                  <c:v>1.1000000000000003</c:v>
                </c:pt>
                <c:pt idx="18">
                  <c:v>1.1500000000000004</c:v>
                </c:pt>
                <c:pt idx="19">
                  <c:v>1.2000000000000004</c:v>
                </c:pt>
                <c:pt idx="20">
                  <c:v>1.2500000000000004</c:v>
                </c:pt>
                <c:pt idx="21">
                  <c:v>1.3000000000000005</c:v>
                </c:pt>
                <c:pt idx="22">
                  <c:v>1.3500000000000005</c:v>
                </c:pt>
                <c:pt idx="23">
                  <c:v>1.4000000000000006</c:v>
                </c:pt>
                <c:pt idx="24">
                  <c:v>1.4500000000000006</c:v>
                </c:pt>
                <c:pt idx="25">
                  <c:v>1.5000000000000007</c:v>
                </c:pt>
              </c:numCache>
            </c:numRef>
          </c:xVal>
          <c:yVal>
            <c:numRef>
              <c:f>'Tinput for haarvaten Klimaat''14'!$D$4:$AC$4</c:f>
              <c:numCache>
                <c:formatCode>0.00</c:formatCode>
                <c:ptCount val="26"/>
                <c:pt idx="0">
                  <c:v>25.002168982950845</c:v>
                </c:pt>
                <c:pt idx="1">
                  <c:v>24.927963982950846</c:v>
                </c:pt>
                <c:pt idx="2">
                  <c:v>24.853758982950847</c:v>
                </c:pt>
                <c:pt idx="3">
                  <c:v>24.779553982950848</c:v>
                </c:pt>
                <c:pt idx="4">
                  <c:v>24.705348982950849</c:v>
                </c:pt>
                <c:pt idx="5">
                  <c:v>24.631143982950842</c:v>
                </c:pt>
                <c:pt idx="6">
                  <c:v>24.556938982950843</c:v>
                </c:pt>
                <c:pt idx="7">
                  <c:v>24.482733982950844</c:v>
                </c:pt>
                <c:pt idx="8">
                  <c:v>24.408528982950845</c:v>
                </c:pt>
                <c:pt idx="9">
                  <c:v>24.334323982950846</c:v>
                </c:pt>
                <c:pt idx="10">
                  <c:v>24.260118982950846</c:v>
                </c:pt>
                <c:pt idx="11">
                  <c:v>24.185913982950847</c:v>
                </c:pt>
                <c:pt idx="12">
                  <c:v>24.111708982950848</c:v>
                </c:pt>
                <c:pt idx="13">
                  <c:v>24.037503982950849</c:v>
                </c:pt>
                <c:pt idx="14">
                  <c:v>23.963298982950842</c:v>
                </c:pt>
                <c:pt idx="15">
                  <c:v>23.889093982950843</c:v>
                </c:pt>
                <c:pt idx="16">
                  <c:v>23.814888982950844</c:v>
                </c:pt>
                <c:pt idx="17">
                  <c:v>23.740683982950845</c:v>
                </c:pt>
                <c:pt idx="18">
                  <c:v>23.666478982950846</c:v>
                </c:pt>
                <c:pt idx="19">
                  <c:v>23.592273982950847</c:v>
                </c:pt>
                <c:pt idx="20">
                  <c:v>23.518068982950847</c:v>
                </c:pt>
                <c:pt idx="21">
                  <c:v>23.443863982950848</c:v>
                </c:pt>
                <c:pt idx="22">
                  <c:v>23.369658982950842</c:v>
                </c:pt>
                <c:pt idx="23">
                  <c:v>23.295453982950843</c:v>
                </c:pt>
                <c:pt idx="24">
                  <c:v>23.221248982950843</c:v>
                </c:pt>
                <c:pt idx="25">
                  <c:v>23.147043982950844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B-42E3-A9C5-886F73633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135024"/>
        <c:axId val="1575916192"/>
      </c:scatterChart>
      <c:valAx>
        <c:axId val="155713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Diepte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75916192"/>
        <c:crosses val="autoZero"/>
        <c:crossBetween val="midCat"/>
      </c:valAx>
      <c:valAx>
        <c:axId val="157591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5713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260350</xdr:colOff>
      <xdr:row>9</xdr:row>
      <xdr:rowOff>3173</xdr:rowOff>
    </xdr:from>
    <xdr:to>
      <xdr:col>17</xdr:col>
      <xdr:colOff>527050</xdr:colOff>
      <xdr:row>51</xdr:row>
      <xdr:rowOff>142874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30480</xdr:rowOff>
        </xdr:from>
        <xdr:to>
          <xdr:col>14</xdr:col>
          <xdr:colOff>160020</xdr:colOff>
          <xdr:row>4</xdr:row>
          <xdr:rowOff>144780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0</xdr:rowOff>
    </xdr:from>
    <xdr:to>
      <xdr:col>24</xdr:col>
      <xdr:colOff>142875</xdr:colOff>
      <xdr:row>40</xdr:row>
      <xdr:rowOff>123825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673316</xdr:colOff>
      <xdr:row>8</xdr:row>
      <xdr:rowOff>144517</xdr:rowOff>
    </xdr:from>
    <xdr:to>
      <xdr:col>15</xdr:col>
      <xdr:colOff>26274</xdr:colOff>
      <xdr:row>38</xdr:row>
      <xdr:rowOff>13137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17</xdr:row>
      <xdr:rowOff>142875</xdr:rowOff>
    </xdr:from>
    <xdr:to>
      <xdr:col>21</xdr:col>
      <xdr:colOff>416802</xdr:colOff>
      <xdr:row>53</xdr:row>
      <xdr:rowOff>127109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280986</xdr:colOff>
      <xdr:row>309</xdr:row>
      <xdr:rowOff>114301</xdr:rowOff>
    </xdr:from>
    <xdr:to>
      <xdr:col>18</xdr:col>
      <xdr:colOff>647699</xdr:colOff>
      <xdr:row>355</xdr:row>
      <xdr:rowOff>28575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388620</xdr:colOff>
      <xdr:row>4</xdr:row>
      <xdr:rowOff>114300</xdr:rowOff>
    </xdr:from>
    <xdr:to>
      <xdr:col>23</xdr:col>
      <xdr:colOff>571500</xdr:colOff>
      <xdr:row>21</xdr:row>
      <xdr:rowOff>137160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17</xdr:row>
      <xdr:rowOff>142875</xdr:rowOff>
    </xdr:from>
    <xdr:to>
      <xdr:col>21</xdr:col>
      <xdr:colOff>416802</xdr:colOff>
      <xdr:row>53</xdr:row>
      <xdr:rowOff>127109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280986</xdr:colOff>
      <xdr:row>309</xdr:row>
      <xdr:rowOff>114301</xdr:rowOff>
    </xdr:from>
    <xdr:to>
      <xdr:col>18</xdr:col>
      <xdr:colOff>647699</xdr:colOff>
      <xdr:row>355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388620</xdr:colOff>
      <xdr:row>4</xdr:row>
      <xdr:rowOff>114300</xdr:rowOff>
    </xdr:from>
    <xdr:to>
      <xdr:col>23</xdr:col>
      <xdr:colOff>571500</xdr:colOff>
      <xdr:row>21</xdr:row>
      <xdr:rowOff>137160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8472A-9AB1-4300-9E4A-CE56E55C89B5}">
  <sheetPr codeName="Blad1">
    <tabColor rgb="FFFFFF00"/>
  </sheetPr>
  <dimension ref="A1:L356"/>
  <sheetViews>
    <sheetView workbookViewId="0">
      <selection activeCell="C12" sqref="C12"/>
    </sheetView>
  </sheetViews>
  <sheetFormatPr defaultRowHeight="12.6" x14ac:dyDescent="0.2"/>
  <cols>
    <col min="1" max="1" width="10.6328125" bestFit="1" customWidth="1"/>
    <col min="4" max="4" width="12.08984375" bestFit="1" customWidth="1"/>
    <col min="5" max="5" width="15.26953125" bestFit="1" customWidth="1"/>
    <col min="7" max="7" width="20.7265625" bestFit="1" customWidth="1"/>
    <col min="8" max="8" width="11.26953125" bestFit="1" customWidth="1"/>
    <col min="9" max="9" width="12.6328125" bestFit="1" customWidth="1"/>
    <col min="10" max="10" width="16" bestFit="1" customWidth="1"/>
  </cols>
  <sheetData>
    <row r="1" spans="1:12" x14ac:dyDescent="0.2">
      <c r="B1" t="s">
        <v>9</v>
      </c>
      <c r="C1" s="1" t="s">
        <v>10</v>
      </c>
      <c r="D1" t="s">
        <v>11</v>
      </c>
      <c r="E1" s="1" t="s">
        <v>12</v>
      </c>
      <c r="G1" s="12" t="s">
        <v>13</v>
      </c>
      <c r="H1" s="12"/>
      <c r="I1" s="12"/>
      <c r="J1" s="12"/>
      <c r="K1" s="12"/>
      <c r="L1" s="12"/>
    </row>
    <row r="2" spans="1:12" x14ac:dyDescent="0.2">
      <c r="B2" s="3" cm="1">
        <f t="array" ref="B2">AvgExceedenceValueContiguous($B3:$B355,B3:B355,7)</f>
        <v>23.189656066894528</v>
      </c>
      <c r="C2" s="3" cm="1">
        <f t="array" ref="C2">AvgExceedenceValueContiguous($B3:$B355,C3:C355,7)</f>
        <v>23.585430908203122</v>
      </c>
      <c r="D2" s="3" cm="1">
        <f t="array" ref="D2">AvgExceedenceValueContiguous($B3:$B355,D3:D355,7)</f>
        <v>26.489656066894533</v>
      </c>
      <c r="E2" s="3" cm="1">
        <f t="array" ref="E2">AvgExceedenceValueContiguous($B3:$B355,E3:E355,7)</f>
        <v>27.085430908203122</v>
      </c>
      <c r="G2" s="12"/>
      <c r="H2" s="12"/>
      <c r="I2" s="12"/>
      <c r="J2" s="12"/>
      <c r="K2" s="12"/>
      <c r="L2" s="12"/>
    </row>
    <row r="3" spans="1:12" x14ac:dyDescent="0.2">
      <c r="A3" s="9">
        <v>44573</v>
      </c>
      <c r="B3">
        <v>4.3899999999999997</v>
      </c>
      <c r="C3" s="10">
        <v>6.34</v>
      </c>
      <c r="D3">
        <f>B3+3.3</f>
        <v>7.6899999999999995</v>
      </c>
      <c r="E3" s="3">
        <f>C3+3.5</f>
        <v>9.84</v>
      </c>
      <c r="G3" s="12" t="s">
        <v>9</v>
      </c>
      <c r="H3" s="13" t="s">
        <v>10</v>
      </c>
      <c r="I3" s="12" t="s">
        <v>11</v>
      </c>
      <c r="J3" s="13" t="s">
        <v>12</v>
      </c>
      <c r="K3" s="12"/>
      <c r="L3" s="12"/>
    </row>
    <row r="4" spans="1:12" x14ac:dyDescent="0.2">
      <c r="A4" s="9">
        <v>44574</v>
      </c>
      <c r="B4">
        <v>4.62</v>
      </c>
      <c r="C4" s="10">
        <v>6.55</v>
      </c>
      <c r="D4">
        <f t="shared" ref="D4:D67" si="0">B4+3.3</f>
        <v>7.92</v>
      </c>
      <c r="E4" s="3">
        <f t="shared" ref="E4:E67" si="1">C4+3.5</f>
        <v>10.050000000000001</v>
      </c>
      <c r="G4" s="12">
        <f>COUNTIF(B3:B355,"&gt;25")</f>
        <v>9</v>
      </c>
      <c r="H4" s="12">
        <f>COUNTIF(C3:C355,"&gt;25")</f>
        <v>6</v>
      </c>
      <c r="I4" s="12">
        <f>COUNTIF(D3:D355,"&gt;25")</f>
        <v>76</v>
      </c>
      <c r="J4" s="12">
        <f>COUNTIF(E3:E355,"&gt;25")</f>
        <v>88</v>
      </c>
      <c r="K4" s="12" t="s">
        <v>14</v>
      </c>
      <c r="L4" s="12"/>
    </row>
    <row r="5" spans="1:12" x14ac:dyDescent="0.2">
      <c r="A5" s="9">
        <v>44575</v>
      </c>
      <c r="B5">
        <v>4.6500000000000004</v>
      </c>
      <c r="C5" s="10">
        <v>6.4749999999999996</v>
      </c>
      <c r="D5">
        <f t="shared" si="0"/>
        <v>7.95</v>
      </c>
      <c r="E5" s="3">
        <f t="shared" si="1"/>
        <v>9.9749999999999996</v>
      </c>
      <c r="G5" s="14">
        <f>G4/365</f>
        <v>2.4657534246575342E-2</v>
      </c>
      <c r="H5" s="14">
        <f>H4/365</f>
        <v>1.643835616438356E-2</v>
      </c>
      <c r="I5" s="14">
        <f>I4/365</f>
        <v>0.20821917808219179</v>
      </c>
      <c r="J5" s="14">
        <f>J4/365</f>
        <v>0.24109589041095891</v>
      </c>
      <c r="K5" s="12" t="s">
        <v>15</v>
      </c>
      <c r="L5" s="12"/>
    </row>
    <row r="6" spans="1:12" x14ac:dyDescent="0.2">
      <c r="A6" s="9">
        <v>44576</v>
      </c>
      <c r="B6">
        <v>4.66</v>
      </c>
      <c r="C6" s="10">
        <v>6.5600000000000005</v>
      </c>
      <c r="D6">
        <f t="shared" si="0"/>
        <v>7.96</v>
      </c>
      <c r="E6" s="3">
        <f t="shared" si="1"/>
        <v>10.06</v>
      </c>
      <c r="G6" s="12"/>
      <c r="H6" s="12"/>
      <c r="I6" s="12"/>
      <c r="J6" s="12"/>
      <c r="K6" s="12"/>
      <c r="L6" s="12"/>
    </row>
    <row r="7" spans="1:12" x14ac:dyDescent="0.2">
      <c r="A7" s="9">
        <v>44577</v>
      </c>
      <c r="B7">
        <v>4.62</v>
      </c>
      <c r="C7" s="10">
        <v>6.52</v>
      </c>
      <c r="D7">
        <f t="shared" si="0"/>
        <v>7.92</v>
      </c>
      <c r="E7" s="3">
        <f t="shared" si="1"/>
        <v>10.02</v>
      </c>
      <c r="G7" s="12"/>
      <c r="H7" s="12"/>
      <c r="I7" s="12"/>
      <c r="J7" s="12"/>
      <c r="K7" s="12"/>
      <c r="L7" s="12"/>
    </row>
    <row r="8" spans="1:12" x14ac:dyDescent="0.2">
      <c r="A8" s="9">
        <v>44578</v>
      </c>
      <c r="B8">
        <v>4.84</v>
      </c>
      <c r="C8" s="10">
        <v>6.32</v>
      </c>
      <c r="D8">
        <f t="shared" si="0"/>
        <v>8.14</v>
      </c>
      <c r="E8" s="3">
        <f t="shared" si="1"/>
        <v>9.82</v>
      </c>
    </row>
    <row r="9" spans="1:12" x14ac:dyDescent="0.2">
      <c r="A9" s="9">
        <v>44579</v>
      </c>
      <c r="B9">
        <v>4.68</v>
      </c>
      <c r="C9" s="10">
        <v>6.9049999999999994</v>
      </c>
      <c r="D9">
        <f t="shared" si="0"/>
        <v>7.9799999999999995</v>
      </c>
      <c r="E9" s="3">
        <f t="shared" si="1"/>
        <v>10.404999999999999</v>
      </c>
    </row>
    <row r="10" spans="1:12" x14ac:dyDescent="0.2">
      <c r="A10" s="9">
        <v>44580</v>
      </c>
      <c r="B10">
        <v>4.6500000000000004</v>
      </c>
      <c r="C10" s="10">
        <v>6.49</v>
      </c>
      <c r="D10">
        <f t="shared" si="0"/>
        <v>7.95</v>
      </c>
      <c r="E10" s="3">
        <f t="shared" si="1"/>
        <v>9.99</v>
      </c>
    </row>
    <row r="11" spans="1:12" x14ac:dyDescent="0.2">
      <c r="A11" s="9">
        <v>44581</v>
      </c>
      <c r="B11">
        <v>4.5199999999999996</v>
      </c>
      <c r="C11" s="10">
        <v>5.5750000000000002</v>
      </c>
      <c r="D11">
        <f t="shared" si="0"/>
        <v>7.8199999999999994</v>
      </c>
      <c r="E11" s="3">
        <f t="shared" si="1"/>
        <v>9.0749999999999993</v>
      </c>
    </row>
    <row r="12" spans="1:12" x14ac:dyDescent="0.2">
      <c r="A12" s="9">
        <v>44582</v>
      </c>
      <c r="B12">
        <v>4.1399999999999997</v>
      </c>
      <c r="C12" s="10">
        <v>5.23</v>
      </c>
      <c r="D12">
        <f t="shared" si="0"/>
        <v>7.4399999999999995</v>
      </c>
      <c r="E12" s="3">
        <f t="shared" si="1"/>
        <v>8.73</v>
      </c>
    </row>
    <row r="13" spans="1:12" x14ac:dyDescent="0.2">
      <c r="A13" s="9">
        <v>44583</v>
      </c>
      <c r="B13">
        <v>4.4400000000000004</v>
      </c>
      <c r="C13" s="10">
        <v>5.2649999999999997</v>
      </c>
      <c r="D13">
        <f t="shared" si="0"/>
        <v>7.74</v>
      </c>
      <c r="E13" s="3">
        <f t="shared" si="1"/>
        <v>8.7650000000000006</v>
      </c>
    </row>
    <row r="14" spans="1:12" x14ac:dyDescent="0.2">
      <c r="A14" s="9">
        <v>44584</v>
      </c>
      <c r="B14">
        <v>4.7699999999999996</v>
      </c>
      <c r="C14" s="10">
        <v>6.67</v>
      </c>
      <c r="D14">
        <f t="shared" si="0"/>
        <v>8.07</v>
      </c>
      <c r="E14" s="3">
        <f t="shared" si="1"/>
        <v>10.17</v>
      </c>
    </row>
    <row r="15" spans="1:12" x14ac:dyDescent="0.2">
      <c r="A15" s="9">
        <v>44585</v>
      </c>
      <c r="B15">
        <v>4.63</v>
      </c>
      <c r="C15" s="10">
        <v>6.7850000000000001</v>
      </c>
      <c r="D15">
        <f t="shared" si="0"/>
        <v>7.93</v>
      </c>
      <c r="E15" s="3">
        <f t="shared" si="1"/>
        <v>10.285</v>
      </c>
    </row>
    <row r="16" spans="1:12" x14ac:dyDescent="0.2">
      <c r="A16" s="9">
        <v>44586</v>
      </c>
      <c r="B16">
        <v>4.55</v>
      </c>
      <c r="C16" s="10">
        <v>6.97</v>
      </c>
      <c r="D16">
        <f t="shared" si="0"/>
        <v>7.85</v>
      </c>
      <c r="E16" s="3">
        <f t="shared" si="1"/>
        <v>10.469999999999999</v>
      </c>
    </row>
    <row r="17" spans="1:5" x14ac:dyDescent="0.2">
      <c r="A17" s="9">
        <v>44587</v>
      </c>
      <c r="B17">
        <v>4.3899999999999997</v>
      </c>
      <c r="C17" s="10">
        <v>6.6899999999999995</v>
      </c>
      <c r="D17">
        <f t="shared" si="0"/>
        <v>7.6899999999999995</v>
      </c>
      <c r="E17" s="3">
        <f t="shared" si="1"/>
        <v>10.19</v>
      </c>
    </row>
    <row r="18" spans="1:5" x14ac:dyDescent="0.2">
      <c r="A18" s="9">
        <v>44588</v>
      </c>
      <c r="B18">
        <v>4.9400000000000004</v>
      </c>
      <c r="C18" s="10">
        <v>5.66</v>
      </c>
      <c r="D18">
        <f t="shared" si="0"/>
        <v>8.24</v>
      </c>
      <c r="E18" s="3">
        <f t="shared" si="1"/>
        <v>9.16</v>
      </c>
    </row>
    <row r="19" spans="1:5" x14ac:dyDescent="0.2">
      <c r="A19" s="9">
        <v>44589</v>
      </c>
      <c r="B19">
        <v>4.8600000000000003</v>
      </c>
      <c r="C19" s="10">
        <v>6.875</v>
      </c>
      <c r="D19">
        <f t="shared" si="0"/>
        <v>8.16</v>
      </c>
      <c r="E19" s="3">
        <f t="shared" si="1"/>
        <v>10.375</v>
      </c>
    </row>
    <row r="20" spans="1:5" x14ac:dyDescent="0.2">
      <c r="A20" s="9">
        <v>44590</v>
      </c>
      <c r="B20">
        <v>5.94</v>
      </c>
      <c r="C20" s="10">
        <v>6.51</v>
      </c>
      <c r="D20">
        <f t="shared" si="0"/>
        <v>9.24</v>
      </c>
      <c r="E20" s="3">
        <f t="shared" si="1"/>
        <v>10.01</v>
      </c>
    </row>
    <row r="21" spans="1:5" x14ac:dyDescent="0.2">
      <c r="A21" s="9">
        <v>44591</v>
      </c>
      <c r="B21">
        <v>5.83</v>
      </c>
      <c r="C21" s="10">
        <v>7.2050000000000001</v>
      </c>
      <c r="D21">
        <f t="shared" si="0"/>
        <v>9.129999999999999</v>
      </c>
      <c r="E21" s="3">
        <f t="shared" si="1"/>
        <v>10.705</v>
      </c>
    </row>
    <row r="22" spans="1:5" x14ac:dyDescent="0.2">
      <c r="A22" s="9">
        <v>44592</v>
      </c>
      <c r="B22">
        <v>5.5</v>
      </c>
      <c r="C22" s="10">
        <v>6.3100000000000005</v>
      </c>
      <c r="D22">
        <f t="shared" si="0"/>
        <v>8.8000000000000007</v>
      </c>
      <c r="E22" s="3">
        <f t="shared" si="1"/>
        <v>9.81</v>
      </c>
    </row>
    <row r="23" spans="1:5" x14ac:dyDescent="0.2">
      <c r="A23" s="9">
        <v>44593</v>
      </c>
      <c r="B23">
        <v>5.55</v>
      </c>
      <c r="C23" s="10">
        <v>6.8599999999999994</v>
      </c>
      <c r="D23">
        <f t="shared" si="0"/>
        <v>8.85</v>
      </c>
      <c r="E23" s="3">
        <f t="shared" si="1"/>
        <v>10.36</v>
      </c>
    </row>
    <row r="24" spans="1:5" x14ac:dyDescent="0.2">
      <c r="A24" s="9">
        <v>44594</v>
      </c>
      <c r="B24">
        <v>5.96</v>
      </c>
      <c r="C24" s="10">
        <v>7.2750000000000004</v>
      </c>
      <c r="D24">
        <f t="shared" si="0"/>
        <v>9.26</v>
      </c>
      <c r="E24" s="3">
        <f t="shared" si="1"/>
        <v>10.775</v>
      </c>
    </row>
    <row r="25" spans="1:5" x14ac:dyDescent="0.2">
      <c r="A25" s="9">
        <v>44595</v>
      </c>
      <c r="B25" s="3">
        <v>6.02</v>
      </c>
      <c r="C25" s="10">
        <v>7.370000000000001</v>
      </c>
      <c r="D25">
        <f t="shared" si="0"/>
        <v>9.32</v>
      </c>
      <c r="E25" s="3">
        <f t="shared" si="1"/>
        <v>10.870000000000001</v>
      </c>
    </row>
    <row r="26" spans="1:5" x14ac:dyDescent="0.2">
      <c r="A26" s="9">
        <v>44596</v>
      </c>
      <c r="B26" s="3">
        <v>6.0550000000000006</v>
      </c>
      <c r="C26" s="10">
        <v>7.34</v>
      </c>
      <c r="D26">
        <f t="shared" si="0"/>
        <v>9.3550000000000004</v>
      </c>
      <c r="E26" s="3">
        <f t="shared" si="1"/>
        <v>10.84</v>
      </c>
    </row>
    <row r="27" spans="1:5" x14ac:dyDescent="0.2">
      <c r="A27" s="9">
        <v>44597</v>
      </c>
      <c r="B27" s="3">
        <v>6.1025000000000009</v>
      </c>
      <c r="C27" s="10">
        <v>6.79</v>
      </c>
      <c r="D27">
        <f t="shared" si="0"/>
        <v>9.4024999999999999</v>
      </c>
      <c r="E27" s="3">
        <f t="shared" si="1"/>
        <v>10.29</v>
      </c>
    </row>
    <row r="28" spans="1:5" x14ac:dyDescent="0.2">
      <c r="A28" s="9">
        <v>44598</v>
      </c>
      <c r="B28" s="3">
        <v>6.1500000000000012</v>
      </c>
      <c r="C28" s="10">
        <v>7.7750000000000004</v>
      </c>
      <c r="D28">
        <f t="shared" si="0"/>
        <v>9.4500000000000011</v>
      </c>
      <c r="E28" s="3">
        <f t="shared" si="1"/>
        <v>11.275</v>
      </c>
    </row>
    <row r="29" spans="1:5" x14ac:dyDescent="0.2">
      <c r="A29" s="9">
        <v>44599</v>
      </c>
      <c r="B29" s="3">
        <v>6.1975000000000016</v>
      </c>
      <c r="C29" s="10">
        <v>7.125</v>
      </c>
      <c r="D29">
        <f t="shared" si="0"/>
        <v>9.4975000000000023</v>
      </c>
      <c r="E29" s="3">
        <f t="shared" si="1"/>
        <v>10.625</v>
      </c>
    </row>
    <row r="30" spans="1:5" x14ac:dyDescent="0.2">
      <c r="A30" s="9">
        <v>44600</v>
      </c>
      <c r="B30" s="3">
        <v>6.2450000000000019</v>
      </c>
      <c r="C30" s="10">
        <v>7.5250000000000004</v>
      </c>
      <c r="D30">
        <f t="shared" si="0"/>
        <v>9.5450000000000017</v>
      </c>
      <c r="E30" s="3">
        <f t="shared" si="1"/>
        <v>11.025</v>
      </c>
    </row>
    <row r="31" spans="1:5" x14ac:dyDescent="0.2">
      <c r="A31" s="9">
        <v>44601</v>
      </c>
      <c r="B31" s="3">
        <v>6.2925000000000022</v>
      </c>
      <c r="C31" s="10">
        <v>8.19</v>
      </c>
      <c r="D31">
        <f t="shared" si="0"/>
        <v>9.5925000000000011</v>
      </c>
      <c r="E31" s="3">
        <f t="shared" si="1"/>
        <v>11.69</v>
      </c>
    </row>
    <row r="32" spans="1:5" x14ac:dyDescent="0.2">
      <c r="A32" s="9">
        <v>44602</v>
      </c>
      <c r="B32" s="3">
        <v>6.3400000000000025</v>
      </c>
      <c r="C32" s="10">
        <v>8.25</v>
      </c>
      <c r="D32">
        <f t="shared" si="0"/>
        <v>9.6400000000000023</v>
      </c>
      <c r="E32" s="3">
        <f t="shared" si="1"/>
        <v>11.75</v>
      </c>
    </row>
    <row r="33" spans="1:5" x14ac:dyDescent="0.2">
      <c r="A33" s="9">
        <v>44603</v>
      </c>
      <c r="B33" s="3">
        <v>6.3875000000000028</v>
      </c>
      <c r="C33" s="10">
        <v>7.745000000000001</v>
      </c>
      <c r="D33">
        <f t="shared" si="0"/>
        <v>9.6875000000000036</v>
      </c>
      <c r="E33" s="3">
        <f t="shared" si="1"/>
        <v>11.245000000000001</v>
      </c>
    </row>
    <row r="34" spans="1:5" x14ac:dyDescent="0.2">
      <c r="A34" s="9">
        <v>44604</v>
      </c>
      <c r="B34" s="3">
        <v>6.4350000000000032</v>
      </c>
      <c r="C34" s="10">
        <v>7.5400000000000009</v>
      </c>
      <c r="D34">
        <f t="shared" si="0"/>
        <v>9.735000000000003</v>
      </c>
      <c r="E34" s="3">
        <f t="shared" si="1"/>
        <v>11.040000000000001</v>
      </c>
    </row>
    <row r="35" spans="1:5" x14ac:dyDescent="0.2">
      <c r="A35" s="9">
        <v>44605</v>
      </c>
      <c r="B35" s="3">
        <v>6.4825000000000035</v>
      </c>
      <c r="C35" s="10">
        <v>6.75</v>
      </c>
      <c r="D35">
        <f t="shared" si="0"/>
        <v>9.7825000000000024</v>
      </c>
      <c r="E35" s="3">
        <f t="shared" si="1"/>
        <v>10.25</v>
      </c>
    </row>
    <row r="36" spans="1:5" x14ac:dyDescent="0.2">
      <c r="A36" s="9">
        <v>44606</v>
      </c>
      <c r="B36">
        <v>6.5300000000000038</v>
      </c>
      <c r="C36" s="10">
        <v>7.16</v>
      </c>
      <c r="D36">
        <f t="shared" si="0"/>
        <v>9.8300000000000036</v>
      </c>
      <c r="E36" s="3">
        <f t="shared" si="1"/>
        <v>10.66</v>
      </c>
    </row>
    <row r="37" spans="1:5" x14ac:dyDescent="0.2">
      <c r="A37" s="9">
        <v>44607</v>
      </c>
      <c r="B37">
        <v>6.53</v>
      </c>
      <c r="C37" s="10">
        <v>7.67</v>
      </c>
      <c r="D37">
        <f t="shared" si="0"/>
        <v>9.83</v>
      </c>
      <c r="E37" s="3">
        <f t="shared" si="1"/>
        <v>11.17</v>
      </c>
    </row>
    <row r="38" spans="1:5" x14ac:dyDescent="0.2">
      <c r="A38" s="9">
        <v>44608</v>
      </c>
      <c r="B38">
        <v>7.85</v>
      </c>
      <c r="C38" s="10">
        <v>8</v>
      </c>
      <c r="D38">
        <f t="shared" si="0"/>
        <v>11.149999999999999</v>
      </c>
      <c r="E38" s="3">
        <f t="shared" si="1"/>
        <v>11.5</v>
      </c>
    </row>
    <row r="39" spans="1:5" x14ac:dyDescent="0.2">
      <c r="A39" s="9">
        <v>44609</v>
      </c>
      <c r="B39">
        <v>7.88</v>
      </c>
      <c r="C39" s="10">
        <v>8.6999999999999993</v>
      </c>
      <c r="D39">
        <f t="shared" si="0"/>
        <v>11.18</v>
      </c>
      <c r="E39" s="3">
        <f t="shared" si="1"/>
        <v>12.2</v>
      </c>
    </row>
    <row r="40" spans="1:5" x14ac:dyDescent="0.2">
      <c r="A40" s="9">
        <v>44610</v>
      </c>
      <c r="B40">
        <v>7.62</v>
      </c>
      <c r="C40" s="10">
        <v>8.27</v>
      </c>
      <c r="D40">
        <f t="shared" si="0"/>
        <v>10.92</v>
      </c>
      <c r="E40" s="3">
        <f t="shared" si="1"/>
        <v>11.77</v>
      </c>
    </row>
    <row r="41" spans="1:5" x14ac:dyDescent="0.2">
      <c r="A41" s="9">
        <v>44611</v>
      </c>
      <c r="B41">
        <v>6.88</v>
      </c>
      <c r="C41" s="10">
        <v>7.84</v>
      </c>
      <c r="D41">
        <f t="shared" si="0"/>
        <v>10.18</v>
      </c>
      <c r="E41" s="3">
        <f t="shared" si="1"/>
        <v>11.34</v>
      </c>
    </row>
    <row r="42" spans="1:5" x14ac:dyDescent="0.2">
      <c r="A42" s="9">
        <v>44612</v>
      </c>
      <c r="B42">
        <v>6.98</v>
      </c>
      <c r="C42" s="10">
        <v>7.5500000000000007</v>
      </c>
      <c r="D42">
        <f t="shared" si="0"/>
        <v>10.280000000000001</v>
      </c>
      <c r="E42" s="3">
        <f t="shared" si="1"/>
        <v>11.05</v>
      </c>
    </row>
    <row r="43" spans="1:5" x14ac:dyDescent="0.2">
      <c r="A43" s="9">
        <v>44613</v>
      </c>
      <c r="B43">
        <v>6.91</v>
      </c>
      <c r="C43" s="10">
        <v>7.4850000000000003</v>
      </c>
      <c r="D43">
        <f t="shared" si="0"/>
        <v>10.210000000000001</v>
      </c>
      <c r="E43" s="3">
        <f t="shared" si="1"/>
        <v>10.984999999999999</v>
      </c>
    </row>
    <row r="44" spans="1:5" x14ac:dyDescent="0.2">
      <c r="A44" s="9">
        <v>44614</v>
      </c>
      <c r="B44">
        <v>6.29</v>
      </c>
      <c r="C44" s="10">
        <v>6.88</v>
      </c>
      <c r="D44">
        <f t="shared" si="0"/>
        <v>9.59</v>
      </c>
      <c r="E44" s="3">
        <f t="shared" si="1"/>
        <v>10.379999999999999</v>
      </c>
    </row>
    <row r="45" spans="1:5" x14ac:dyDescent="0.2">
      <c r="A45" s="9">
        <v>44615</v>
      </c>
      <c r="B45">
        <v>6.55</v>
      </c>
      <c r="C45" s="10">
        <v>6.9649999999999999</v>
      </c>
      <c r="D45">
        <f t="shared" si="0"/>
        <v>9.85</v>
      </c>
      <c r="E45" s="3">
        <f t="shared" si="1"/>
        <v>10.465</v>
      </c>
    </row>
    <row r="46" spans="1:5" x14ac:dyDescent="0.2">
      <c r="A46" s="9">
        <v>44616</v>
      </c>
      <c r="B46">
        <v>6.56</v>
      </c>
      <c r="C46" s="10">
        <v>7.2650000000000006</v>
      </c>
      <c r="D46">
        <f t="shared" si="0"/>
        <v>9.86</v>
      </c>
      <c r="E46" s="3">
        <f t="shared" si="1"/>
        <v>10.765000000000001</v>
      </c>
    </row>
    <row r="47" spans="1:5" x14ac:dyDescent="0.2">
      <c r="A47" s="9">
        <v>44617</v>
      </c>
      <c r="B47">
        <v>6.17</v>
      </c>
      <c r="C47" s="10">
        <v>6.8550000000000004</v>
      </c>
      <c r="D47">
        <f t="shared" si="0"/>
        <v>9.4699999999999989</v>
      </c>
      <c r="E47" s="3">
        <f t="shared" si="1"/>
        <v>10.355</v>
      </c>
    </row>
    <row r="48" spans="1:5" x14ac:dyDescent="0.2">
      <c r="A48" s="9">
        <v>44618</v>
      </c>
      <c r="B48">
        <v>6.29</v>
      </c>
      <c r="C48" s="10">
        <v>7.2249999999999996</v>
      </c>
      <c r="D48">
        <f t="shared" si="0"/>
        <v>9.59</v>
      </c>
      <c r="E48" s="3">
        <f t="shared" si="1"/>
        <v>10.725</v>
      </c>
    </row>
    <row r="49" spans="1:5" x14ac:dyDescent="0.2">
      <c r="A49" s="9">
        <v>44619</v>
      </c>
      <c r="B49">
        <v>5.97</v>
      </c>
      <c r="C49" s="10">
        <v>7</v>
      </c>
      <c r="D49">
        <f t="shared" si="0"/>
        <v>9.27</v>
      </c>
      <c r="E49" s="3">
        <f t="shared" si="1"/>
        <v>10.5</v>
      </c>
    </row>
    <row r="50" spans="1:5" x14ac:dyDescent="0.2">
      <c r="A50" s="9">
        <v>44620</v>
      </c>
      <c r="B50">
        <v>5.74</v>
      </c>
      <c r="C50" s="10">
        <v>6.96</v>
      </c>
      <c r="D50">
        <f t="shared" si="0"/>
        <v>9.0399999999999991</v>
      </c>
      <c r="E50" s="3">
        <f t="shared" si="1"/>
        <v>10.46</v>
      </c>
    </row>
    <row r="51" spans="1:5" x14ac:dyDescent="0.2">
      <c r="A51" s="9">
        <v>44621</v>
      </c>
      <c r="B51">
        <v>5.54</v>
      </c>
      <c r="C51" s="10">
        <v>7.0500000000000007</v>
      </c>
      <c r="D51">
        <f t="shared" si="0"/>
        <v>8.84</v>
      </c>
      <c r="E51" s="3">
        <f t="shared" si="1"/>
        <v>10.55</v>
      </c>
    </row>
    <row r="52" spans="1:5" x14ac:dyDescent="0.2">
      <c r="A52" s="9">
        <v>44622</v>
      </c>
      <c r="B52">
        <v>6.08</v>
      </c>
      <c r="C52" s="10">
        <v>8.02</v>
      </c>
      <c r="D52">
        <f t="shared" si="0"/>
        <v>9.379999999999999</v>
      </c>
      <c r="E52" s="3">
        <f t="shared" si="1"/>
        <v>11.52</v>
      </c>
    </row>
    <row r="53" spans="1:5" x14ac:dyDescent="0.2">
      <c r="A53" s="9">
        <v>44623</v>
      </c>
      <c r="B53">
        <v>6.08</v>
      </c>
      <c r="C53" s="10">
        <v>7.2850000000000001</v>
      </c>
      <c r="D53">
        <f t="shared" si="0"/>
        <v>9.379999999999999</v>
      </c>
      <c r="E53" s="3">
        <f t="shared" si="1"/>
        <v>10.785</v>
      </c>
    </row>
    <row r="54" spans="1:5" x14ac:dyDescent="0.2">
      <c r="A54" s="9">
        <v>44624</v>
      </c>
      <c r="B54">
        <v>5.92</v>
      </c>
      <c r="C54" s="10">
        <v>7.8849999999999998</v>
      </c>
      <c r="D54">
        <f t="shared" si="0"/>
        <v>9.2199999999999989</v>
      </c>
      <c r="E54" s="3">
        <f t="shared" si="1"/>
        <v>11.385</v>
      </c>
    </row>
    <row r="55" spans="1:5" x14ac:dyDescent="0.2">
      <c r="A55" s="9">
        <v>44625</v>
      </c>
      <c r="B55">
        <v>5.77</v>
      </c>
      <c r="C55" s="10">
        <v>7.1199999999999992</v>
      </c>
      <c r="D55">
        <f t="shared" si="0"/>
        <v>9.07</v>
      </c>
      <c r="E55" s="3">
        <f t="shared" si="1"/>
        <v>10.62</v>
      </c>
    </row>
    <row r="56" spans="1:5" x14ac:dyDescent="0.2">
      <c r="A56" s="9">
        <v>44626</v>
      </c>
      <c r="B56">
        <v>5.75</v>
      </c>
      <c r="C56" s="10">
        <v>6.875</v>
      </c>
      <c r="D56">
        <f t="shared" si="0"/>
        <v>9.0500000000000007</v>
      </c>
      <c r="E56" s="3">
        <f t="shared" si="1"/>
        <v>10.375</v>
      </c>
    </row>
    <row r="57" spans="1:5" x14ac:dyDescent="0.2">
      <c r="A57" s="9">
        <v>44627</v>
      </c>
      <c r="B57">
        <v>5.87</v>
      </c>
      <c r="C57" s="10">
        <v>7.4849999999999994</v>
      </c>
      <c r="D57">
        <f t="shared" si="0"/>
        <v>9.17</v>
      </c>
      <c r="E57" s="3">
        <f t="shared" si="1"/>
        <v>10.984999999999999</v>
      </c>
    </row>
    <row r="58" spans="1:5" x14ac:dyDescent="0.2">
      <c r="A58" s="9">
        <v>44628</v>
      </c>
      <c r="B58">
        <v>5.67</v>
      </c>
      <c r="C58" s="10">
        <v>7.32</v>
      </c>
      <c r="D58">
        <f t="shared" si="0"/>
        <v>8.9699999999999989</v>
      </c>
      <c r="E58" s="3">
        <f t="shared" si="1"/>
        <v>10.82</v>
      </c>
    </row>
    <row r="59" spans="1:5" x14ac:dyDescent="0.2">
      <c r="A59" s="9">
        <v>44629</v>
      </c>
      <c r="B59">
        <v>5.77</v>
      </c>
      <c r="C59" s="10">
        <v>7.2650000000000006</v>
      </c>
      <c r="D59">
        <f t="shared" si="0"/>
        <v>9.07</v>
      </c>
      <c r="E59" s="3">
        <f t="shared" si="1"/>
        <v>10.765000000000001</v>
      </c>
    </row>
    <row r="60" spans="1:5" x14ac:dyDescent="0.2">
      <c r="A60" s="9">
        <v>44630</v>
      </c>
      <c r="B60">
        <v>6.38</v>
      </c>
      <c r="C60" s="10">
        <v>7.52</v>
      </c>
      <c r="D60">
        <f t="shared" si="0"/>
        <v>9.68</v>
      </c>
      <c r="E60" s="3">
        <f t="shared" si="1"/>
        <v>11.02</v>
      </c>
    </row>
    <row r="61" spans="1:5" x14ac:dyDescent="0.2">
      <c r="A61" s="9">
        <v>44631</v>
      </c>
      <c r="B61">
        <v>6.77</v>
      </c>
      <c r="C61" s="10">
        <v>7.5250000000000004</v>
      </c>
      <c r="D61">
        <f t="shared" si="0"/>
        <v>10.07</v>
      </c>
      <c r="E61" s="3">
        <f t="shared" si="1"/>
        <v>11.025</v>
      </c>
    </row>
    <row r="62" spans="1:5" x14ac:dyDescent="0.2">
      <c r="A62" s="9">
        <v>44632</v>
      </c>
      <c r="B62">
        <v>7.6</v>
      </c>
      <c r="C62" s="10">
        <v>8.6449999999999996</v>
      </c>
      <c r="D62">
        <f t="shared" si="0"/>
        <v>10.899999999999999</v>
      </c>
      <c r="E62" s="3">
        <f t="shared" si="1"/>
        <v>12.145</v>
      </c>
    </row>
    <row r="63" spans="1:5" x14ac:dyDescent="0.2">
      <c r="A63" s="9">
        <v>44633</v>
      </c>
      <c r="B63">
        <v>8.4700000000000006</v>
      </c>
      <c r="C63" s="10">
        <v>9.1150000000000002</v>
      </c>
      <c r="D63">
        <f t="shared" si="0"/>
        <v>11.77</v>
      </c>
      <c r="E63" s="3">
        <f t="shared" si="1"/>
        <v>12.615</v>
      </c>
    </row>
    <row r="64" spans="1:5" x14ac:dyDescent="0.2">
      <c r="A64" s="9">
        <v>44634</v>
      </c>
      <c r="B64">
        <v>9.42</v>
      </c>
      <c r="C64" s="10">
        <v>10</v>
      </c>
      <c r="D64">
        <f t="shared" si="0"/>
        <v>12.719999999999999</v>
      </c>
      <c r="E64" s="3">
        <f t="shared" si="1"/>
        <v>13.5</v>
      </c>
    </row>
    <row r="65" spans="1:5" x14ac:dyDescent="0.2">
      <c r="A65" s="9">
        <v>44635</v>
      </c>
      <c r="B65">
        <v>9.85</v>
      </c>
      <c r="C65" s="10">
        <v>10.66</v>
      </c>
      <c r="D65">
        <f t="shared" si="0"/>
        <v>13.149999999999999</v>
      </c>
      <c r="E65" s="3">
        <f t="shared" si="1"/>
        <v>14.16</v>
      </c>
    </row>
    <row r="66" spans="1:5" x14ac:dyDescent="0.2">
      <c r="A66" s="9">
        <v>44636</v>
      </c>
      <c r="B66">
        <v>9.58</v>
      </c>
      <c r="C66" s="10">
        <v>9.8850000000000016</v>
      </c>
      <c r="D66">
        <f t="shared" si="0"/>
        <v>12.879999999999999</v>
      </c>
      <c r="E66" s="3">
        <f t="shared" si="1"/>
        <v>13.385000000000002</v>
      </c>
    </row>
    <row r="67" spans="1:5" x14ac:dyDescent="0.2">
      <c r="A67" s="9">
        <v>44637</v>
      </c>
      <c r="B67">
        <v>10.19</v>
      </c>
      <c r="C67" s="10">
        <v>10.399999999999999</v>
      </c>
      <c r="D67">
        <f t="shared" si="0"/>
        <v>13.489999999999998</v>
      </c>
      <c r="E67" s="3">
        <f t="shared" si="1"/>
        <v>13.899999999999999</v>
      </c>
    </row>
    <row r="68" spans="1:5" x14ac:dyDescent="0.2">
      <c r="A68" s="9">
        <v>44638</v>
      </c>
      <c r="B68">
        <v>10.47</v>
      </c>
      <c r="C68" s="10">
        <v>10.41</v>
      </c>
      <c r="D68">
        <f t="shared" ref="D68:D131" si="2">B68+3.3</f>
        <v>13.77</v>
      </c>
      <c r="E68" s="3">
        <f t="shared" ref="E68:E131" si="3">C68+3.5</f>
        <v>13.91</v>
      </c>
    </row>
    <row r="69" spans="1:5" x14ac:dyDescent="0.2">
      <c r="A69" s="9">
        <v>44639</v>
      </c>
      <c r="B69">
        <v>10.39</v>
      </c>
      <c r="C69" s="10">
        <v>10.654999999999999</v>
      </c>
      <c r="D69">
        <f t="shared" si="2"/>
        <v>13.690000000000001</v>
      </c>
      <c r="E69" s="3">
        <f t="shared" si="3"/>
        <v>14.154999999999999</v>
      </c>
    </row>
    <row r="70" spans="1:5" x14ac:dyDescent="0.2">
      <c r="A70" s="9">
        <v>44640</v>
      </c>
      <c r="B70">
        <v>9.94</v>
      </c>
      <c r="C70" s="10">
        <v>10.055</v>
      </c>
      <c r="D70">
        <f t="shared" si="2"/>
        <v>13.239999999999998</v>
      </c>
      <c r="E70" s="3">
        <f t="shared" si="3"/>
        <v>13.555</v>
      </c>
    </row>
    <row r="71" spans="1:5" x14ac:dyDescent="0.2">
      <c r="A71" s="9">
        <v>44641</v>
      </c>
      <c r="B71">
        <v>9.84</v>
      </c>
      <c r="C71" s="10">
        <v>10.585000000000001</v>
      </c>
      <c r="D71">
        <f t="shared" si="2"/>
        <v>13.14</v>
      </c>
      <c r="E71" s="3">
        <f t="shared" si="3"/>
        <v>14.085000000000001</v>
      </c>
    </row>
    <row r="72" spans="1:5" x14ac:dyDescent="0.2">
      <c r="A72" s="9">
        <v>44642</v>
      </c>
      <c r="B72">
        <v>10.34</v>
      </c>
      <c r="C72" s="10">
        <v>11.48</v>
      </c>
      <c r="D72">
        <f t="shared" si="2"/>
        <v>13.64</v>
      </c>
      <c r="E72" s="3">
        <f t="shared" si="3"/>
        <v>14.98</v>
      </c>
    </row>
    <row r="73" spans="1:5" x14ac:dyDescent="0.2">
      <c r="A73" s="9">
        <v>44643</v>
      </c>
      <c r="B73">
        <v>12</v>
      </c>
      <c r="C73" s="10">
        <v>12.129999999999999</v>
      </c>
      <c r="D73">
        <f t="shared" si="2"/>
        <v>15.3</v>
      </c>
      <c r="E73" s="3">
        <f t="shared" si="3"/>
        <v>15.629999999999999</v>
      </c>
    </row>
    <row r="74" spans="1:5" x14ac:dyDescent="0.2">
      <c r="A74" s="9">
        <v>44644</v>
      </c>
      <c r="B74">
        <v>12.85</v>
      </c>
      <c r="C74" s="10">
        <v>12</v>
      </c>
      <c r="D74">
        <f t="shared" si="2"/>
        <v>16.149999999999999</v>
      </c>
      <c r="E74" s="3">
        <f t="shared" si="3"/>
        <v>15.5</v>
      </c>
    </row>
    <row r="75" spans="1:5" x14ac:dyDescent="0.2">
      <c r="A75" s="9">
        <v>44645</v>
      </c>
      <c r="B75">
        <v>12.22</v>
      </c>
      <c r="C75" s="10">
        <v>11.52</v>
      </c>
      <c r="D75">
        <f t="shared" si="2"/>
        <v>15.52</v>
      </c>
      <c r="E75" s="3">
        <f t="shared" si="3"/>
        <v>15.02</v>
      </c>
    </row>
    <row r="76" spans="1:5" x14ac:dyDescent="0.2">
      <c r="A76" s="9">
        <v>44646</v>
      </c>
      <c r="B76">
        <v>12.56</v>
      </c>
      <c r="C76" s="10">
        <v>12.370000000000001</v>
      </c>
      <c r="D76">
        <f t="shared" si="2"/>
        <v>15.86</v>
      </c>
      <c r="E76" s="3">
        <f t="shared" si="3"/>
        <v>15.870000000000001</v>
      </c>
    </row>
    <row r="77" spans="1:5" x14ac:dyDescent="0.2">
      <c r="A77" s="9">
        <v>44647</v>
      </c>
      <c r="B77">
        <v>12.64</v>
      </c>
      <c r="C77" s="10">
        <v>12.664999999999999</v>
      </c>
      <c r="D77">
        <f t="shared" si="2"/>
        <v>15.940000000000001</v>
      </c>
      <c r="E77" s="3">
        <f t="shared" si="3"/>
        <v>16.164999999999999</v>
      </c>
    </row>
    <row r="78" spans="1:5" x14ac:dyDescent="0.2">
      <c r="A78" s="9">
        <v>44648</v>
      </c>
      <c r="B78">
        <v>13.8</v>
      </c>
      <c r="C78" s="10">
        <v>13.22</v>
      </c>
      <c r="D78">
        <f t="shared" si="2"/>
        <v>17.100000000000001</v>
      </c>
      <c r="E78" s="3">
        <f t="shared" si="3"/>
        <v>16.72</v>
      </c>
    </row>
    <row r="79" spans="1:5" x14ac:dyDescent="0.2">
      <c r="A79" s="9">
        <v>44649</v>
      </c>
      <c r="B79">
        <v>13.23</v>
      </c>
      <c r="C79" s="10">
        <v>12.670000000000002</v>
      </c>
      <c r="D79">
        <f t="shared" si="2"/>
        <v>16.53</v>
      </c>
      <c r="E79" s="3">
        <f t="shared" si="3"/>
        <v>16.170000000000002</v>
      </c>
    </row>
    <row r="80" spans="1:5" x14ac:dyDescent="0.2">
      <c r="A80" s="9">
        <v>44650</v>
      </c>
      <c r="B80">
        <v>12.35</v>
      </c>
      <c r="C80" s="10">
        <v>12.395</v>
      </c>
      <c r="D80">
        <f t="shared" si="2"/>
        <v>15.649999999999999</v>
      </c>
      <c r="E80" s="3">
        <f t="shared" si="3"/>
        <v>15.895</v>
      </c>
    </row>
    <row r="81" spans="1:5" x14ac:dyDescent="0.2">
      <c r="A81" s="9">
        <v>44651</v>
      </c>
      <c r="B81">
        <v>11.57</v>
      </c>
      <c r="C81" s="10">
        <v>11.809999999999999</v>
      </c>
      <c r="D81">
        <f t="shared" si="2"/>
        <v>14.870000000000001</v>
      </c>
      <c r="E81" s="3">
        <f t="shared" si="3"/>
        <v>15.309999999999999</v>
      </c>
    </row>
    <row r="82" spans="1:5" x14ac:dyDescent="0.2">
      <c r="A82" s="9">
        <v>44652</v>
      </c>
      <c r="B82">
        <v>9.2799999999999994</v>
      </c>
      <c r="C82" s="10">
        <v>10.34</v>
      </c>
      <c r="D82">
        <f t="shared" si="2"/>
        <v>12.579999999999998</v>
      </c>
      <c r="E82" s="3">
        <f t="shared" si="3"/>
        <v>13.84</v>
      </c>
    </row>
    <row r="83" spans="1:5" x14ac:dyDescent="0.2">
      <c r="A83" s="9">
        <v>44653</v>
      </c>
      <c r="B83">
        <v>8.1199999999999992</v>
      </c>
      <c r="C83" s="10">
        <v>9.4499999999999993</v>
      </c>
      <c r="D83">
        <f t="shared" si="2"/>
        <v>11.419999999999998</v>
      </c>
      <c r="E83" s="3">
        <f t="shared" si="3"/>
        <v>12.95</v>
      </c>
    </row>
    <row r="84" spans="1:5" x14ac:dyDescent="0.2">
      <c r="A84" s="9">
        <v>44654</v>
      </c>
      <c r="B84">
        <v>7.85</v>
      </c>
      <c r="C84" s="10">
        <v>9.8550000000000004</v>
      </c>
      <c r="D84">
        <f t="shared" si="2"/>
        <v>11.149999999999999</v>
      </c>
      <c r="E84" s="3">
        <f t="shared" si="3"/>
        <v>13.355</v>
      </c>
    </row>
    <row r="85" spans="1:5" x14ac:dyDescent="0.2">
      <c r="A85" s="9">
        <v>44655</v>
      </c>
      <c r="B85">
        <v>7.53</v>
      </c>
      <c r="C85" s="10">
        <v>9.2850000000000001</v>
      </c>
      <c r="D85">
        <f t="shared" si="2"/>
        <v>10.83</v>
      </c>
      <c r="E85" s="3">
        <f t="shared" si="3"/>
        <v>12.785</v>
      </c>
    </row>
    <row r="86" spans="1:5" x14ac:dyDescent="0.2">
      <c r="A86" s="9">
        <v>44656</v>
      </c>
      <c r="B86">
        <v>8.3800000000000008</v>
      </c>
      <c r="C86" s="10">
        <v>9.3249999999999993</v>
      </c>
      <c r="D86">
        <f t="shared" si="2"/>
        <v>11.68</v>
      </c>
      <c r="E86" s="3">
        <f t="shared" si="3"/>
        <v>12.824999999999999</v>
      </c>
    </row>
    <row r="87" spans="1:5" x14ac:dyDescent="0.2">
      <c r="A87" s="9">
        <v>44657</v>
      </c>
      <c r="B87">
        <v>8.7100000000000009</v>
      </c>
      <c r="C87" s="10">
        <v>9.32</v>
      </c>
      <c r="D87">
        <f t="shared" si="2"/>
        <v>12.010000000000002</v>
      </c>
      <c r="E87" s="3">
        <f t="shared" si="3"/>
        <v>12.82</v>
      </c>
    </row>
    <row r="88" spans="1:5" x14ac:dyDescent="0.2">
      <c r="A88" s="9">
        <v>44658</v>
      </c>
      <c r="B88">
        <v>9.1</v>
      </c>
      <c r="C88" s="10">
        <v>9.65</v>
      </c>
      <c r="D88">
        <f t="shared" si="2"/>
        <v>12.399999999999999</v>
      </c>
      <c r="E88" s="3">
        <f t="shared" si="3"/>
        <v>13.15</v>
      </c>
    </row>
    <row r="89" spans="1:5" x14ac:dyDescent="0.2">
      <c r="A89" s="9">
        <v>44659</v>
      </c>
      <c r="B89">
        <v>8.84</v>
      </c>
      <c r="C89" s="10">
        <v>9.23</v>
      </c>
      <c r="D89">
        <f t="shared" si="2"/>
        <v>12.14</v>
      </c>
      <c r="E89" s="3">
        <f t="shared" si="3"/>
        <v>12.73</v>
      </c>
    </row>
    <row r="90" spans="1:5" x14ac:dyDescent="0.2">
      <c r="A90" s="9">
        <v>44660</v>
      </c>
      <c r="B90">
        <v>8.59</v>
      </c>
      <c r="C90" s="10">
        <v>9.4600000000000009</v>
      </c>
      <c r="D90">
        <f t="shared" si="2"/>
        <v>11.89</v>
      </c>
      <c r="E90" s="3">
        <f t="shared" si="3"/>
        <v>12.96</v>
      </c>
    </row>
    <row r="91" spans="1:5" x14ac:dyDescent="0.2">
      <c r="A91" s="9">
        <v>44661</v>
      </c>
      <c r="B91">
        <v>10.08</v>
      </c>
      <c r="C91" s="10">
        <v>10.3</v>
      </c>
      <c r="D91">
        <f t="shared" si="2"/>
        <v>13.379999999999999</v>
      </c>
      <c r="E91" s="3">
        <f t="shared" si="3"/>
        <v>13.8</v>
      </c>
    </row>
    <row r="92" spans="1:5" x14ac:dyDescent="0.2">
      <c r="A92" s="9">
        <v>44662</v>
      </c>
      <c r="B92">
        <v>9.9499999999999993</v>
      </c>
      <c r="C92" s="10">
        <v>10.59</v>
      </c>
      <c r="D92">
        <f t="shared" si="2"/>
        <v>13.25</v>
      </c>
      <c r="E92" s="3">
        <f t="shared" si="3"/>
        <v>14.09</v>
      </c>
    </row>
    <row r="93" spans="1:5" x14ac:dyDescent="0.2">
      <c r="A93" s="9">
        <v>44663</v>
      </c>
      <c r="B93">
        <v>10.8</v>
      </c>
      <c r="C93" s="10">
        <v>11.129999999999999</v>
      </c>
      <c r="D93">
        <f t="shared" si="2"/>
        <v>14.100000000000001</v>
      </c>
      <c r="E93" s="3">
        <f t="shared" si="3"/>
        <v>14.629999999999999</v>
      </c>
    </row>
    <row r="94" spans="1:5" x14ac:dyDescent="0.2">
      <c r="A94" s="9">
        <v>44664</v>
      </c>
      <c r="B94">
        <v>11.96</v>
      </c>
      <c r="C94" s="10">
        <v>12.52</v>
      </c>
      <c r="D94">
        <f t="shared" si="2"/>
        <v>15.260000000000002</v>
      </c>
      <c r="E94" s="3">
        <f t="shared" si="3"/>
        <v>16.02</v>
      </c>
    </row>
    <row r="95" spans="1:5" x14ac:dyDescent="0.2">
      <c r="A95" s="9">
        <v>44665</v>
      </c>
      <c r="B95">
        <v>14.37</v>
      </c>
      <c r="C95" s="10">
        <v>12.99</v>
      </c>
      <c r="D95">
        <f t="shared" si="2"/>
        <v>17.669999999999998</v>
      </c>
      <c r="E95" s="3">
        <f t="shared" si="3"/>
        <v>16.490000000000002</v>
      </c>
    </row>
    <row r="96" spans="1:5" x14ac:dyDescent="0.2">
      <c r="A96" s="9">
        <v>44666</v>
      </c>
      <c r="B96">
        <v>13.81</v>
      </c>
      <c r="C96" s="10">
        <v>13.18</v>
      </c>
      <c r="D96">
        <f t="shared" si="2"/>
        <v>17.11</v>
      </c>
      <c r="E96" s="3">
        <f t="shared" si="3"/>
        <v>16.68</v>
      </c>
    </row>
    <row r="97" spans="1:5" x14ac:dyDescent="0.2">
      <c r="A97" s="9">
        <v>44667</v>
      </c>
      <c r="B97">
        <v>14.14</v>
      </c>
      <c r="C97" s="10">
        <v>13.965</v>
      </c>
      <c r="D97">
        <f t="shared" si="2"/>
        <v>17.440000000000001</v>
      </c>
      <c r="E97" s="3">
        <f t="shared" si="3"/>
        <v>17.465</v>
      </c>
    </row>
    <row r="98" spans="1:5" x14ac:dyDescent="0.2">
      <c r="A98" s="9">
        <v>44668</v>
      </c>
      <c r="B98">
        <v>14.29</v>
      </c>
      <c r="C98" s="10">
        <v>14.18</v>
      </c>
      <c r="D98">
        <f t="shared" si="2"/>
        <v>17.59</v>
      </c>
      <c r="E98" s="3">
        <f t="shared" si="3"/>
        <v>17.68</v>
      </c>
    </row>
    <row r="99" spans="1:5" x14ac:dyDescent="0.2">
      <c r="A99" s="9">
        <v>44669</v>
      </c>
      <c r="B99">
        <v>14.75</v>
      </c>
      <c r="C99" s="10">
        <v>14.49</v>
      </c>
      <c r="D99">
        <f t="shared" si="2"/>
        <v>18.05</v>
      </c>
      <c r="E99" s="3">
        <f t="shared" si="3"/>
        <v>17.990000000000002</v>
      </c>
    </row>
    <row r="100" spans="1:5" x14ac:dyDescent="0.2">
      <c r="A100" s="9">
        <v>44670</v>
      </c>
      <c r="B100">
        <v>15.15</v>
      </c>
      <c r="C100" s="10">
        <v>14.744999999999999</v>
      </c>
      <c r="D100">
        <f t="shared" si="2"/>
        <v>18.45</v>
      </c>
      <c r="E100" s="3">
        <f t="shared" si="3"/>
        <v>18.244999999999997</v>
      </c>
    </row>
    <row r="101" spans="1:5" x14ac:dyDescent="0.2">
      <c r="A101" s="9">
        <v>44671</v>
      </c>
      <c r="B101">
        <v>15.44</v>
      </c>
      <c r="C101" s="10">
        <v>15.21</v>
      </c>
      <c r="D101">
        <f t="shared" si="2"/>
        <v>18.739999999999998</v>
      </c>
      <c r="E101" s="3">
        <f t="shared" si="3"/>
        <v>18.71</v>
      </c>
    </row>
    <row r="102" spans="1:5" x14ac:dyDescent="0.2">
      <c r="A102" s="9">
        <v>44672</v>
      </c>
      <c r="B102">
        <v>15.36</v>
      </c>
      <c r="C102" s="10">
        <v>15.225</v>
      </c>
      <c r="D102">
        <f t="shared" si="2"/>
        <v>18.66</v>
      </c>
      <c r="E102" s="3">
        <f t="shared" si="3"/>
        <v>18.725000000000001</v>
      </c>
    </row>
    <row r="103" spans="1:5" x14ac:dyDescent="0.2">
      <c r="A103" s="9">
        <v>44673</v>
      </c>
      <c r="B103">
        <v>15.41</v>
      </c>
      <c r="C103" s="10">
        <v>15.57</v>
      </c>
      <c r="D103">
        <f t="shared" si="2"/>
        <v>18.71</v>
      </c>
      <c r="E103" s="3">
        <f t="shared" si="3"/>
        <v>19.07</v>
      </c>
    </row>
    <row r="104" spans="1:5" x14ac:dyDescent="0.2">
      <c r="A104" s="9">
        <v>44674</v>
      </c>
      <c r="B104">
        <v>15.42</v>
      </c>
      <c r="C104" s="10">
        <v>15.700000000000001</v>
      </c>
      <c r="D104">
        <f t="shared" si="2"/>
        <v>18.72</v>
      </c>
      <c r="E104" s="3">
        <f t="shared" si="3"/>
        <v>19.200000000000003</v>
      </c>
    </row>
    <row r="105" spans="1:5" x14ac:dyDescent="0.2">
      <c r="A105" s="9">
        <v>44675</v>
      </c>
      <c r="B105">
        <v>15.36</v>
      </c>
      <c r="C105" s="10">
        <v>15.555</v>
      </c>
      <c r="D105">
        <f t="shared" si="2"/>
        <v>18.66</v>
      </c>
      <c r="E105" s="3">
        <f t="shared" si="3"/>
        <v>19.055</v>
      </c>
    </row>
    <row r="106" spans="1:5" x14ac:dyDescent="0.2">
      <c r="A106" s="9">
        <v>44676</v>
      </c>
      <c r="B106">
        <v>14.61</v>
      </c>
      <c r="C106" s="10">
        <v>14.850000000000001</v>
      </c>
      <c r="D106">
        <f t="shared" si="2"/>
        <v>17.91</v>
      </c>
      <c r="E106" s="3">
        <f t="shared" si="3"/>
        <v>18.350000000000001</v>
      </c>
    </row>
    <row r="107" spans="1:5" x14ac:dyDescent="0.2">
      <c r="A107" s="9">
        <v>44677</v>
      </c>
      <c r="B107">
        <v>14</v>
      </c>
      <c r="C107" s="10">
        <v>14.875</v>
      </c>
      <c r="D107">
        <f t="shared" si="2"/>
        <v>17.3</v>
      </c>
      <c r="E107" s="3">
        <f t="shared" si="3"/>
        <v>18.375</v>
      </c>
    </row>
    <row r="108" spans="1:5" x14ac:dyDescent="0.2">
      <c r="A108" s="9">
        <v>44678</v>
      </c>
      <c r="B108">
        <v>13.96</v>
      </c>
      <c r="C108" s="10">
        <v>14.475</v>
      </c>
      <c r="D108">
        <f t="shared" si="2"/>
        <v>17.260000000000002</v>
      </c>
      <c r="E108" s="3">
        <f t="shared" si="3"/>
        <v>17.975000000000001</v>
      </c>
    </row>
    <row r="109" spans="1:5" x14ac:dyDescent="0.2">
      <c r="A109" s="9">
        <v>44679</v>
      </c>
      <c r="B109">
        <v>14.42</v>
      </c>
      <c r="C109" s="10">
        <v>14.8</v>
      </c>
      <c r="D109">
        <f t="shared" si="2"/>
        <v>17.72</v>
      </c>
      <c r="E109" s="3">
        <f t="shared" si="3"/>
        <v>18.3</v>
      </c>
    </row>
    <row r="110" spans="1:5" x14ac:dyDescent="0.2">
      <c r="A110" s="9">
        <v>44680</v>
      </c>
      <c r="B110">
        <v>13.81</v>
      </c>
      <c r="C110" s="10">
        <v>14.395</v>
      </c>
      <c r="D110">
        <f t="shared" si="2"/>
        <v>17.11</v>
      </c>
      <c r="E110" s="3">
        <f t="shared" si="3"/>
        <v>17.895</v>
      </c>
    </row>
    <row r="111" spans="1:5" x14ac:dyDescent="0.2">
      <c r="A111" s="9">
        <v>44681</v>
      </c>
      <c r="B111">
        <v>13.28</v>
      </c>
      <c r="C111" s="10">
        <v>14.215</v>
      </c>
      <c r="D111">
        <f t="shared" si="2"/>
        <v>16.579999999999998</v>
      </c>
      <c r="E111" s="3">
        <f t="shared" si="3"/>
        <v>17.715</v>
      </c>
    </row>
    <row r="112" spans="1:5" x14ac:dyDescent="0.2">
      <c r="A112" s="9">
        <v>44682</v>
      </c>
      <c r="B112">
        <v>15.82</v>
      </c>
      <c r="C112" s="10">
        <v>14.785</v>
      </c>
      <c r="D112">
        <f t="shared" si="2"/>
        <v>19.12</v>
      </c>
      <c r="E112" s="3">
        <f t="shared" si="3"/>
        <v>18.285</v>
      </c>
    </row>
    <row r="113" spans="1:5" x14ac:dyDescent="0.2">
      <c r="A113" s="9">
        <v>44683</v>
      </c>
      <c r="B113">
        <v>16.309999999999999</v>
      </c>
      <c r="C113" s="10">
        <v>15.26</v>
      </c>
      <c r="D113">
        <f t="shared" si="2"/>
        <v>19.61</v>
      </c>
      <c r="E113" s="3">
        <f t="shared" si="3"/>
        <v>18.759999999999998</v>
      </c>
    </row>
    <row r="114" spans="1:5" x14ac:dyDescent="0.2">
      <c r="A114" s="9">
        <v>44684</v>
      </c>
      <c r="B114">
        <v>15.01</v>
      </c>
      <c r="C114" s="10">
        <v>14.984999999999999</v>
      </c>
      <c r="D114">
        <f t="shared" si="2"/>
        <v>18.309999999999999</v>
      </c>
      <c r="E114" s="3">
        <f t="shared" si="3"/>
        <v>18.484999999999999</v>
      </c>
    </row>
    <row r="115" spans="1:5" x14ac:dyDescent="0.2">
      <c r="A115" s="9">
        <v>44685</v>
      </c>
      <c r="B115">
        <v>16.79</v>
      </c>
      <c r="C115" s="10">
        <v>15.66</v>
      </c>
      <c r="D115">
        <f t="shared" si="2"/>
        <v>20.09</v>
      </c>
      <c r="E115" s="3">
        <f t="shared" si="3"/>
        <v>19.16</v>
      </c>
    </row>
    <row r="116" spans="1:5" x14ac:dyDescent="0.2">
      <c r="A116" s="11">
        <v>44686</v>
      </c>
      <c r="B116">
        <v>17.11</v>
      </c>
      <c r="C116" s="10">
        <v>15.79</v>
      </c>
      <c r="D116">
        <f t="shared" si="2"/>
        <v>20.41</v>
      </c>
      <c r="E116" s="3">
        <f t="shared" si="3"/>
        <v>19.29</v>
      </c>
    </row>
    <row r="117" spans="1:5" x14ac:dyDescent="0.2">
      <c r="A117" s="9">
        <v>44687</v>
      </c>
      <c r="B117">
        <v>17.54</v>
      </c>
      <c r="C117" s="10">
        <v>17</v>
      </c>
      <c r="D117">
        <f t="shared" si="2"/>
        <v>20.84</v>
      </c>
      <c r="E117" s="3">
        <f t="shared" si="3"/>
        <v>20.5</v>
      </c>
    </row>
    <row r="118" spans="1:5" x14ac:dyDescent="0.2">
      <c r="A118" s="9">
        <v>44688</v>
      </c>
      <c r="B118">
        <v>18.440000000000001</v>
      </c>
      <c r="C118" s="10">
        <v>17.445</v>
      </c>
      <c r="D118">
        <f t="shared" si="2"/>
        <v>21.740000000000002</v>
      </c>
      <c r="E118" s="3">
        <f t="shared" si="3"/>
        <v>20.945</v>
      </c>
    </row>
    <row r="119" spans="1:5" x14ac:dyDescent="0.2">
      <c r="A119" s="9">
        <v>44689</v>
      </c>
      <c r="B119">
        <v>17.809999999999999</v>
      </c>
      <c r="C119" s="10">
        <v>17.535</v>
      </c>
      <c r="D119">
        <f t="shared" si="2"/>
        <v>21.11</v>
      </c>
      <c r="E119" s="3">
        <f t="shared" si="3"/>
        <v>21.035</v>
      </c>
    </row>
    <row r="120" spans="1:5" x14ac:dyDescent="0.2">
      <c r="A120" s="9">
        <v>44690</v>
      </c>
      <c r="B120">
        <v>19.010000000000002</v>
      </c>
      <c r="C120" s="10">
        <v>18.240000000000002</v>
      </c>
      <c r="D120">
        <f t="shared" si="2"/>
        <v>22.310000000000002</v>
      </c>
      <c r="E120" s="3">
        <f t="shared" si="3"/>
        <v>21.740000000000002</v>
      </c>
    </row>
    <row r="121" spans="1:5" x14ac:dyDescent="0.2">
      <c r="A121" s="9">
        <v>44691</v>
      </c>
      <c r="B121">
        <v>18.190000000000001</v>
      </c>
      <c r="C121" s="10">
        <v>17.829999999999998</v>
      </c>
      <c r="D121">
        <f t="shared" si="2"/>
        <v>21.490000000000002</v>
      </c>
      <c r="E121" s="3">
        <f t="shared" si="3"/>
        <v>21.33</v>
      </c>
    </row>
    <row r="122" spans="1:5" x14ac:dyDescent="0.2">
      <c r="A122" s="9">
        <v>44692</v>
      </c>
      <c r="B122">
        <v>18</v>
      </c>
      <c r="C122" s="10">
        <v>18</v>
      </c>
      <c r="D122">
        <f t="shared" si="2"/>
        <v>21.3</v>
      </c>
      <c r="E122" s="3">
        <f t="shared" si="3"/>
        <v>21.5</v>
      </c>
    </row>
    <row r="123" spans="1:5" x14ac:dyDescent="0.2">
      <c r="A123" s="9">
        <v>44693</v>
      </c>
      <c r="B123">
        <v>17.89</v>
      </c>
      <c r="C123" s="10">
        <v>18.585000000000001</v>
      </c>
      <c r="D123">
        <f t="shared" si="2"/>
        <v>21.19</v>
      </c>
      <c r="E123" s="3">
        <f t="shared" si="3"/>
        <v>22.085000000000001</v>
      </c>
    </row>
    <row r="124" spans="1:5" x14ac:dyDescent="0.2">
      <c r="A124" s="9">
        <v>44694</v>
      </c>
      <c r="B124">
        <v>17.829999999999998</v>
      </c>
      <c r="C124" s="10">
        <v>18.685000000000002</v>
      </c>
      <c r="D124">
        <f t="shared" si="2"/>
        <v>21.13</v>
      </c>
      <c r="E124" s="3">
        <f t="shared" si="3"/>
        <v>22.185000000000002</v>
      </c>
    </row>
    <row r="125" spans="1:5" x14ac:dyDescent="0.2">
      <c r="A125" s="9">
        <v>44695</v>
      </c>
      <c r="B125">
        <v>20.14</v>
      </c>
      <c r="C125" s="10">
        <v>18.504999999999999</v>
      </c>
      <c r="D125">
        <f t="shared" si="2"/>
        <v>23.44</v>
      </c>
      <c r="E125" s="3">
        <f t="shared" si="3"/>
        <v>22.004999999999999</v>
      </c>
    </row>
    <row r="126" spans="1:5" x14ac:dyDescent="0.2">
      <c r="A126" s="9">
        <v>44696</v>
      </c>
      <c r="B126">
        <v>20.03</v>
      </c>
      <c r="C126" s="10">
        <v>18.93</v>
      </c>
      <c r="D126">
        <f t="shared" si="2"/>
        <v>23.330000000000002</v>
      </c>
      <c r="E126" s="3">
        <f t="shared" si="3"/>
        <v>22.43</v>
      </c>
    </row>
    <row r="127" spans="1:5" x14ac:dyDescent="0.2">
      <c r="A127" s="9">
        <v>44697</v>
      </c>
      <c r="B127">
        <v>20.28</v>
      </c>
      <c r="C127" s="10">
        <v>19.229999999999997</v>
      </c>
      <c r="D127">
        <f t="shared" si="2"/>
        <v>23.580000000000002</v>
      </c>
      <c r="E127" s="3">
        <f t="shared" si="3"/>
        <v>22.729999999999997</v>
      </c>
    </row>
    <row r="128" spans="1:5" x14ac:dyDescent="0.2">
      <c r="A128" s="9">
        <v>44698</v>
      </c>
      <c r="B128">
        <v>20.010000000000002</v>
      </c>
      <c r="C128" s="10">
        <v>20.015000000000001</v>
      </c>
      <c r="D128">
        <f t="shared" si="2"/>
        <v>23.310000000000002</v>
      </c>
      <c r="E128" s="3">
        <f t="shared" si="3"/>
        <v>23.515000000000001</v>
      </c>
    </row>
    <row r="129" spans="1:5" x14ac:dyDescent="0.2">
      <c r="A129" s="9">
        <v>44699</v>
      </c>
      <c r="B129">
        <v>22.39</v>
      </c>
      <c r="C129" s="10">
        <v>20.41</v>
      </c>
      <c r="D129">
        <f t="shared" si="2"/>
        <v>25.69</v>
      </c>
      <c r="E129" s="3">
        <f t="shared" si="3"/>
        <v>23.91</v>
      </c>
    </row>
    <row r="130" spans="1:5" x14ac:dyDescent="0.2">
      <c r="A130" s="9">
        <v>44700</v>
      </c>
      <c r="B130">
        <v>21.36</v>
      </c>
      <c r="C130" s="10">
        <v>20.185000000000002</v>
      </c>
      <c r="D130">
        <f t="shared" si="2"/>
        <v>24.66</v>
      </c>
      <c r="E130" s="3">
        <f t="shared" si="3"/>
        <v>23.685000000000002</v>
      </c>
    </row>
    <row r="131" spans="1:5" x14ac:dyDescent="0.2">
      <c r="A131" s="9">
        <v>44701</v>
      </c>
      <c r="B131">
        <v>20.14</v>
      </c>
      <c r="C131" s="10">
        <v>19.734999999999999</v>
      </c>
      <c r="D131">
        <f t="shared" si="2"/>
        <v>23.44</v>
      </c>
      <c r="E131" s="3">
        <f t="shared" si="3"/>
        <v>23.234999999999999</v>
      </c>
    </row>
    <row r="132" spans="1:5" x14ac:dyDescent="0.2">
      <c r="A132" s="9">
        <v>44702</v>
      </c>
      <c r="B132">
        <v>19.29</v>
      </c>
      <c r="C132" s="10">
        <v>19.670000000000002</v>
      </c>
      <c r="D132">
        <f t="shared" ref="D132:D195" si="4">B132+3.3</f>
        <v>22.59</v>
      </c>
      <c r="E132" s="3">
        <f t="shared" ref="E132:E195" si="5">C132+3.5</f>
        <v>23.17</v>
      </c>
    </row>
    <row r="133" spans="1:5" x14ac:dyDescent="0.2">
      <c r="A133" s="9">
        <v>44703</v>
      </c>
      <c r="B133">
        <v>20.66</v>
      </c>
      <c r="C133" s="10">
        <v>19.995000000000001</v>
      </c>
      <c r="D133">
        <f t="shared" si="4"/>
        <v>23.96</v>
      </c>
      <c r="E133" s="3">
        <f t="shared" si="5"/>
        <v>23.495000000000001</v>
      </c>
    </row>
    <row r="134" spans="1:5" x14ac:dyDescent="0.2">
      <c r="A134" s="9">
        <v>44704</v>
      </c>
      <c r="B134">
        <v>20.75</v>
      </c>
      <c r="C134" s="10">
        <v>20.309999999999999</v>
      </c>
      <c r="D134">
        <f t="shared" si="4"/>
        <v>24.05</v>
      </c>
      <c r="E134" s="3">
        <f t="shared" si="5"/>
        <v>23.81</v>
      </c>
    </row>
    <row r="135" spans="1:5" x14ac:dyDescent="0.2">
      <c r="A135" s="9">
        <v>44705</v>
      </c>
      <c r="B135">
        <v>19.13</v>
      </c>
      <c r="C135" s="10">
        <v>19.89</v>
      </c>
      <c r="D135">
        <f t="shared" si="4"/>
        <v>22.43</v>
      </c>
      <c r="E135" s="3">
        <f t="shared" si="5"/>
        <v>23.39</v>
      </c>
    </row>
    <row r="136" spans="1:5" x14ac:dyDescent="0.2">
      <c r="A136" s="9">
        <v>44706</v>
      </c>
      <c r="B136">
        <v>18.489999999999998</v>
      </c>
      <c r="C136" s="10">
        <v>19.18</v>
      </c>
      <c r="D136">
        <f t="shared" si="4"/>
        <v>21.79</v>
      </c>
      <c r="E136" s="3">
        <f t="shared" si="5"/>
        <v>22.68</v>
      </c>
    </row>
    <row r="137" spans="1:5" x14ac:dyDescent="0.2">
      <c r="A137" s="9">
        <v>44707</v>
      </c>
      <c r="B137">
        <v>18.45</v>
      </c>
      <c r="C137" s="10">
        <v>19.18</v>
      </c>
      <c r="D137">
        <f t="shared" si="4"/>
        <v>21.75</v>
      </c>
      <c r="E137" s="3">
        <f t="shared" si="5"/>
        <v>22.68</v>
      </c>
    </row>
    <row r="138" spans="1:5" x14ac:dyDescent="0.2">
      <c r="A138" s="9">
        <v>44708</v>
      </c>
      <c r="B138">
        <v>18.03</v>
      </c>
      <c r="C138" s="10">
        <v>18.934999999999999</v>
      </c>
      <c r="D138">
        <f t="shared" si="4"/>
        <v>21.330000000000002</v>
      </c>
      <c r="E138" s="3">
        <f t="shared" si="5"/>
        <v>22.434999999999999</v>
      </c>
    </row>
    <row r="139" spans="1:5" x14ac:dyDescent="0.2">
      <c r="A139" s="9">
        <v>44709</v>
      </c>
      <c r="B139">
        <v>17.829999999999998</v>
      </c>
      <c r="C139" s="10">
        <v>18.765000000000001</v>
      </c>
      <c r="D139">
        <f t="shared" si="4"/>
        <v>21.13</v>
      </c>
      <c r="E139" s="3">
        <f t="shared" si="5"/>
        <v>22.265000000000001</v>
      </c>
    </row>
    <row r="140" spans="1:5" x14ac:dyDescent="0.2">
      <c r="A140" s="9">
        <v>44710</v>
      </c>
      <c r="B140">
        <v>16.93</v>
      </c>
      <c r="C140" s="10">
        <v>18.11</v>
      </c>
      <c r="D140">
        <f t="shared" si="4"/>
        <v>20.23</v>
      </c>
      <c r="E140" s="3">
        <f t="shared" si="5"/>
        <v>21.61</v>
      </c>
    </row>
    <row r="141" spans="1:5" x14ac:dyDescent="0.2">
      <c r="A141" s="9">
        <v>44711</v>
      </c>
      <c r="B141">
        <v>17.559999999999999</v>
      </c>
      <c r="C141" s="10">
        <v>18.174999999999997</v>
      </c>
      <c r="D141">
        <f t="shared" si="4"/>
        <v>20.86</v>
      </c>
      <c r="E141" s="3">
        <f t="shared" si="5"/>
        <v>21.674999999999997</v>
      </c>
    </row>
    <row r="142" spans="1:5" x14ac:dyDescent="0.2">
      <c r="A142" s="9">
        <v>44712</v>
      </c>
      <c r="B142">
        <v>17.239999999999998</v>
      </c>
      <c r="C142" s="10">
        <v>18.34</v>
      </c>
      <c r="D142">
        <f t="shared" si="4"/>
        <v>20.54</v>
      </c>
      <c r="E142" s="3">
        <f t="shared" si="5"/>
        <v>21.84</v>
      </c>
    </row>
    <row r="143" spans="1:5" x14ac:dyDescent="0.2">
      <c r="A143" s="9">
        <v>44713</v>
      </c>
      <c r="B143">
        <v>17.440000000000001</v>
      </c>
      <c r="C143" s="10">
        <v>18.16</v>
      </c>
      <c r="D143">
        <f t="shared" si="4"/>
        <v>20.740000000000002</v>
      </c>
      <c r="E143" s="3">
        <f t="shared" si="5"/>
        <v>21.66</v>
      </c>
    </row>
    <row r="144" spans="1:5" x14ac:dyDescent="0.2">
      <c r="A144" s="9">
        <v>44714</v>
      </c>
      <c r="B144">
        <v>20.3</v>
      </c>
      <c r="C144" s="10">
        <v>18.814999999999998</v>
      </c>
      <c r="D144">
        <f t="shared" si="4"/>
        <v>23.6</v>
      </c>
      <c r="E144" s="3">
        <f t="shared" si="5"/>
        <v>22.314999999999998</v>
      </c>
    </row>
    <row r="145" spans="1:5" x14ac:dyDescent="0.2">
      <c r="A145" s="9">
        <v>44715</v>
      </c>
      <c r="B145">
        <v>19.649999999999999</v>
      </c>
      <c r="C145" s="10">
        <v>19.495000000000001</v>
      </c>
      <c r="D145">
        <f t="shared" si="4"/>
        <v>22.95</v>
      </c>
      <c r="E145" s="3">
        <f t="shared" si="5"/>
        <v>22.995000000000001</v>
      </c>
    </row>
    <row r="146" spans="1:5" x14ac:dyDescent="0.2">
      <c r="A146" s="9">
        <v>44716</v>
      </c>
      <c r="B146">
        <v>18.68</v>
      </c>
      <c r="C146" s="10">
        <v>19.11</v>
      </c>
      <c r="D146">
        <f t="shared" si="4"/>
        <v>21.98</v>
      </c>
      <c r="E146" s="3">
        <f t="shared" si="5"/>
        <v>22.61</v>
      </c>
    </row>
    <row r="147" spans="1:5" x14ac:dyDescent="0.2">
      <c r="A147" s="9">
        <v>44717</v>
      </c>
      <c r="B147">
        <v>18.04</v>
      </c>
      <c r="C147" s="10">
        <v>18.899999999999999</v>
      </c>
      <c r="D147">
        <f t="shared" si="4"/>
        <v>21.34</v>
      </c>
      <c r="E147" s="3">
        <f t="shared" si="5"/>
        <v>22.4</v>
      </c>
    </row>
    <row r="148" spans="1:5" x14ac:dyDescent="0.2">
      <c r="A148" s="9">
        <v>44718</v>
      </c>
      <c r="B148">
        <v>17.62</v>
      </c>
      <c r="C148" s="10">
        <v>18.66</v>
      </c>
      <c r="D148">
        <f t="shared" si="4"/>
        <v>20.92</v>
      </c>
      <c r="E148" s="3">
        <f t="shared" si="5"/>
        <v>22.16</v>
      </c>
    </row>
    <row r="149" spans="1:5" x14ac:dyDescent="0.2">
      <c r="A149" s="9">
        <v>44719</v>
      </c>
      <c r="B149">
        <v>17.93</v>
      </c>
      <c r="C149" s="10">
        <v>19.03</v>
      </c>
      <c r="D149">
        <f t="shared" si="4"/>
        <v>21.23</v>
      </c>
      <c r="E149" s="3">
        <f t="shared" si="5"/>
        <v>22.53</v>
      </c>
    </row>
    <row r="150" spans="1:5" x14ac:dyDescent="0.2">
      <c r="A150" s="9">
        <v>44720</v>
      </c>
      <c r="B150">
        <v>17.989999999999998</v>
      </c>
      <c r="C150" s="10">
        <v>18.645</v>
      </c>
      <c r="D150">
        <f t="shared" si="4"/>
        <v>21.29</v>
      </c>
      <c r="E150" s="3">
        <f t="shared" si="5"/>
        <v>22.145</v>
      </c>
    </row>
    <row r="151" spans="1:5" x14ac:dyDescent="0.2">
      <c r="A151" s="9">
        <v>44721</v>
      </c>
      <c r="B151">
        <v>18.89</v>
      </c>
      <c r="C151" s="10">
        <v>19.96</v>
      </c>
      <c r="D151">
        <f t="shared" si="4"/>
        <v>22.19</v>
      </c>
      <c r="E151" s="3">
        <f t="shared" si="5"/>
        <v>23.46</v>
      </c>
    </row>
    <row r="152" spans="1:5" x14ac:dyDescent="0.2">
      <c r="A152" s="9">
        <v>44722</v>
      </c>
      <c r="B152">
        <v>19.53</v>
      </c>
      <c r="C152" s="10">
        <v>20.14</v>
      </c>
      <c r="D152">
        <f t="shared" si="4"/>
        <v>22.830000000000002</v>
      </c>
      <c r="E152" s="3">
        <f t="shared" si="5"/>
        <v>23.64</v>
      </c>
    </row>
    <row r="153" spans="1:5" x14ac:dyDescent="0.2">
      <c r="A153" s="9">
        <v>44723</v>
      </c>
      <c r="B153">
        <v>20.36</v>
      </c>
      <c r="C153" s="10">
        <v>20.535</v>
      </c>
      <c r="D153">
        <f t="shared" si="4"/>
        <v>23.66</v>
      </c>
      <c r="E153" s="3">
        <f t="shared" si="5"/>
        <v>24.035</v>
      </c>
    </row>
    <row r="154" spans="1:5" x14ac:dyDescent="0.2">
      <c r="A154" s="9">
        <v>44724</v>
      </c>
      <c r="B154">
        <v>20.63</v>
      </c>
      <c r="C154" s="10">
        <v>21.015000000000001</v>
      </c>
      <c r="D154">
        <f t="shared" si="4"/>
        <v>23.93</v>
      </c>
      <c r="E154" s="3">
        <f t="shared" si="5"/>
        <v>24.515000000000001</v>
      </c>
    </row>
    <row r="155" spans="1:5" x14ac:dyDescent="0.2">
      <c r="A155" s="9">
        <v>44725</v>
      </c>
      <c r="B155">
        <v>20.97</v>
      </c>
      <c r="C155" s="10">
        <v>21.11</v>
      </c>
      <c r="D155">
        <f t="shared" si="4"/>
        <v>24.27</v>
      </c>
      <c r="E155" s="3">
        <f t="shared" si="5"/>
        <v>24.61</v>
      </c>
    </row>
    <row r="156" spans="1:5" x14ac:dyDescent="0.2">
      <c r="A156" s="9">
        <v>44726</v>
      </c>
      <c r="B156">
        <v>21.92</v>
      </c>
      <c r="C156" s="10">
        <v>20.914999999999999</v>
      </c>
      <c r="D156">
        <f t="shared" si="4"/>
        <v>25.220000000000002</v>
      </c>
      <c r="E156" s="3">
        <f t="shared" si="5"/>
        <v>24.414999999999999</v>
      </c>
    </row>
    <row r="157" spans="1:5" x14ac:dyDescent="0.2">
      <c r="A157" s="9">
        <v>44727</v>
      </c>
      <c r="B157">
        <v>22.43</v>
      </c>
      <c r="C157" s="10">
        <v>21.700000000000003</v>
      </c>
      <c r="D157">
        <f t="shared" si="4"/>
        <v>25.73</v>
      </c>
      <c r="E157" s="3">
        <f t="shared" si="5"/>
        <v>25.200000000000003</v>
      </c>
    </row>
    <row r="158" spans="1:5" x14ac:dyDescent="0.2">
      <c r="A158" s="9">
        <v>44728</v>
      </c>
      <c r="B158">
        <v>24.32</v>
      </c>
      <c r="C158" s="10">
        <v>22.655000000000001</v>
      </c>
      <c r="D158">
        <f t="shared" si="4"/>
        <v>27.62</v>
      </c>
      <c r="E158" s="3">
        <f t="shared" si="5"/>
        <v>26.155000000000001</v>
      </c>
    </row>
    <row r="159" spans="1:5" x14ac:dyDescent="0.2">
      <c r="A159" s="9">
        <v>44729</v>
      </c>
      <c r="B159">
        <v>23.66</v>
      </c>
      <c r="C159" s="10">
        <v>22.799999999999997</v>
      </c>
      <c r="D159">
        <f t="shared" si="4"/>
        <v>26.96</v>
      </c>
      <c r="E159" s="3">
        <f t="shared" si="5"/>
        <v>26.299999999999997</v>
      </c>
    </row>
    <row r="160" spans="1:5" x14ac:dyDescent="0.2">
      <c r="A160" s="9">
        <v>44730</v>
      </c>
      <c r="B160">
        <v>24.67</v>
      </c>
      <c r="C160" s="10">
        <v>23.22</v>
      </c>
      <c r="D160">
        <f t="shared" si="4"/>
        <v>27.970000000000002</v>
      </c>
      <c r="E160" s="3">
        <f t="shared" si="5"/>
        <v>26.72</v>
      </c>
    </row>
    <row r="161" spans="1:5" x14ac:dyDescent="0.2">
      <c r="A161" s="9">
        <v>44731</v>
      </c>
      <c r="B161">
        <v>23</v>
      </c>
      <c r="C161" s="10">
        <v>22.414999999999999</v>
      </c>
      <c r="D161">
        <f t="shared" si="4"/>
        <v>26.3</v>
      </c>
      <c r="E161" s="3">
        <f t="shared" si="5"/>
        <v>25.914999999999999</v>
      </c>
    </row>
    <row r="162" spans="1:5" x14ac:dyDescent="0.2">
      <c r="A162" s="9">
        <v>44732</v>
      </c>
      <c r="B162">
        <v>21.05</v>
      </c>
      <c r="C162" s="10">
        <v>21.81</v>
      </c>
      <c r="D162">
        <f t="shared" si="4"/>
        <v>24.35</v>
      </c>
      <c r="E162" s="3">
        <f t="shared" si="5"/>
        <v>25.31</v>
      </c>
    </row>
    <row r="163" spans="1:5" x14ac:dyDescent="0.2">
      <c r="A163" s="9">
        <v>44733</v>
      </c>
      <c r="B163">
        <v>22.97</v>
      </c>
      <c r="C163" s="10">
        <v>22.28</v>
      </c>
      <c r="D163">
        <f t="shared" si="4"/>
        <v>26.27</v>
      </c>
      <c r="E163" s="3">
        <f t="shared" si="5"/>
        <v>25.78</v>
      </c>
    </row>
    <row r="164" spans="1:5" x14ac:dyDescent="0.2">
      <c r="A164" s="9">
        <v>44734</v>
      </c>
      <c r="B164">
        <v>23.21</v>
      </c>
      <c r="C164" s="10">
        <v>22.72</v>
      </c>
      <c r="D164">
        <f t="shared" si="4"/>
        <v>26.51</v>
      </c>
      <c r="E164" s="3">
        <f t="shared" si="5"/>
        <v>26.22</v>
      </c>
    </row>
    <row r="165" spans="1:5" x14ac:dyDescent="0.2">
      <c r="A165" s="9">
        <v>44735</v>
      </c>
      <c r="B165">
        <v>23.83</v>
      </c>
      <c r="C165" s="10">
        <v>23.285</v>
      </c>
      <c r="D165">
        <f t="shared" si="4"/>
        <v>27.13</v>
      </c>
      <c r="E165" s="3">
        <f t="shared" si="5"/>
        <v>26.785</v>
      </c>
    </row>
    <row r="166" spans="1:5" x14ac:dyDescent="0.2">
      <c r="A166" s="9">
        <v>44736</v>
      </c>
      <c r="B166">
        <v>23.71</v>
      </c>
      <c r="C166" s="10">
        <v>23.63</v>
      </c>
      <c r="D166">
        <f t="shared" si="4"/>
        <v>27.01</v>
      </c>
      <c r="E166" s="3">
        <f t="shared" si="5"/>
        <v>27.13</v>
      </c>
    </row>
    <row r="167" spans="1:5" x14ac:dyDescent="0.2">
      <c r="A167" s="9">
        <v>44737</v>
      </c>
      <c r="B167">
        <v>23.51</v>
      </c>
      <c r="C167" s="10">
        <v>23.39</v>
      </c>
      <c r="D167">
        <f t="shared" si="4"/>
        <v>26.810000000000002</v>
      </c>
      <c r="E167" s="3">
        <f t="shared" si="5"/>
        <v>26.89</v>
      </c>
    </row>
    <row r="168" spans="1:5" x14ac:dyDescent="0.2">
      <c r="A168" s="9">
        <v>44738</v>
      </c>
      <c r="B168">
        <v>22.73</v>
      </c>
      <c r="C168" s="10">
        <v>22.89</v>
      </c>
      <c r="D168">
        <f t="shared" si="4"/>
        <v>26.03</v>
      </c>
      <c r="E168" s="3">
        <f t="shared" si="5"/>
        <v>26.39</v>
      </c>
    </row>
    <row r="169" spans="1:5" x14ac:dyDescent="0.2">
      <c r="A169" s="9">
        <v>44739</v>
      </c>
      <c r="B169">
        <v>22.26</v>
      </c>
      <c r="C169" s="10">
        <v>22.6</v>
      </c>
      <c r="D169">
        <f t="shared" si="4"/>
        <v>25.560000000000002</v>
      </c>
      <c r="E169" s="3">
        <f t="shared" si="5"/>
        <v>26.1</v>
      </c>
    </row>
    <row r="170" spans="1:5" x14ac:dyDescent="0.2">
      <c r="A170" s="9">
        <v>44740</v>
      </c>
      <c r="B170">
        <v>22.91</v>
      </c>
      <c r="C170" s="10">
        <v>23.255000000000003</v>
      </c>
      <c r="D170">
        <f t="shared" si="4"/>
        <v>26.21</v>
      </c>
      <c r="E170" s="3">
        <f t="shared" si="5"/>
        <v>26.755000000000003</v>
      </c>
    </row>
    <row r="171" spans="1:5" x14ac:dyDescent="0.2">
      <c r="A171" s="9">
        <v>44741</v>
      </c>
      <c r="B171">
        <v>23.31</v>
      </c>
      <c r="C171" s="10">
        <v>23.204999999999998</v>
      </c>
      <c r="D171">
        <f t="shared" si="4"/>
        <v>26.61</v>
      </c>
      <c r="E171" s="3">
        <f t="shared" si="5"/>
        <v>26.704999999999998</v>
      </c>
    </row>
    <row r="172" spans="1:5" x14ac:dyDescent="0.2">
      <c r="A172" s="9">
        <v>44742</v>
      </c>
      <c r="B172">
        <v>23.32</v>
      </c>
      <c r="C172" s="10">
        <v>23.310000000000002</v>
      </c>
      <c r="D172">
        <f t="shared" si="4"/>
        <v>26.62</v>
      </c>
      <c r="E172" s="3">
        <f t="shared" si="5"/>
        <v>26.810000000000002</v>
      </c>
    </row>
    <row r="173" spans="1:5" x14ac:dyDescent="0.2">
      <c r="A173" s="9">
        <v>44743</v>
      </c>
      <c r="B173">
        <v>22.07</v>
      </c>
      <c r="C173" s="10">
        <v>22.95</v>
      </c>
      <c r="D173">
        <f t="shared" si="4"/>
        <v>25.37</v>
      </c>
      <c r="E173" s="3">
        <f t="shared" si="5"/>
        <v>26.45</v>
      </c>
    </row>
    <row r="174" spans="1:5" x14ac:dyDescent="0.2">
      <c r="A174" s="9">
        <v>44744</v>
      </c>
      <c r="B174">
        <v>22.22</v>
      </c>
      <c r="C174" s="10">
        <v>22.645000000000003</v>
      </c>
      <c r="D174">
        <f t="shared" si="4"/>
        <v>25.52</v>
      </c>
      <c r="E174" s="3">
        <f t="shared" si="5"/>
        <v>26.145000000000003</v>
      </c>
    </row>
    <row r="175" spans="1:5" x14ac:dyDescent="0.2">
      <c r="A175" s="9">
        <v>44745</v>
      </c>
      <c r="B175">
        <v>21.63</v>
      </c>
      <c r="C175" s="10">
        <v>22.545000000000002</v>
      </c>
      <c r="D175">
        <f t="shared" si="4"/>
        <v>24.93</v>
      </c>
      <c r="E175" s="3">
        <f t="shared" si="5"/>
        <v>26.045000000000002</v>
      </c>
    </row>
    <row r="176" spans="1:5" x14ac:dyDescent="0.2">
      <c r="A176" s="9">
        <v>44746</v>
      </c>
      <c r="B176">
        <v>22.15</v>
      </c>
      <c r="C176" s="10">
        <v>23.09</v>
      </c>
      <c r="D176">
        <f t="shared" si="4"/>
        <v>25.45</v>
      </c>
      <c r="E176" s="3">
        <f t="shared" si="5"/>
        <v>26.59</v>
      </c>
    </row>
    <row r="177" spans="1:5" x14ac:dyDescent="0.2">
      <c r="A177" s="9">
        <v>44747</v>
      </c>
      <c r="B177">
        <v>22.48</v>
      </c>
      <c r="C177" s="10">
        <v>23.05</v>
      </c>
      <c r="D177">
        <f t="shared" si="4"/>
        <v>25.78</v>
      </c>
      <c r="E177" s="3">
        <f t="shared" si="5"/>
        <v>26.55</v>
      </c>
    </row>
    <row r="178" spans="1:5" x14ac:dyDescent="0.2">
      <c r="A178" s="9">
        <v>44748</v>
      </c>
      <c r="B178">
        <v>22.33</v>
      </c>
      <c r="C178" s="10">
        <v>22.87</v>
      </c>
      <c r="D178">
        <f t="shared" si="4"/>
        <v>25.63</v>
      </c>
      <c r="E178" s="3">
        <f t="shared" si="5"/>
        <v>26.37</v>
      </c>
    </row>
    <row r="179" spans="1:5" x14ac:dyDescent="0.2">
      <c r="A179" s="9">
        <v>44749</v>
      </c>
      <c r="B179">
        <v>21.31</v>
      </c>
      <c r="C179" s="10">
        <v>22.185000000000002</v>
      </c>
      <c r="D179">
        <f t="shared" si="4"/>
        <v>24.61</v>
      </c>
      <c r="E179" s="3">
        <f t="shared" si="5"/>
        <v>25.685000000000002</v>
      </c>
    </row>
    <row r="180" spans="1:5" x14ac:dyDescent="0.2">
      <c r="A180" s="9">
        <v>44750</v>
      </c>
      <c r="B180">
        <v>21.55</v>
      </c>
      <c r="C180" s="10">
        <v>22.509999999999998</v>
      </c>
      <c r="D180">
        <f t="shared" si="4"/>
        <v>24.85</v>
      </c>
      <c r="E180" s="3">
        <f t="shared" si="5"/>
        <v>26.009999999999998</v>
      </c>
    </row>
    <row r="181" spans="1:5" x14ac:dyDescent="0.2">
      <c r="A181" s="9">
        <v>44751</v>
      </c>
      <c r="B181">
        <v>21.85</v>
      </c>
      <c r="C181" s="10">
        <v>22.175000000000001</v>
      </c>
      <c r="D181">
        <f t="shared" si="4"/>
        <v>25.150000000000002</v>
      </c>
      <c r="E181" s="3">
        <f t="shared" si="5"/>
        <v>25.675000000000001</v>
      </c>
    </row>
    <row r="182" spans="1:5" x14ac:dyDescent="0.2">
      <c r="A182" s="9">
        <v>44752</v>
      </c>
      <c r="B182">
        <v>21.47</v>
      </c>
      <c r="C182" s="10">
        <v>22.164999999999999</v>
      </c>
      <c r="D182">
        <f t="shared" si="4"/>
        <v>24.77</v>
      </c>
      <c r="E182" s="3">
        <f t="shared" si="5"/>
        <v>25.664999999999999</v>
      </c>
    </row>
    <row r="183" spans="1:5" x14ac:dyDescent="0.2">
      <c r="A183" s="9">
        <v>44753</v>
      </c>
      <c r="B183">
        <v>24.83</v>
      </c>
      <c r="C183" s="10">
        <v>22.82</v>
      </c>
      <c r="D183">
        <f t="shared" si="4"/>
        <v>28.13</v>
      </c>
      <c r="E183" s="3">
        <f t="shared" si="5"/>
        <v>26.32</v>
      </c>
    </row>
    <row r="184" spans="1:5" x14ac:dyDescent="0.2">
      <c r="A184" s="9">
        <v>44754</v>
      </c>
      <c r="B184">
        <v>23.59</v>
      </c>
      <c r="C184" s="10">
        <v>23.134999999999998</v>
      </c>
      <c r="D184">
        <f t="shared" si="4"/>
        <v>26.89</v>
      </c>
      <c r="E184" s="3">
        <f t="shared" si="5"/>
        <v>26.634999999999998</v>
      </c>
    </row>
    <row r="185" spans="1:5" x14ac:dyDescent="0.2">
      <c r="A185" s="9">
        <v>44755</v>
      </c>
      <c r="B185">
        <v>24.31</v>
      </c>
      <c r="C185" s="10">
        <v>23.62</v>
      </c>
      <c r="D185">
        <f t="shared" si="4"/>
        <v>27.61</v>
      </c>
      <c r="E185" s="3">
        <f t="shared" si="5"/>
        <v>27.12</v>
      </c>
    </row>
    <row r="186" spans="1:5" x14ac:dyDescent="0.2">
      <c r="A186" s="9">
        <v>44756</v>
      </c>
      <c r="B186">
        <v>24.72</v>
      </c>
      <c r="C186" s="10">
        <v>23.625</v>
      </c>
      <c r="D186">
        <f t="shared" si="4"/>
        <v>28.02</v>
      </c>
      <c r="E186" s="3">
        <f t="shared" si="5"/>
        <v>27.125</v>
      </c>
    </row>
    <row r="187" spans="1:5" x14ac:dyDescent="0.2">
      <c r="A187" s="9">
        <v>44757</v>
      </c>
      <c r="B187">
        <v>23.13</v>
      </c>
      <c r="C187" s="10">
        <v>23.535</v>
      </c>
      <c r="D187">
        <f t="shared" si="4"/>
        <v>26.43</v>
      </c>
      <c r="E187" s="3">
        <f t="shared" si="5"/>
        <v>27.035</v>
      </c>
    </row>
    <row r="188" spans="1:5" x14ac:dyDescent="0.2">
      <c r="A188" s="9">
        <v>44758</v>
      </c>
      <c r="B188">
        <v>23.15</v>
      </c>
      <c r="C188" s="10">
        <v>23.414999999999999</v>
      </c>
      <c r="D188">
        <f t="shared" si="4"/>
        <v>26.45</v>
      </c>
      <c r="E188" s="3">
        <f t="shared" si="5"/>
        <v>26.914999999999999</v>
      </c>
    </row>
    <row r="189" spans="1:5" x14ac:dyDescent="0.2">
      <c r="A189" s="9">
        <v>44759</v>
      </c>
      <c r="B189">
        <v>24.41</v>
      </c>
      <c r="C189" s="10">
        <v>23.57</v>
      </c>
      <c r="D189">
        <f t="shared" si="4"/>
        <v>27.71</v>
      </c>
      <c r="E189" s="3">
        <f t="shared" si="5"/>
        <v>27.07</v>
      </c>
    </row>
    <row r="190" spans="1:5" x14ac:dyDescent="0.2">
      <c r="A190" s="9">
        <v>44760</v>
      </c>
      <c r="B190">
        <v>27.81</v>
      </c>
      <c r="C190" s="10">
        <v>24.39</v>
      </c>
      <c r="D190">
        <f t="shared" si="4"/>
        <v>31.11</v>
      </c>
      <c r="E190" s="3">
        <f t="shared" si="5"/>
        <v>27.89</v>
      </c>
    </row>
    <row r="191" spans="1:5" x14ac:dyDescent="0.2">
      <c r="A191" s="9">
        <v>44761</v>
      </c>
      <c r="B191">
        <v>25.38</v>
      </c>
      <c r="C191" s="10">
        <v>25.174999999999997</v>
      </c>
      <c r="D191">
        <f t="shared" si="4"/>
        <v>28.68</v>
      </c>
      <c r="E191" s="3">
        <f t="shared" si="5"/>
        <v>28.674999999999997</v>
      </c>
    </row>
    <row r="192" spans="1:5" x14ac:dyDescent="0.2">
      <c r="A192" s="9">
        <v>44762</v>
      </c>
      <c r="B192">
        <v>24.93</v>
      </c>
      <c r="C192" s="10">
        <v>25.240000000000002</v>
      </c>
      <c r="D192">
        <f t="shared" si="4"/>
        <v>28.23</v>
      </c>
      <c r="E192" s="3">
        <f t="shared" si="5"/>
        <v>28.740000000000002</v>
      </c>
    </row>
    <row r="193" spans="1:5" x14ac:dyDescent="0.2">
      <c r="A193" s="9">
        <v>44763</v>
      </c>
      <c r="B193">
        <v>24.29</v>
      </c>
      <c r="C193" s="10">
        <v>24.66</v>
      </c>
      <c r="D193">
        <f t="shared" si="4"/>
        <v>27.59</v>
      </c>
      <c r="E193" s="3">
        <f t="shared" si="5"/>
        <v>28.16</v>
      </c>
    </row>
    <row r="194" spans="1:5" x14ac:dyDescent="0.2">
      <c r="A194" s="9">
        <v>44764</v>
      </c>
      <c r="B194">
        <v>23.33</v>
      </c>
      <c r="C194" s="10">
        <v>23.645</v>
      </c>
      <c r="D194">
        <f t="shared" si="4"/>
        <v>26.63</v>
      </c>
      <c r="E194" s="3">
        <f t="shared" si="5"/>
        <v>27.145</v>
      </c>
    </row>
    <row r="195" spans="1:5" x14ac:dyDescent="0.2">
      <c r="A195" s="9">
        <v>44765</v>
      </c>
      <c r="B195">
        <v>27.12</v>
      </c>
      <c r="C195" s="10">
        <v>23.674999999999997</v>
      </c>
      <c r="D195">
        <f t="shared" si="4"/>
        <v>30.42</v>
      </c>
      <c r="E195" s="3">
        <f t="shared" si="5"/>
        <v>27.174999999999997</v>
      </c>
    </row>
    <row r="196" spans="1:5" x14ac:dyDescent="0.2">
      <c r="A196" s="9">
        <v>44766</v>
      </c>
      <c r="B196">
        <v>24.49</v>
      </c>
      <c r="C196" s="10">
        <v>24.164999999999999</v>
      </c>
      <c r="D196">
        <f t="shared" ref="D196:D259" si="6">B196+3.3</f>
        <v>27.79</v>
      </c>
      <c r="E196" s="3">
        <f t="shared" ref="E196:E259" si="7">C196+3.5</f>
        <v>27.664999999999999</v>
      </c>
    </row>
    <row r="197" spans="1:5" x14ac:dyDescent="0.2">
      <c r="A197" s="9">
        <v>44767</v>
      </c>
      <c r="B197">
        <v>23.76</v>
      </c>
      <c r="C197" s="10">
        <v>24.115000000000002</v>
      </c>
      <c r="D197">
        <f t="shared" si="6"/>
        <v>27.060000000000002</v>
      </c>
      <c r="E197" s="3">
        <f t="shared" si="7"/>
        <v>27.615000000000002</v>
      </c>
    </row>
    <row r="198" spans="1:5" x14ac:dyDescent="0.2">
      <c r="A198" s="9">
        <v>44768</v>
      </c>
      <c r="B198">
        <v>22.73</v>
      </c>
      <c r="C198" s="10">
        <v>23.615000000000002</v>
      </c>
      <c r="D198">
        <f t="shared" si="6"/>
        <v>26.03</v>
      </c>
      <c r="E198" s="3">
        <f t="shared" si="7"/>
        <v>27.115000000000002</v>
      </c>
    </row>
    <row r="199" spans="1:5" x14ac:dyDescent="0.2">
      <c r="A199" s="9">
        <v>44769</v>
      </c>
      <c r="B199">
        <v>22.29</v>
      </c>
      <c r="C199" s="10">
        <v>23.03</v>
      </c>
      <c r="D199">
        <f t="shared" si="6"/>
        <v>25.59</v>
      </c>
      <c r="E199" s="3">
        <f t="shared" si="7"/>
        <v>26.53</v>
      </c>
    </row>
    <row r="200" spans="1:5" x14ac:dyDescent="0.2">
      <c r="A200" s="9">
        <v>44770</v>
      </c>
      <c r="B200">
        <v>21.59</v>
      </c>
      <c r="C200" s="10">
        <v>22.89</v>
      </c>
      <c r="D200">
        <f t="shared" si="6"/>
        <v>24.89</v>
      </c>
      <c r="E200" s="3">
        <f t="shared" si="7"/>
        <v>26.39</v>
      </c>
    </row>
    <row r="201" spans="1:5" x14ac:dyDescent="0.2">
      <c r="A201" s="9">
        <v>44771</v>
      </c>
      <c r="B201">
        <v>23.79</v>
      </c>
      <c r="C201" s="10">
        <v>22.755000000000003</v>
      </c>
      <c r="D201">
        <f t="shared" si="6"/>
        <v>27.09</v>
      </c>
      <c r="E201" s="3">
        <f t="shared" si="7"/>
        <v>26.255000000000003</v>
      </c>
    </row>
    <row r="202" spans="1:5" x14ac:dyDescent="0.2">
      <c r="A202" s="9">
        <v>44772</v>
      </c>
      <c r="B202">
        <v>23.15</v>
      </c>
      <c r="C202" s="10">
        <v>22.875</v>
      </c>
      <c r="D202">
        <f t="shared" si="6"/>
        <v>26.45</v>
      </c>
      <c r="E202" s="3">
        <f t="shared" si="7"/>
        <v>26.375</v>
      </c>
    </row>
    <row r="203" spans="1:5" x14ac:dyDescent="0.2">
      <c r="A203" s="9">
        <v>44773</v>
      </c>
      <c r="B203">
        <v>22.14</v>
      </c>
      <c r="C203" s="10">
        <v>22.515000000000001</v>
      </c>
      <c r="D203">
        <f t="shared" si="6"/>
        <v>25.44</v>
      </c>
      <c r="E203" s="3">
        <f t="shared" si="7"/>
        <v>26.015000000000001</v>
      </c>
    </row>
    <row r="204" spans="1:5" x14ac:dyDescent="0.2">
      <c r="A204" s="9">
        <v>44774</v>
      </c>
      <c r="B204">
        <v>23.01</v>
      </c>
      <c r="C204" s="10">
        <v>23.060000000000002</v>
      </c>
      <c r="D204">
        <f t="shared" si="6"/>
        <v>26.310000000000002</v>
      </c>
      <c r="E204" s="3">
        <f t="shared" si="7"/>
        <v>26.560000000000002</v>
      </c>
    </row>
    <row r="205" spans="1:5" x14ac:dyDescent="0.2">
      <c r="A205" s="9">
        <v>44775</v>
      </c>
      <c r="B205">
        <v>22.88</v>
      </c>
      <c r="C205" s="10">
        <v>23.344999999999999</v>
      </c>
      <c r="D205">
        <f t="shared" si="6"/>
        <v>26.18</v>
      </c>
      <c r="E205" s="3">
        <f t="shared" si="7"/>
        <v>26.844999999999999</v>
      </c>
    </row>
    <row r="206" spans="1:5" x14ac:dyDescent="0.2">
      <c r="A206" s="9">
        <v>44776</v>
      </c>
      <c r="B206">
        <v>23.85</v>
      </c>
      <c r="C206" s="10">
        <v>23.984999999999999</v>
      </c>
      <c r="D206">
        <f t="shared" si="6"/>
        <v>27.150000000000002</v>
      </c>
      <c r="E206" s="3">
        <f t="shared" si="7"/>
        <v>27.484999999999999</v>
      </c>
    </row>
    <row r="207" spans="1:5" x14ac:dyDescent="0.2">
      <c r="A207" s="9">
        <v>44777</v>
      </c>
      <c r="B207">
        <v>24.73</v>
      </c>
      <c r="C207" s="10">
        <v>24.185000000000002</v>
      </c>
      <c r="D207">
        <f t="shared" si="6"/>
        <v>28.03</v>
      </c>
      <c r="E207" s="3">
        <f t="shared" si="7"/>
        <v>27.685000000000002</v>
      </c>
    </row>
    <row r="208" spans="1:5" x14ac:dyDescent="0.2">
      <c r="A208" s="9">
        <v>44778</v>
      </c>
      <c r="B208">
        <v>23.69</v>
      </c>
      <c r="C208" s="10">
        <v>23.58</v>
      </c>
      <c r="D208">
        <f t="shared" si="6"/>
        <v>26.990000000000002</v>
      </c>
      <c r="E208" s="3">
        <f t="shared" si="7"/>
        <v>27.08</v>
      </c>
    </row>
    <row r="209" spans="1:5" x14ac:dyDescent="0.2">
      <c r="A209" s="9">
        <v>44779</v>
      </c>
      <c r="B209">
        <v>23.75</v>
      </c>
      <c r="C209" s="10">
        <v>23.25</v>
      </c>
      <c r="D209">
        <f t="shared" si="6"/>
        <v>27.05</v>
      </c>
      <c r="E209" s="3">
        <f t="shared" si="7"/>
        <v>26.75</v>
      </c>
    </row>
    <row r="210" spans="1:5" x14ac:dyDescent="0.2">
      <c r="A210" s="9">
        <v>44780</v>
      </c>
      <c r="B210">
        <v>25.87</v>
      </c>
      <c r="C210" s="10">
        <v>23.164999999999999</v>
      </c>
      <c r="D210">
        <f t="shared" si="6"/>
        <v>29.17</v>
      </c>
      <c r="E210" s="3">
        <f t="shared" si="7"/>
        <v>26.664999999999999</v>
      </c>
    </row>
    <row r="211" spans="1:5" x14ac:dyDescent="0.2">
      <c r="A211" s="9">
        <v>44781</v>
      </c>
      <c r="B211">
        <v>23.48</v>
      </c>
      <c r="C211" s="10">
        <v>23.08</v>
      </c>
      <c r="D211">
        <f t="shared" si="6"/>
        <v>26.78</v>
      </c>
      <c r="E211" s="3">
        <f t="shared" si="7"/>
        <v>26.58</v>
      </c>
    </row>
    <row r="212" spans="1:5" x14ac:dyDescent="0.2">
      <c r="A212" s="9">
        <v>44782</v>
      </c>
      <c r="B212">
        <v>22.92</v>
      </c>
      <c r="C212" s="10">
        <v>23.28</v>
      </c>
      <c r="D212">
        <f t="shared" si="6"/>
        <v>26.220000000000002</v>
      </c>
      <c r="E212" s="3">
        <f t="shared" si="7"/>
        <v>26.78</v>
      </c>
    </row>
    <row r="213" spans="1:5" x14ac:dyDescent="0.2">
      <c r="A213" s="9">
        <v>44783</v>
      </c>
      <c r="B213">
        <v>23.35</v>
      </c>
      <c r="C213" s="10">
        <v>23.619999999999997</v>
      </c>
      <c r="D213">
        <f t="shared" si="6"/>
        <v>26.650000000000002</v>
      </c>
      <c r="E213" s="3">
        <f t="shared" si="7"/>
        <v>27.119999999999997</v>
      </c>
    </row>
    <row r="214" spans="1:5" x14ac:dyDescent="0.2">
      <c r="A214" s="9">
        <v>44784</v>
      </c>
      <c r="B214">
        <v>23.98</v>
      </c>
      <c r="C214" s="10">
        <v>24.215</v>
      </c>
      <c r="D214">
        <f t="shared" si="6"/>
        <v>27.28</v>
      </c>
      <c r="E214" s="3">
        <f t="shared" si="7"/>
        <v>27.715</v>
      </c>
    </row>
    <row r="215" spans="1:5" x14ac:dyDescent="0.2">
      <c r="A215" s="9">
        <v>44785</v>
      </c>
      <c r="B215">
        <v>24.83</v>
      </c>
      <c r="C215" s="10">
        <v>24.785</v>
      </c>
      <c r="D215">
        <f t="shared" si="6"/>
        <v>28.13</v>
      </c>
      <c r="E215" s="3">
        <f t="shared" si="7"/>
        <v>28.285</v>
      </c>
    </row>
    <row r="216" spans="1:5" x14ac:dyDescent="0.2">
      <c r="A216" s="9">
        <v>44786</v>
      </c>
      <c r="B216">
        <v>25.38</v>
      </c>
      <c r="C216" s="10">
        <v>25.134999999999998</v>
      </c>
      <c r="D216">
        <f t="shared" si="6"/>
        <v>28.68</v>
      </c>
      <c r="E216" s="3">
        <f t="shared" si="7"/>
        <v>28.634999999999998</v>
      </c>
    </row>
    <row r="217" spans="1:5" x14ac:dyDescent="0.2">
      <c r="A217" s="9">
        <v>44787</v>
      </c>
      <c r="B217">
        <v>26.04</v>
      </c>
      <c r="C217" s="10">
        <v>25.21</v>
      </c>
      <c r="D217">
        <f t="shared" si="6"/>
        <v>29.34</v>
      </c>
      <c r="E217" s="3">
        <f t="shared" si="7"/>
        <v>28.71</v>
      </c>
    </row>
    <row r="218" spans="1:5" x14ac:dyDescent="0.2">
      <c r="A218" s="9">
        <v>44788</v>
      </c>
      <c r="B218">
        <v>25.36</v>
      </c>
      <c r="C218" s="10">
        <v>25.305</v>
      </c>
      <c r="D218">
        <f t="shared" si="6"/>
        <v>28.66</v>
      </c>
      <c r="E218" s="3">
        <f t="shared" si="7"/>
        <v>28.805</v>
      </c>
    </row>
    <row r="219" spans="1:5" x14ac:dyDescent="0.2">
      <c r="A219" s="9">
        <v>44789</v>
      </c>
      <c r="B219">
        <v>24.85</v>
      </c>
      <c r="C219" s="10">
        <v>25.045000000000002</v>
      </c>
      <c r="D219">
        <f t="shared" si="6"/>
        <v>28.150000000000002</v>
      </c>
      <c r="E219" s="3">
        <f t="shared" si="7"/>
        <v>28.545000000000002</v>
      </c>
    </row>
    <row r="220" spans="1:5" x14ac:dyDescent="0.2">
      <c r="A220" s="9">
        <v>44790</v>
      </c>
      <c r="B220">
        <v>24.17</v>
      </c>
      <c r="C220" s="10">
        <v>24.66</v>
      </c>
      <c r="D220">
        <f t="shared" si="6"/>
        <v>27.470000000000002</v>
      </c>
      <c r="E220" s="3">
        <f t="shared" si="7"/>
        <v>28.16</v>
      </c>
    </row>
    <row r="221" spans="1:5" x14ac:dyDescent="0.2">
      <c r="A221" s="9">
        <v>44791</v>
      </c>
      <c r="B221">
        <v>24.41</v>
      </c>
      <c r="C221" s="10">
        <v>24.175000000000001</v>
      </c>
      <c r="D221">
        <f t="shared" si="6"/>
        <v>27.71</v>
      </c>
      <c r="E221" s="3">
        <f t="shared" si="7"/>
        <v>27.675000000000001</v>
      </c>
    </row>
    <row r="222" spans="1:5" x14ac:dyDescent="0.2">
      <c r="A222" s="9">
        <v>44792</v>
      </c>
      <c r="B222">
        <v>23.79</v>
      </c>
      <c r="C222" s="10">
        <v>24.035</v>
      </c>
      <c r="D222">
        <f t="shared" si="6"/>
        <v>27.09</v>
      </c>
      <c r="E222" s="3">
        <f t="shared" si="7"/>
        <v>27.535</v>
      </c>
    </row>
    <row r="223" spans="1:5" x14ac:dyDescent="0.2">
      <c r="A223" s="9">
        <v>44793</v>
      </c>
      <c r="B223">
        <v>23.78</v>
      </c>
      <c r="C223" s="10">
        <v>23.8</v>
      </c>
      <c r="D223">
        <f t="shared" si="6"/>
        <v>27.080000000000002</v>
      </c>
      <c r="E223" s="3">
        <f t="shared" si="7"/>
        <v>27.3</v>
      </c>
    </row>
    <row r="224" spans="1:5" x14ac:dyDescent="0.2">
      <c r="A224" s="9">
        <v>44794</v>
      </c>
      <c r="B224">
        <v>23.19</v>
      </c>
      <c r="C224" s="10">
        <v>23.585000000000001</v>
      </c>
      <c r="D224">
        <f t="shared" si="6"/>
        <v>26.490000000000002</v>
      </c>
      <c r="E224" s="3">
        <f t="shared" si="7"/>
        <v>27.085000000000001</v>
      </c>
    </row>
    <row r="225" spans="1:5" x14ac:dyDescent="0.2">
      <c r="A225" s="9">
        <v>44795</v>
      </c>
      <c r="B225">
        <v>24.17</v>
      </c>
      <c r="C225" s="10">
        <v>24.1</v>
      </c>
      <c r="D225">
        <f t="shared" si="6"/>
        <v>27.470000000000002</v>
      </c>
      <c r="E225" s="3">
        <f t="shared" si="7"/>
        <v>27.6</v>
      </c>
    </row>
    <row r="226" spans="1:5" x14ac:dyDescent="0.2">
      <c r="A226" s="9">
        <v>44796</v>
      </c>
      <c r="B226">
        <v>24.97</v>
      </c>
      <c r="C226" s="10">
        <v>24.17</v>
      </c>
      <c r="D226">
        <f t="shared" si="6"/>
        <v>28.27</v>
      </c>
      <c r="E226" s="3">
        <f t="shared" si="7"/>
        <v>27.67</v>
      </c>
    </row>
    <row r="227" spans="1:5" x14ac:dyDescent="0.2">
      <c r="A227" s="9">
        <v>44797</v>
      </c>
      <c r="B227">
        <v>25.91</v>
      </c>
      <c r="C227" s="10">
        <v>24.305</v>
      </c>
      <c r="D227">
        <f t="shared" si="6"/>
        <v>29.21</v>
      </c>
      <c r="E227" s="3">
        <f t="shared" si="7"/>
        <v>27.805</v>
      </c>
    </row>
    <row r="228" spans="1:5" x14ac:dyDescent="0.2">
      <c r="A228" s="9">
        <v>44798</v>
      </c>
      <c r="B228">
        <v>25.35</v>
      </c>
      <c r="C228" s="10">
        <v>24.755000000000003</v>
      </c>
      <c r="D228">
        <f t="shared" si="6"/>
        <v>28.650000000000002</v>
      </c>
      <c r="E228" s="3">
        <f t="shared" si="7"/>
        <v>28.255000000000003</v>
      </c>
    </row>
    <row r="229" spans="1:5" x14ac:dyDescent="0.2">
      <c r="A229" s="9">
        <v>44799</v>
      </c>
      <c r="B229">
        <v>24.2</v>
      </c>
      <c r="C229" s="10">
        <v>24.17</v>
      </c>
      <c r="D229">
        <f t="shared" si="6"/>
        <v>27.5</v>
      </c>
      <c r="E229" s="3">
        <f t="shared" si="7"/>
        <v>27.67</v>
      </c>
    </row>
    <row r="230" spans="1:5" x14ac:dyDescent="0.2">
      <c r="A230" s="9">
        <v>44800</v>
      </c>
      <c r="B230">
        <v>22.47</v>
      </c>
      <c r="C230" s="10">
        <v>23.42</v>
      </c>
      <c r="D230">
        <f t="shared" si="6"/>
        <v>25.77</v>
      </c>
      <c r="E230" s="3">
        <f t="shared" si="7"/>
        <v>26.92</v>
      </c>
    </row>
    <row r="231" spans="1:5" x14ac:dyDescent="0.2">
      <c r="A231" s="9">
        <v>44801</v>
      </c>
      <c r="B231">
        <v>21.61</v>
      </c>
      <c r="C231" s="10">
        <v>22.82</v>
      </c>
      <c r="D231">
        <f t="shared" si="6"/>
        <v>24.91</v>
      </c>
      <c r="E231" s="3">
        <f t="shared" si="7"/>
        <v>26.32</v>
      </c>
    </row>
    <row r="232" spans="1:5" x14ac:dyDescent="0.2">
      <c r="A232" s="9">
        <v>44802</v>
      </c>
      <c r="B232">
        <v>21.31</v>
      </c>
      <c r="C232" s="10">
        <v>22.335000000000001</v>
      </c>
      <c r="D232">
        <f t="shared" si="6"/>
        <v>24.61</v>
      </c>
      <c r="E232" s="3">
        <f t="shared" si="7"/>
        <v>25.835000000000001</v>
      </c>
    </row>
    <row r="233" spans="1:5" x14ac:dyDescent="0.2">
      <c r="A233" s="9">
        <v>44803</v>
      </c>
      <c r="B233">
        <v>21.13</v>
      </c>
      <c r="C233" s="10">
        <v>21.995000000000001</v>
      </c>
      <c r="D233">
        <f t="shared" si="6"/>
        <v>24.43</v>
      </c>
      <c r="E233" s="3">
        <f t="shared" si="7"/>
        <v>25.495000000000001</v>
      </c>
    </row>
    <row r="234" spans="1:5" x14ac:dyDescent="0.2">
      <c r="A234" s="9">
        <v>44804</v>
      </c>
      <c r="B234">
        <v>20.68</v>
      </c>
      <c r="C234" s="10">
        <v>21.575000000000003</v>
      </c>
      <c r="D234">
        <f t="shared" si="6"/>
        <v>23.98</v>
      </c>
      <c r="E234" s="3">
        <f t="shared" si="7"/>
        <v>25.075000000000003</v>
      </c>
    </row>
    <row r="235" spans="1:5" x14ac:dyDescent="0.2">
      <c r="A235" s="9">
        <v>44805</v>
      </c>
      <c r="B235">
        <v>20.52</v>
      </c>
      <c r="C235" s="10">
        <v>21.765000000000001</v>
      </c>
      <c r="D235">
        <f t="shared" si="6"/>
        <v>23.82</v>
      </c>
      <c r="E235" s="3">
        <f t="shared" si="7"/>
        <v>25.265000000000001</v>
      </c>
    </row>
    <row r="236" spans="1:5" x14ac:dyDescent="0.2">
      <c r="A236" s="9">
        <v>44806</v>
      </c>
      <c r="B236">
        <v>20.41</v>
      </c>
      <c r="C236" s="10">
        <v>21.715</v>
      </c>
      <c r="D236">
        <f t="shared" si="6"/>
        <v>23.71</v>
      </c>
      <c r="E236" s="3">
        <f t="shared" si="7"/>
        <v>25.215</v>
      </c>
    </row>
    <row r="237" spans="1:5" x14ac:dyDescent="0.2">
      <c r="A237" s="9">
        <v>44807</v>
      </c>
      <c r="B237">
        <v>20.420000000000002</v>
      </c>
      <c r="C237" s="10">
        <v>21.83</v>
      </c>
      <c r="D237">
        <f t="shared" si="6"/>
        <v>23.720000000000002</v>
      </c>
      <c r="E237" s="3">
        <f t="shared" si="7"/>
        <v>25.33</v>
      </c>
    </row>
    <row r="238" spans="1:5" x14ac:dyDescent="0.2">
      <c r="A238" s="9">
        <v>44808</v>
      </c>
      <c r="B238">
        <v>21.51</v>
      </c>
      <c r="C238" s="10">
        <v>21.975000000000001</v>
      </c>
      <c r="D238">
        <f t="shared" si="6"/>
        <v>24.810000000000002</v>
      </c>
      <c r="E238" s="3">
        <f t="shared" si="7"/>
        <v>25.475000000000001</v>
      </c>
    </row>
    <row r="239" spans="1:5" x14ac:dyDescent="0.2">
      <c r="A239" s="9">
        <v>44809</v>
      </c>
      <c r="B239">
        <v>21.81</v>
      </c>
      <c r="C239" s="10">
        <v>22.094999999999999</v>
      </c>
      <c r="D239">
        <f t="shared" si="6"/>
        <v>25.11</v>
      </c>
      <c r="E239" s="3">
        <f t="shared" si="7"/>
        <v>25.594999999999999</v>
      </c>
    </row>
    <row r="240" spans="1:5" x14ac:dyDescent="0.2">
      <c r="A240" s="9">
        <v>44810</v>
      </c>
      <c r="B240">
        <v>22.22</v>
      </c>
      <c r="C240" s="10">
        <v>22.795000000000002</v>
      </c>
      <c r="D240">
        <f t="shared" si="6"/>
        <v>25.52</v>
      </c>
      <c r="E240" s="3">
        <f t="shared" si="7"/>
        <v>26.295000000000002</v>
      </c>
    </row>
    <row r="241" spans="1:5" x14ac:dyDescent="0.2">
      <c r="A241" s="9">
        <v>44811</v>
      </c>
      <c r="B241">
        <v>22.13</v>
      </c>
      <c r="C241" s="10">
        <v>22.585000000000001</v>
      </c>
      <c r="D241">
        <f t="shared" si="6"/>
        <v>25.43</v>
      </c>
      <c r="E241" s="3">
        <f t="shared" si="7"/>
        <v>26.085000000000001</v>
      </c>
    </row>
    <row r="242" spans="1:5" x14ac:dyDescent="0.2">
      <c r="A242" s="9">
        <v>44812</v>
      </c>
      <c r="B242">
        <v>22</v>
      </c>
      <c r="C242" s="10">
        <v>22.454999999999998</v>
      </c>
      <c r="D242">
        <f t="shared" si="6"/>
        <v>25.3</v>
      </c>
      <c r="E242" s="3">
        <f t="shared" si="7"/>
        <v>25.954999999999998</v>
      </c>
    </row>
    <row r="243" spans="1:5" x14ac:dyDescent="0.2">
      <c r="A243" s="9">
        <v>44813</v>
      </c>
      <c r="B243">
        <v>21.27</v>
      </c>
      <c r="C243" s="10">
        <v>21.78</v>
      </c>
      <c r="D243">
        <f t="shared" si="6"/>
        <v>24.57</v>
      </c>
      <c r="E243" s="3">
        <f t="shared" si="7"/>
        <v>25.28</v>
      </c>
    </row>
    <row r="244" spans="1:5" x14ac:dyDescent="0.2">
      <c r="A244" s="9">
        <v>44814</v>
      </c>
      <c r="B244">
        <v>20.41</v>
      </c>
      <c r="C244" s="10">
        <v>21.355</v>
      </c>
      <c r="D244">
        <f t="shared" si="6"/>
        <v>23.71</v>
      </c>
      <c r="E244" s="3">
        <f t="shared" si="7"/>
        <v>24.855</v>
      </c>
    </row>
    <row r="245" spans="1:5" x14ac:dyDescent="0.2">
      <c r="A245" s="9">
        <v>44815</v>
      </c>
      <c r="B245">
        <v>23.66</v>
      </c>
      <c r="C245" s="10">
        <v>21.215</v>
      </c>
      <c r="D245">
        <f t="shared" si="6"/>
        <v>26.96</v>
      </c>
      <c r="E245" s="3">
        <f t="shared" si="7"/>
        <v>24.715</v>
      </c>
    </row>
    <row r="246" spans="1:5" x14ac:dyDescent="0.2">
      <c r="A246" s="9">
        <v>44816</v>
      </c>
      <c r="B246">
        <v>20.92</v>
      </c>
      <c r="C246" s="10">
        <v>21.484999999999999</v>
      </c>
      <c r="D246">
        <f t="shared" si="6"/>
        <v>24.220000000000002</v>
      </c>
      <c r="E246" s="3">
        <f t="shared" si="7"/>
        <v>24.984999999999999</v>
      </c>
    </row>
    <row r="247" spans="1:5" x14ac:dyDescent="0.2">
      <c r="A247" s="9">
        <v>44817</v>
      </c>
      <c r="B247">
        <v>21.73</v>
      </c>
      <c r="C247" s="10">
        <v>21.594999999999999</v>
      </c>
      <c r="D247">
        <f t="shared" si="6"/>
        <v>25.03</v>
      </c>
      <c r="E247" s="3">
        <f t="shared" si="7"/>
        <v>25.094999999999999</v>
      </c>
    </row>
    <row r="248" spans="1:5" x14ac:dyDescent="0.2">
      <c r="A248" s="9">
        <v>44818</v>
      </c>
      <c r="B248">
        <v>21.18</v>
      </c>
      <c r="C248" s="10">
        <v>21.185000000000002</v>
      </c>
      <c r="D248">
        <f t="shared" si="6"/>
        <v>24.48</v>
      </c>
      <c r="E248" s="3">
        <f t="shared" si="7"/>
        <v>24.685000000000002</v>
      </c>
    </row>
    <row r="249" spans="1:5" x14ac:dyDescent="0.2">
      <c r="A249" s="9">
        <v>44819</v>
      </c>
      <c r="B249">
        <v>20.47</v>
      </c>
      <c r="C249" s="10">
        <v>20.734999999999999</v>
      </c>
      <c r="D249">
        <f t="shared" si="6"/>
        <v>23.77</v>
      </c>
      <c r="E249" s="3">
        <f t="shared" si="7"/>
        <v>24.234999999999999</v>
      </c>
    </row>
    <row r="250" spans="1:5" x14ac:dyDescent="0.2">
      <c r="A250" s="9">
        <v>44820</v>
      </c>
      <c r="B250">
        <v>19.2</v>
      </c>
      <c r="C250" s="10">
        <v>20.05</v>
      </c>
      <c r="D250">
        <f t="shared" si="6"/>
        <v>22.5</v>
      </c>
      <c r="E250" s="3">
        <f t="shared" si="7"/>
        <v>23.55</v>
      </c>
    </row>
    <row r="251" spans="1:5" x14ac:dyDescent="0.2">
      <c r="A251" s="9">
        <v>44821</v>
      </c>
      <c r="B251">
        <v>17.98</v>
      </c>
      <c r="C251" s="10">
        <v>19.105</v>
      </c>
      <c r="D251">
        <f t="shared" si="6"/>
        <v>21.28</v>
      </c>
      <c r="E251" s="3">
        <f t="shared" si="7"/>
        <v>22.605</v>
      </c>
    </row>
    <row r="252" spans="1:5" x14ac:dyDescent="0.2">
      <c r="A252" s="9">
        <v>44822</v>
      </c>
      <c r="B252">
        <v>16.98</v>
      </c>
      <c r="C252" s="10">
        <v>18.465</v>
      </c>
      <c r="D252">
        <f t="shared" si="6"/>
        <v>20.28</v>
      </c>
      <c r="E252" s="3">
        <f t="shared" si="7"/>
        <v>21.965</v>
      </c>
    </row>
    <row r="253" spans="1:5" x14ac:dyDescent="0.2">
      <c r="A253" s="9">
        <v>44823</v>
      </c>
      <c r="B253">
        <v>16.23</v>
      </c>
      <c r="C253" s="10">
        <v>17.035</v>
      </c>
      <c r="D253">
        <f t="shared" si="6"/>
        <v>19.53</v>
      </c>
      <c r="E253" s="3">
        <f t="shared" si="7"/>
        <v>20.535</v>
      </c>
    </row>
    <row r="254" spans="1:5" x14ac:dyDescent="0.2">
      <c r="A254" s="9">
        <v>44824</v>
      </c>
      <c r="B254">
        <v>16.28</v>
      </c>
      <c r="C254" s="10">
        <v>17.130000000000003</v>
      </c>
      <c r="D254">
        <f t="shared" si="6"/>
        <v>19.580000000000002</v>
      </c>
      <c r="E254" s="3">
        <f t="shared" si="7"/>
        <v>20.630000000000003</v>
      </c>
    </row>
    <row r="255" spans="1:5" x14ac:dyDescent="0.2">
      <c r="A255" s="9">
        <v>44825</v>
      </c>
      <c r="B255">
        <v>16.54</v>
      </c>
      <c r="C255" s="10">
        <v>17.62</v>
      </c>
      <c r="D255">
        <f t="shared" si="6"/>
        <v>19.84</v>
      </c>
      <c r="E255" s="3">
        <f t="shared" si="7"/>
        <v>21.12</v>
      </c>
    </row>
    <row r="256" spans="1:5" x14ac:dyDescent="0.2">
      <c r="A256" s="9">
        <v>44826</v>
      </c>
      <c r="B256">
        <v>16.5</v>
      </c>
      <c r="C256" s="10">
        <v>17.21</v>
      </c>
      <c r="D256">
        <f t="shared" si="6"/>
        <v>19.8</v>
      </c>
      <c r="E256" s="3">
        <f t="shared" si="7"/>
        <v>20.71</v>
      </c>
    </row>
    <row r="257" spans="1:5" x14ac:dyDescent="0.2">
      <c r="A257" s="9">
        <v>44827</v>
      </c>
      <c r="B257">
        <v>16.190000000000001</v>
      </c>
      <c r="C257" s="10">
        <v>17.195</v>
      </c>
      <c r="D257">
        <f t="shared" si="6"/>
        <v>19.490000000000002</v>
      </c>
      <c r="E257" s="3">
        <f t="shared" si="7"/>
        <v>20.695</v>
      </c>
    </row>
    <row r="258" spans="1:5" x14ac:dyDescent="0.2">
      <c r="A258" s="9">
        <v>44828</v>
      </c>
      <c r="B258">
        <v>16.059999999999999</v>
      </c>
      <c r="C258" s="10">
        <v>17.145</v>
      </c>
      <c r="D258">
        <f t="shared" si="6"/>
        <v>19.36</v>
      </c>
      <c r="E258" s="3">
        <f t="shared" si="7"/>
        <v>20.645</v>
      </c>
    </row>
    <row r="259" spans="1:5" x14ac:dyDescent="0.2">
      <c r="A259" s="9">
        <v>44829</v>
      </c>
      <c r="B259">
        <v>15.96</v>
      </c>
      <c r="C259" s="10">
        <v>16.91</v>
      </c>
      <c r="D259">
        <f t="shared" si="6"/>
        <v>19.260000000000002</v>
      </c>
      <c r="E259" s="3">
        <f t="shared" si="7"/>
        <v>20.41</v>
      </c>
    </row>
    <row r="260" spans="1:5" x14ac:dyDescent="0.2">
      <c r="A260" s="9">
        <v>44830</v>
      </c>
      <c r="B260">
        <v>15.55</v>
      </c>
      <c r="C260" s="10">
        <v>16.575000000000003</v>
      </c>
      <c r="D260">
        <f t="shared" ref="D260:D323" si="8">B260+3.3</f>
        <v>18.850000000000001</v>
      </c>
      <c r="E260" s="3">
        <f t="shared" ref="E260:E323" si="9">C260+3.5</f>
        <v>20.075000000000003</v>
      </c>
    </row>
    <row r="261" spans="1:5" x14ac:dyDescent="0.2">
      <c r="A261" s="9">
        <v>44831</v>
      </c>
      <c r="B261">
        <v>14.61</v>
      </c>
      <c r="C261" s="10">
        <v>16.074999999999999</v>
      </c>
      <c r="D261">
        <f t="shared" si="8"/>
        <v>17.91</v>
      </c>
      <c r="E261" s="3">
        <f t="shared" si="9"/>
        <v>19.574999999999999</v>
      </c>
    </row>
    <row r="262" spans="1:5" x14ac:dyDescent="0.2">
      <c r="A262" s="9">
        <v>44832</v>
      </c>
      <c r="B262">
        <v>14.35</v>
      </c>
      <c r="C262" s="10">
        <v>15.030000000000001</v>
      </c>
      <c r="D262">
        <f t="shared" si="8"/>
        <v>17.649999999999999</v>
      </c>
      <c r="E262" s="3">
        <f t="shared" si="9"/>
        <v>18.53</v>
      </c>
    </row>
    <row r="263" spans="1:5" x14ac:dyDescent="0.2">
      <c r="A263" s="9">
        <v>44833</v>
      </c>
      <c r="B263">
        <v>15.54</v>
      </c>
      <c r="C263" s="10">
        <v>14.690000000000001</v>
      </c>
      <c r="D263">
        <f t="shared" si="8"/>
        <v>18.84</v>
      </c>
      <c r="E263" s="3">
        <f t="shared" si="9"/>
        <v>18.190000000000001</v>
      </c>
    </row>
    <row r="264" spans="1:5" x14ac:dyDescent="0.2">
      <c r="A264" s="9">
        <v>44834</v>
      </c>
      <c r="B264">
        <v>14.49</v>
      </c>
      <c r="C264" s="10">
        <v>14.46</v>
      </c>
      <c r="D264">
        <f t="shared" si="8"/>
        <v>17.79</v>
      </c>
      <c r="E264" s="3">
        <f t="shared" si="9"/>
        <v>17.96</v>
      </c>
    </row>
    <row r="265" spans="1:5" x14ac:dyDescent="0.2">
      <c r="A265" s="9">
        <v>44835</v>
      </c>
      <c r="B265">
        <v>14.27</v>
      </c>
      <c r="C265" s="10">
        <v>14.774999999999999</v>
      </c>
      <c r="D265">
        <f t="shared" si="8"/>
        <v>17.57</v>
      </c>
      <c r="E265" s="3">
        <f t="shared" si="9"/>
        <v>18.274999999999999</v>
      </c>
    </row>
    <row r="266" spans="1:5" x14ac:dyDescent="0.2">
      <c r="A266" s="9">
        <v>44836</v>
      </c>
      <c r="B266">
        <v>14.68</v>
      </c>
      <c r="C266" s="10">
        <v>15.195</v>
      </c>
      <c r="D266">
        <f t="shared" si="8"/>
        <v>17.98</v>
      </c>
      <c r="E266" s="3">
        <f t="shared" si="9"/>
        <v>18.695</v>
      </c>
    </row>
    <row r="267" spans="1:5" x14ac:dyDescent="0.2">
      <c r="A267" s="9">
        <v>44837</v>
      </c>
      <c r="B267">
        <v>14.78</v>
      </c>
      <c r="C267" s="10">
        <v>15.27</v>
      </c>
      <c r="D267">
        <f t="shared" si="8"/>
        <v>18.079999999999998</v>
      </c>
      <c r="E267" s="3">
        <f t="shared" si="9"/>
        <v>18.77</v>
      </c>
    </row>
    <row r="268" spans="1:5" x14ac:dyDescent="0.2">
      <c r="A268" s="9">
        <v>44838</v>
      </c>
      <c r="B268">
        <v>14.94</v>
      </c>
      <c r="C268" s="10">
        <v>15.305</v>
      </c>
      <c r="D268">
        <f t="shared" si="8"/>
        <v>18.239999999999998</v>
      </c>
      <c r="E268" s="3">
        <f t="shared" si="9"/>
        <v>18.805</v>
      </c>
    </row>
    <row r="269" spans="1:5" x14ac:dyDescent="0.2">
      <c r="A269" s="9">
        <v>44839</v>
      </c>
      <c r="B269">
        <v>14.76</v>
      </c>
      <c r="C269" s="10">
        <v>15.275</v>
      </c>
      <c r="D269">
        <f t="shared" si="8"/>
        <v>18.059999999999999</v>
      </c>
      <c r="E269" s="3">
        <f t="shared" si="9"/>
        <v>18.774999999999999</v>
      </c>
    </row>
    <row r="270" spans="1:5" x14ac:dyDescent="0.2">
      <c r="A270" s="9">
        <v>44840</v>
      </c>
      <c r="B270">
        <v>14.61</v>
      </c>
      <c r="C270" s="10">
        <v>15.620000000000001</v>
      </c>
      <c r="D270">
        <f t="shared" si="8"/>
        <v>17.91</v>
      </c>
      <c r="E270" s="3">
        <f t="shared" si="9"/>
        <v>19.12</v>
      </c>
    </row>
    <row r="271" spans="1:5" x14ac:dyDescent="0.2">
      <c r="A271" s="9">
        <v>44841</v>
      </c>
      <c r="B271">
        <v>14.13</v>
      </c>
      <c r="C271" s="10">
        <v>15.245000000000001</v>
      </c>
      <c r="D271">
        <f t="shared" si="8"/>
        <v>17.43</v>
      </c>
      <c r="E271" s="3">
        <f t="shared" si="9"/>
        <v>18.745000000000001</v>
      </c>
    </row>
    <row r="272" spans="1:5" x14ac:dyDescent="0.2">
      <c r="A272" s="9">
        <v>44842</v>
      </c>
      <c r="B272">
        <v>14.02</v>
      </c>
      <c r="C272" s="10">
        <v>15.125</v>
      </c>
      <c r="D272">
        <f t="shared" si="8"/>
        <v>17.32</v>
      </c>
      <c r="E272" s="3">
        <f t="shared" si="9"/>
        <v>18.625</v>
      </c>
    </row>
    <row r="273" spans="1:5" x14ac:dyDescent="0.2">
      <c r="A273" s="9">
        <v>44843</v>
      </c>
      <c r="B273">
        <v>14.07</v>
      </c>
      <c r="C273" s="10">
        <v>15.035</v>
      </c>
      <c r="D273">
        <f t="shared" si="8"/>
        <v>17.37</v>
      </c>
      <c r="E273" s="3">
        <f t="shared" si="9"/>
        <v>18.535</v>
      </c>
    </row>
    <row r="274" spans="1:5" x14ac:dyDescent="0.2">
      <c r="A274" s="9">
        <v>44844</v>
      </c>
      <c r="B274">
        <v>13.52</v>
      </c>
      <c r="C274" s="10">
        <v>14.83</v>
      </c>
      <c r="D274">
        <f t="shared" si="8"/>
        <v>16.82</v>
      </c>
      <c r="E274" s="3">
        <f t="shared" si="9"/>
        <v>18.329999999999998</v>
      </c>
    </row>
    <row r="275" spans="1:5" x14ac:dyDescent="0.2">
      <c r="A275" s="9">
        <v>44845</v>
      </c>
      <c r="B275">
        <v>12.86</v>
      </c>
      <c r="C275" s="10">
        <v>14.895</v>
      </c>
      <c r="D275">
        <f t="shared" si="8"/>
        <v>16.16</v>
      </c>
      <c r="E275" s="3">
        <f t="shared" si="9"/>
        <v>18.395</v>
      </c>
    </row>
    <row r="276" spans="1:5" x14ac:dyDescent="0.2">
      <c r="A276" s="9">
        <v>44846</v>
      </c>
      <c r="B276">
        <v>13.05</v>
      </c>
      <c r="C276" s="10">
        <v>14.574999999999999</v>
      </c>
      <c r="D276">
        <f t="shared" si="8"/>
        <v>16.350000000000001</v>
      </c>
      <c r="E276" s="3">
        <f t="shared" si="9"/>
        <v>18.074999999999999</v>
      </c>
    </row>
    <row r="277" spans="1:5" x14ac:dyDescent="0.2">
      <c r="A277" s="9">
        <v>44847</v>
      </c>
      <c r="B277">
        <v>13.03</v>
      </c>
      <c r="C277" s="10">
        <v>14.7</v>
      </c>
      <c r="D277">
        <f t="shared" si="8"/>
        <v>16.329999999999998</v>
      </c>
      <c r="E277" s="3">
        <f t="shared" si="9"/>
        <v>18.2</v>
      </c>
    </row>
    <row r="278" spans="1:5" x14ac:dyDescent="0.2">
      <c r="A278" s="9">
        <v>44848</v>
      </c>
      <c r="B278">
        <v>13.21</v>
      </c>
      <c r="C278" s="10">
        <v>14.29</v>
      </c>
      <c r="D278">
        <f t="shared" si="8"/>
        <v>16.510000000000002</v>
      </c>
      <c r="E278" s="3">
        <f t="shared" si="9"/>
        <v>17.79</v>
      </c>
    </row>
    <row r="279" spans="1:5" x14ac:dyDescent="0.2">
      <c r="A279" s="9">
        <v>44849</v>
      </c>
      <c r="B279">
        <v>13.5</v>
      </c>
      <c r="C279" s="10">
        <v>14.395</v>
      </c>
      <c r="D279">
        <f t="shared" si="8"/>
        <v>16.8</v>
      </c>
      <c r="E279" s="3">
        <f t="shared" si="9"/>
        <v>17.895</v>
      </c>
    </row>
    <row r="280" spans="1:5" x14ac:dyDescent="0.2">
      <c r="A280" s="9">
        <v>44850</v>
      </c>
      <c r="B280">
        <v>13.65</v>
      </c>
      <c r="C280" s="10">
        <v>14.530000000000001</v>
      </c>
      <c r="D280">
        <f t="shared" si="8"/>
        <v>16.95</v>
      </c>
      <c r="E280" s="3">
        <f t="shared" si="9"/>
        <v>18.03</v>
      </c>
    </row>
    <row r="281" spans="1:5" x14ac:dyDescent="0.2">
      <c r="A281" s="9">
        <v>44851</v>
      </c>
      <c r="B281">
        <v>14.31</v>
      </c>
      <c r="C281" s="10">
        <v>14.705</v>
      </c>
      <c r="D281">
        <f t="shared" si="8"/>
        <v>17.61</v>
      </c>
      <c r="E281" s="3">
        <f t="shared" si="9"/>
        <v>18.204999999999998</v>
      </c>
    </row>
    <row r="282" spans="1:5" x14ac:dyDescent="0.2">
      <c r="A282" s="9">
        <v>44852</v>
      </c>
      <c r="B282">
        <v>13.88</v>
      </c>
      <c r="C282" s="10">
        <v>14.469999999999999</v>
      </c>
      <c r="D282">
        <f t="shared" si="8"/>
        <v>17.18</v>
      </c>
      <c r="E282" s="3">
        <f t="shared" si="9"/>
        <v>17.97</v>
      </c>
    </row>
    <row r="283" spans="1:5" x14ac:dyDescent="0.2">
      <c r="A283" s="9">
        <v>44853</v>
      </c>
      <c r="B283">
        <v>13.09</v>
      </c>
      <c r="C283" s="10">
        <v>14.535</v>
      </c>
      <c r="D283">
        <f t="shared" si="8"/>
        <v>16.39</v>
      </c>
      <c r="E283" s="3">
        <f t="shared" si="9"/>
        <v>18.035</v>
      </c>
    </row>
    <row r="284" spans="1:5" x14ac:dyDescent="0.2">
      <c r="A284" s="9">
        <v>44854</v>
      </c>
      <c r="B284">
        <v>13.34</v>
      </c>
      <c r="C284" s="10">
        <v>14.1</v>
      </c>
      <c r="D284">
        <f t="shared" si="8"/>
        <v>16.64</v>
      </c>
      <c r="E284" s="3">
        <f t="shared" si="9"/>
        <v>17.600000000000001</v>
      </c>
    </row>
    <row r="285" spans="1:5" x14ac:dyDescent="0.2">
      <c r="A285" s="9">
        <v>44855</v>
      </c>
      <c r="B285">
        <v>13.55</v>
      </c>
      <c r="C285" s="10">
        <v>14.66</v>
      </c>
      <c r="D285">
        <f t="shared" si="8"/>
        <v>16.850000000000001</v>
      </c>
      <c r="E285" s="3">
        <f t="shared" si="9"/>
        <v>18.16</v>
      </c>
    </row>
    <row r="286" spans="1:5" x14ac:dyDescent="0.2">
      <c r="A286" s="9">
        <v>44856</v>
      </c>
      <c r="B286">
        <v>13.52</v>
      </c>
      <c r="C286" s="10">
        <v>14.574999999999999</v>
      </c>
      <c r="D286">
        <f t="shared" si="8"/>
        <v>16.82</v>
      </c>
      <c r="E286" s="3">
        <f t="shared" si="9"/>
        <v>18.074999999999999</v>
      </c>
    </row>
    <row r="287" spans="1:5" x14ac:dyDescent="0.2">
      <c r="A287" s="9">
        <v>44857</v>
      </c>
      <c r="B287">
        <v>13.72</v>
      </c>
      <c r="C287" s="10">
        <v>14.484999999999999</v>
      </c>
      <c r="D287">
        <f t="shared" si="8"/>
        <v>17.02</v>
      </c>
      <c r="E287" s="3">
        <f t="shared" si="9"/>
        <v>17.984999999999999</v>
      </c>
    </row>
    <row r="288" spans="1:5" x14ac:dyDescent="0.2">
      <c r="A288" s="9">
        <v>44858</v>
      </c>
      <c r="B288">
        <v>13.82</v>
      </c>
      <c r="C288" s="10">
        <v>14.495000000000001</v>
      </c>
      <c r="D288">
        <f t="shared" si="8"/>
        <v>17.12</v>
      </c>
      <c r="E288" s="3">
        <f t="shared" si="9"/>
        <v>17.995000000000001</v>
      </c>
    </row>
    <row r="289" spans="1:5" x14ac:dyDescent="0.2">
      <c r="A289" s="9">
        <v>44859</v>
      </c>
      <c r="B289">
        <v>13.88</v>
      </c>
      <c r="C289" s="10">
        <v>14.690000000000001</v>
      </c>
      <c r="D289">
        <f t="shared" si="8"/>
        <v>17.18</v>
      </c>
      <c r="E289" s="3">
        <f t="shared" si="9"/>
        <v>18.190000000000001</v>
      </c>
    </row>
    <row r="290" spans="1:5" x14ac:dyDescent="0.2">
      <c r="A290" s="9">
        <v>44860</v>
      </c>
      <c r="B290">
        <v>13.97</v>
      </c>
      <c r="C290" s="10">
        <v>14.79</v>
      </c>
      <c r="D290">
        <f t="shared" si="8"/>
        <v>17.27</v>
      </c>
      <c r="E290" s="3">
        <f t="shared" si="9"/>
        <v>18.29</v>
      </c>
    </row>
    <row r="291" spans="1:5" x14ac:dyDescent="0.2">
      <c r="A291" s="9">
        <v>44861</v>
      </c>
      <c r="B291">
        <v>14.24</v>
      </c>
      <c r="C291" s="10">
        <v>14.745000000000001</v>
      </c>
      <c r="D291">
        <f t="shared" si="8"/>
        <v>17.54</v>
      </c>
      <c r="E291" s="3">
        <f t="shared" si="9"/>
        <v>18.245000000000001</v>
      </c>
    </row>
    <row r="292" spans="1:5" x14ac:dyDescent="0.2">
      <c r="A292" s="9">
        <v>44862</v>
      </c>
      <c r="B292">
        <v>14.5</v>
      </c>
      <c r="C292" s="10">
        <v>15.004999999999999</v>
      </c>
      <c r="D292">
        <f t="shared" si="8"/>
        <v>17.8</v>
      </c>
      <c r="E292" s="3">
        <f t="shared" si="9"/>
        <v>18.504999999999999</v>
      </c>
    </row>
    <row r="293" spans="1:5" x14ac:dyDescent="0.2">
      <c r="A293" s="9">
        <v>44863</v>
      </c>
      <c r="B293">
        <v>15.51</v>
      </c>
      <c r="C293" s="10">
        <v>15.095000000000001</v>
      </c>
      <c r="D293">
        <f t="shared" si="8"/>
        <v>18.809999999999999</v>
      </c>
      <c r="E293" s="3">
        <f t="shared" si="9"/>
        <v>18.594999999999999</v>
      </c>
    </row>
    <row r="294" spans="1:5" x14ac:dyDescent="0.2">
      <c r="A294" s="9">
        <v>44864</v>
      </c>
      <c r="B294">
        <v>14.23</v>
      </c>
      <c r="C294" s="10">
        <v>15.41</v>
      </c>
      <c r="D294">
        <f t="shared" si="8"/>
        <v>17.53</v>
      </c>
      <c r="E294" s="3">
        <f t="shared" si="9"/>
        <v>18.91</v>
      </c>
    </row>
    <row r="295" spans="1:5" x14ac:dyDescent="0.2">
      <c r="A295" s="9">
        <v>44865</v>
      </c>
      <c r="B295">
        <v>13.78</v>
      </c>
      <c r="C295" s="10">
        <v>15.06</v>
      </c>
      <c r="D295">
        <f t="shared" si="8"/>
        <v>17.079999999999998</v>
      </c>
      <c r="E295" s="3">
        <f t="shared" si="9"/>
        <v>18.560000000000002</v>
      </c>
    </row>
    <row r="296" spans="1:5" x14ac:dyDescent="0.2">
      <c r="A296" s="9">
        <v>44866</v>
      </c>
      <c r="B296">
        <v>13.35</v>
      </c>
      <c r="C296" s="10">
        <v>14.61</v>
      </c>
      <c r="D296">
        <f t="shared" si="8"/>
        <v>16.649999999999999</v>
      </c>
      <c r="E296" s="3">
        <f t="shared" si="9"/>
        <v>18.11</v>
      </c>
    </row>
    <row r="297" spans="1:5" x14ac:dyDescent="0.2">
      <c r="A297" s="9">
        <v>44867</v>
      </c>
      <c r="B297">
        <v>12.7</v>
      </c>
      <c r="C297" s="10">
        <v>14.61</v>
      </c>
      <c r="D297">
        <f t="shared" si="8"/>
        <v>16</v>
      </c>
      <c r="E297" s="3">
        <f t="shared" si="9"/>
        <v>18.11</v>
      </c>
    </row>
    <row r="298" spans="1:5" x14ac:dyDescent="0.2">
      <c r="A298" s="9">
        <v>44868</v>
      </c>
      <c r="B298">
        <v>12.5</v>
      </c>
      <c r="C298" s="10">
        <v>13.645</v>
      </c>
      <c r="D298">
        <f t="shared" si="8"/>
        <v>15.8</v>
      </c>
      <c r="E298" s="3">
        <f t="shared" si="9"/>
        <v>17.145</v>
      </c>
    </row>
    <row r="299" spans="1:5" x14ac:dyDescent="0.2">
      <c r="A299" s="9">
        <v>44869</v>
      </c>
      <c r="B299">
        <v>11.89</v>
      </c>
      <c r="C299" s="10">
        <v>13.885</v>
      </c>
      <c r="D299">
        <f t="shared" si="8"/>
        <v>15.190000000000001</v>
      </c>
      <c r="E299" s="3">
        <f t="shared" si="9"/>
        <v>17.384999999999998</v>
      </c>
    </row>
    <row r="300" spans="1:5" x14ac:dyDescent="0.2">
      <c r="A300" s="9">
        <v>44870</v>
      </c>
      <c r="B300">
        <v>11.41</v>
      </c>
      <c r="C300" s="10">
        <v>13.08</v>
      </c>
      <c r="D300">
        <f t="shared" si="8"/>
        <v>14.71</v>
      </c>
      <c r="E300" s="3">
        <f t="shared" si="9"/>
        <v>16.579999999999998</v>
      </c>
    </row>
    <row r="301" spans="1:5" x14ac:dyDescent="0.2">
      <c r="A301" s="9">
        <v>44871</v>
      </c>
      <c r="B301">
        <v>11.24</v>
      </c>
      <c r="C301" s="10">
        <v>12.824999999999999</v>
      </c>
      <c r="D301">
        <f t="shared" si="8"/>
        <v>14.54</v>
      </c>
      <c r="E301" s="3">
        <f t="shared" si="9"/>
        <v>16.324999999999999</v>
      </c>
    </row>
    <row r="302" spans="1:5" x14ac:dyDescent="0.2">
      <c r="A302" s="9">
        <v>44872</v>
      </c>
      <c r="B302">
        <v>11.24</v>
      </c>
      <c r="C302" s="10">
        <v>12.34</v>
      </c>
      <c r="D302">
        <f t="shared" si="8"/>
        <v>14.54</v>
      </c>
      <c r="E302" s="3">
        <f t="shared" si="9"/>
        <v>15.84</v>
      </c>
    </row>
    <row r="303" spans="1:5" x14ac:dyDescent="0.2">
      <c r="A303" s="9">
        <v>44873</v>
      </c>
      <c r="B303">
        <v>11.21</v>
      </c>
      <c r="C303" s="10">
        <v>12.234999999999999</v>
      </c>
      <c r="D303">
        <f t="shared" si="8"/>
        <v>14.510000000000002</v>
      </c>
      <c r="E303" s="3">
        <f t="shared" si="9"/>
        <v>15.734999999999999</v>
      </c>
    </row>
    <row r="304" spans="1:5" x14ac:dyDescent="0.2">
      <c r="A304" s="9">
        <v>44874</v>
      </c>
      <c r="B304">
        <v>11.1</v>
      </c>
      <c r="C304" s="10">
        <v>12.379999999999999</v>
      </c>
      <c r="D304">
        <f t="shared" si="8"/>
        <v>14.399999999999999</v>
      </c>
      <c r="E304" s="3">
        <f t="shared" si="9"/>
        <v>15.879999999999999</v>
      </c>
    </row>
    <row r="305" spans="1:5" x14ac:dyDescent="0.2">
      <c r="A305" s="9">
        <v>44875</v>
      </c>
      <c r="B305">
        <v>11.06</v>
      </c>
      <c r="C305" s="10">
        <v>12.254999999999999</v>
      </c>
      <c r="D305">
        <f t="shared" si="8"/>
        <v>14.36</v>
      </c>
      <c r="E305" s="3">
        <f t="shared" si="9"/>
        <v>15.754999999999999</v>
      </c>
    </row>
    <row r="306" spans="1:5" x14ac:dyDescent="0.2">
      <c r="A306" s="9">
        <v>44876</v>
      </c>
      <c r="B306">
        <v>11.02</v>
      </c>
      <c r="C306" s="10">
        <v>12.19</v>
      </c>
      <c r="D306">
        <f t="shared" si="8"/>
        <v>14.32</v>
      </c>
      <c r="E306" s="3">
        <f t="shared" si="9"/>
        <v>15.69</v>
      </c>
    </row>
    <row r="307" spans="1:5" x14ac:dyDescent="0.2">
      <c r="A307" s="9">
        <v>44877</v>
      </c>
      <c r="B307">
        <v>10.55</v>
      </c>
      <c r="C307" s="10">
        <v>12.11</v>
      </c>
      <c r="D307">
        <f t="shared" si="8"/>
        <v>13.850000000000001</v>
      </c>
      <c r="E307" s="3">
        <f t="shared" si="9"/>
        <v>15.61</v>
      </c>
    </row>
    <row r="308" spans="1:5" x14ac:dyDescent="0.2">
      <c r="A308" s="9">
        <v>44878</v>
      </c>
      <c r="B308">
        <v>10.25</v>
      </c>
      <c r="C308" s="10">
        <v>12.04</v>
      </c>
      <c r="D308">
        <f t="shared" si="8"/>
        <v>13.55</v>
      </c>
      <c r="E308" s="3">
        <f t="shared" si="9"/>
        <v>15.54</v>
      </c>
    </row>
    <row r="309" spans="1:5" x14ac:dyDescent="0.2">
      <c r="A309" s="9">
        <v>44879</v>
      </c>
      <c r="B309">
        <v>9.6300000000000008</v>
      </c>
      <c r="C309" s="10">
        <v>11.76</v>
      </c>
      <c r="D309">
        <f t="shared" si="8"/>
        <v>12.93</v>
      </c>
      <c r="E309" s="3">
        <f t="shared" si="9"/>
        <v>15.26</v>
      </c>
    </row>
    <row r="310" spans="1:5" x14ac:dyDescent="0.2">
      <c r="A310" s="9">
        <v>44880</v>
      </c>
      <c r="B310">
        <v>9.75</v>
      </c>
      <c r="C310" s="10">
        <v>11.43</v>
      </c>
      <c r="D310">
        <f t="shared" si="8"/>
        <v>13.05</v>
      </c>
      <c r="E310" s="3">
        <f t="shared" si="9"/>
        <v>14.93</v>
      </c>
    </row>
    <row r="311" spans="1:5" x14ac:dyDescent="0.2">
      <c r="A311" s="9">
        <v>44881</v>
      </c>
      <c r="B311">
        <v>9.69</v>
      </c>
      <c r="C311" s="10">
        <v>11.555</v>
      </c>
      <c r="D311">
        <f t="shared" si="8"/>
        <v>12.989999999999998</v>
      </c>
      <c r="E311" s="3">
        <f t="shared" si="9"/>
        <v>15.055</v>
      </c>
    </row>
    <row r="312" spans="1:5" x14ac:dyDescent="0.2">
      <c r="A312" s="9">
        <v>44882</v>
      </c>
      <c r="B312">
        <v>9.49</v>
      </c>
      <c r="C312" s="10">
        <v>11.045</v>
      </c>
      <c r="D312">
        <f t="shared" si="8"/>
        <v>12.79</v>
      </c>
      <c r="E312" s="3">
        <f t="shared" si="9"/>
        <v>14.545</v>
      </c>
    </row>
    <row r="313" spans="1:5" x14ac:dyDescent="0.2">
      <c r="A313" s="9">
        <v>44883</v>
      </c>
      <c r="B313">
        <v>9.1999999999999993</v>
      </c>
      <c r="C313" s="10">
        <v>10.515000000000001</v>
      </c>
      <c r="D313">
        <f t="shared" si="8"/>
        <v>12.5</v>
      </c>
      <c r="E313" s="3">
        <f t="shared" si="9"/>
        <v>14.015000000000001</v>
      </c>
    </row>
    <row r="314" spans="1:5" x14ac:dyDescent="0.2">
      <c r="A314" s="9">
        <v>44884</v>
      </c>
      <c r="B314">
        <v>7.74</v>
      </c>
      <c r="C314" s="10">
        <v>10.234999999999999</v>
      </c>
      <c r="D314">
        <f t="shared" si="8"/>
        <v>11.04</v>
      </c>
      <c r="E314" s="3">
        <f t="shared" si="9"/>
        <v>13.734999999999999</v>
      </c>
    </row>
    <row r="315" spans="1:5" x14ac:dyDescent="0.2">
      <c r="A315" s="9">
        <v>44885</v>
      </c>
      <c r="B315">
        <v>6.88</v>
      </c>
      <c r="C315" s="10">
        <v>9.1050000000000004</v>
      </c>
      <c r="D315">
        <f t="shared" si="8"/>
        <v>10.18</v>
      </c>
      <c r="E315" s="3">
        <f t="shared" si="9"/>
        <v>12.605</v>
      </c>
    </row>
    <row r="316" spans="1:5" x14ac:dyDescent="0.2">
      <c r="A316" s="9">
        <v>44886</v>
      </c>
      <c r="B316">
        <v>6.7</v>
      </c>
      <c r="C316" s="10">
        <v>9.15</v>
      </c>
      <c r="D316">
        <f t="shared" si="8"/>
        <v>10</v>
      </c>
      <c r="E316" s="3">
        <f t="shared" si="9"/>
        <v>12.65</v>
      </c>
    </row>
    <row r="317" spans="1:5" x14ac:dyDescent="0.2">
      <c r="A317" s="9">
        <v>44887</v>
      </c>
      <c r="B317">
        <v>6.82</v>
      </c>
      <c r="C317" s="10">
        <v>8.379999999999999</v>
      </c>
      <c r="D317">
        <f t="shared" si="8"/>
        <v>10.120000000000001</v>
      </c>
      <c r="E317" s="3">
        <f t="shared" si="9"/>
        <v>11.879999999999999</v>
      </c>
    </row>
    <row r="318" spans="1:5" x14ac:dyDescent="0.2">
      <c r="A318" s="9">
        <v>44888</v>
      </c>
      <c r="B318">
        <v>6.97</v>
      </c>
      <c r="C318" s="10">
        <v>8.0649999999999995</v>
      </c>
      <c r="D318">
        <f t="shared" si="8"/>
        <v>10.27</v>
      </c>
      <c r="E318" s="3">
        <f t="shared" si="9"/>
        <v>11.565</v>
      </c>
    </row>
    <row r="319" spans="1:5" x14ac:dyDescent="0.2">
      <c r="A319" s="9">
        <v>44889</v>
      </c>
      <c r="B319">
        <v>7.18</v>
      </c>
      <c r="C319" s="10">
        <v>8.6649999999999991</v>
      </c>
      <c r="D319">
        <f t="shared" si="8"/>
        <v>10.48</v>
      </c>
      <c r="E319" s="3">
        <f t="shared" si="9"/>
        <v>12.164999999999999</v>
      </c>
    </row>
    <row r="320" spans="1:5" x14ac:dyDescent="0.2">
      <c r="A320" s="9">
        <v>44890</v>
      </c>
      <c r="B320">
        <v>7.03</v>
      </c>
      <c r="C320" s="10">
        <v>8.7200000000000006</v>
      </c>
      <c r="D320">
        <f t="shared" si="8"/>
        <v>10.33</v>
      </c>
      <c r="E320" s="3">
        <f t="shared" si="9"/>
        <v>12.22</v>
      </c>
    </row>
    <row r="321" spans="1:5" x14ac:dyDescent="0.2">
      <c r="A321" s="9">
        <v>44891</v>
      </c>
      <c r="B321">
        <v>6.94</v>
      </c>
      <c r="C321" s="10">
        <v>8.5400000000000009</v>
      </c>
      <c r="D321">
        <f t="shared" si="8"/>
        <v>10.24</v>
      </c>
      <c r="E321" s="3">
        <f t="shared" si="9"/>
        <v>12.040000000000001</v>
      </c>
    </row>
    <row r="322" spans="1:5" x14ac:dyDescent="0.2">
      <c r="A322" s="9">
        <v>44892</v>
      </c>
      <c r="B322">
        <v>7.1</v>
      </c>
      <c r="C322" s="10">
        <v>8.48</v>
      </c>
      <c r="D322">
        <f t="shared" si="8"/>
        <v>10.399999999999999</v>
      </c>
      <c r="E322" s="3">
        <f t="shared" si="9"/>
        <v>11.98</v>
      </c>
    </row>
    <row r="323" spans="1:5" x14ac:dyDescent="0.2">
      <c r="A323" s="9">
        <v>44893</v>
      </c>
      <c r="B323">
        <v>7.37</v>
      </c>
      <c r="C323" s="10">
        <v>8.6950000000000003</v>
      </c>
      <c r="D323">
        <f t="shared" si="8"/>
        <v>10.67</v>
      </c>
      <c r="E323" s="3">
        <f t="shared" si="9"/>
        <v>12.195</v>
      </c>
    </row>
    <row r="324" spans="1:5" x14ac:dyDescent="0.2">
      <c r="A324" s="9">
        <v>44894</v>
      </c>
      <c r="B324">
        <v>7.33</v>
      </c>
      <c r="C324" s="10">
        <v>8.504999999999999</v>
      </c>
      <c r="D324">
        <f t="shared" ref="D324:D356" si="10">B324+3.3</f>
        <v>10.629999999999999</v>
      </c>
      <c r="E324" s="3">
        <f t="shared" ref="E324:E356" si="11">C324+3.5</f>
        <v>12.004999999999999</v>
      </c>
    </row>
    <row r="325" spans="1:5" x14ac:dyDescent="0.2">
      <c r="A325" s="9">
        <v>44895</v>
      </c>
      <c r="B325">
        <v>7.07</v>
      </c>
      <c r="C325" s="10">
        <v>8.5500000000000007</v>
      </c>
      <c r="D325">
        <f t="shared" si="10"/>
        <v>10.370000000000001</v>
      </c>
      <c r="E325" s="3">
        <f t="shared" si="11"/>
        <v>12.05</v>
      </c>
    </row>
    <row r="326" spans="1:5" x14ac:dyDescent="0.2">
      <c r="A326" s="9">
        <v>44896</v>
      </c>
      <c r="B326">
        <v>6.76</v>
      </c>
      <c r="C326" s="10">
        <v>8.3699999999999992</v>
      </c>
      <c r="D326">
        <f t="shared" si="10"/>
        <v>10.059999999999999</v>
      </c>
      <c r="E326" s="3">
        <f t="shared" si="11"/>
        <v>11.87</v>
      </c>
    </row>
    <row r="327" spans="1:5" x14ac:dyDescent="0.2">
      <c r="A327" s="9">
        <v>44897</v>
      </c>
      <c r="B327">
        <v>5.95</v>
      </c>
      <c r="C327" s="10">
        <v>8.3150000000000013</v>
      </c>
      <c r="D327">
        <f t="shared" si="10"/>
        <v>9.25</v>
      </c>
      <c r="E327" s="3">
        <f t="shared" si="11"/>
        <v>11.815000000000001</v>
      </c>
    </row>
    <row r="328" spans="1:5" x14ac:dyDescent="0.2">
      <c r="A328" s="9">
        <v>44898</v>
      </c>
      <c r="B328">
        <v>5.14</v>
      </c>
      <c r="C328" s="10">
        <v>7.48</v>
      </c>
      <c r="D328">
        <f t="shared" si="10"/>
        <v>8.44</v>
      </c>
      <c r="E328" s="3">
        <f t="shared" si="11"/>
        <v>10.98</v>
      </c>
    </row>
    <row r="329" spans="1:5" x14ac:dyDescent="0.2">
      <c r="A329" s="9">
        <v>44899</v>
      </c>
      <c r="B329">
        <v>4.43</v>
      </c>
      <c r="C329" s="10">
        <v>7.5749999999999993</v>
      </c>
      <c r="D329">
        <f t="shared" si="10"/>
        <v>7.7299999999999995</v>
      </c>
      <c r="E329" s="3">
        <f t="shared" si="11"/>
        <v>11.074999999999999</v>
      </c>
    </row>
    <row r="330" spans="1:5" x14ac:dyDescent="0.2">
      <c r="A330" s="9">
        <v>44900</v>
      </c>
      <c r="B330">
        <v>4.66</v>
      </c>
      <c r="C330" s="10">
        <v>6.5449999999999999</v>
      </c>
      <c r="D330">
        <f t="shared" si="10"/>
        <v>7.96</v>
      </c>
      <c r="E330" s="3">
        <f t="shared" si="11"/>
        <v>10.045</v>
      </c>
    </row>
    <row r="331" spans="1:5" x14ac:dyDescent="0.2">
      <c r="A331" s="9">
        <v>44901</v>
      </c>
      <c r="B331">
        <v>4.54</v>
      </c>
      <c r="C331" s="10">
        <v>6.74</v>
      </c>
      <c r="D331">
        <f t="shared" si="10"/>
        <v>7.84</v>
      </c>
      <c r="E331" s="3">
        <f t="shared" si="11"/>
        <v>10.24</v>
      </c>
    </row>
    <row r="332" spans="1:5" x14ac:dyDescent="0.2">
      <c r="A332" s="9">
        <v>44902</v>
      </c>
      <c r="B332">
        <v>4.41</v>
      </c>
      <c r="C332" s="10">
        <v>7.2149999999999999</v>
      </c>
      <c r="D332">
        <f t="shared" si="10"/>
        <v>7.71</v>
      </c>
      <c r="E332" s="3">
        <f t="shared" si="11"/>
        <v>10.715</v>
      </c>
    </row>
    <row r="333" spans="1:5" x14ac:dyDescent="0.2">
      <c r="A333" s="9">
        <v>44903</v>
      </c>
      <c r="B333">
        <v>4.28</v>
      </c>
      <c r="C333" s="10">
        <v>7.31</v>
      </c>
      <c r="D333">
        <f t="shared" si="10"/>
        <v>7.58</v>
      </c>
      <c r="E333" s="3">
        <f t="shared" si="11"/>
        <v>10.809999999999999</v>
      </c>
    </row>
    <row r="334" spans="1:5" x14ac:dyDescent="0.2">
      <c r="A334" s="9">
        <v>44904</v>
      </c>
      <c r="B334">
        <v>3.89</v>
      </c>
      <c r="C334" s="10">
        <v>6.5949999999999998</v>
      </c>
      <c r="D334">
        <f t="shared" si="10"/>
        <v>7.1899999999999995</v>
      </c>
      <c r="E334" s="3">
        <f t="shared" si="11"/>
        <v>10.094999999999999</v>
      </c>
    </row>
    <row r="335" spans="1:5" x14ac:dyDescent="0.2">
      <c r="A335" s="9">
        <v>44905</v>
      </c>
      <c r="B335">
        <v>3.27</v>
      </c>
      <c r="C335" s="10">
        <v>5.5049999999999999</v>
      </c>
      <c r="D335">
        <f t="shared" si="10"/>
        <v>6.57</v>
      </c>
      <c r="E335" s="3">
        <f t="shared" si="11"/>
        <v>9.004999999999999</v>
      </c>
    </row>
    <row r="336" spans="1:5" x14ac:dyDescent="0.2">
      <c r="A336" s="9">
        <v>44906</v>
      </c>
      <c r="B336">
        <v>3.21</v>
      </c>
      <c r="C336" s="10">
        <v>5.8599999999999994</v>
      </c>
      <c r="D336">
        <f t="shared" si="10"/>
        <v>6.51</v>
      </c>
      <c r="E336" s="3">
        <f t="shared" si="11"/>
        <v>9.36</v>
      </c>
    </row>
    <row r="337" spans="1:5" x14ac:dyDescent="0.2">
      <c r="A337" s="9">
        <v>44907</v>
      </c>
      <c r="B337">
        <v>2.84</v>
      </c>
      <c r="C337" s="10">
        <v>5.15</v>
      </c>
      <c r="D337">
        <f t="shared" si="10"/>
        <v>6.14</v>
      </c>
      <c r="E337" s="3">
        <f t="shared" si="11"/>
        <v>8.65</v>
      </c>
    </row>
    <row r="338" spans="1:5" x14ac:dyDescent="0.2">
      <c r="A338" s="9">
        <v>44908</v>
      </c>
      <c r="B338">
        <v>2.2599999999999998</v>
      </c>
      <c r="C338" s="10">
        <v>4.66</v>
      </c>
      <c r="D338">
        <f t="shared" si="10"/>
        <v>5.56</v>
      </c>
      <c r="E338" s="3">
        <f t="shared" si="11"/>
        <v>8.16</v>
      </c>
    </row>
    <row r="339" spans="1:5" x14ac:dyDescent="0.2">
      <c r="A339" s="9">
        <v>44909</v>
      </c>
      <c r="B339">
        <v>1.42</v>
      </c>
      <c r="C339" s="10">
        <v>4.3599999999999994</v>
      </c>
      <c r="D339">
        <f t="shared" si="10"/>
        <v>4.72</v>
      </c>
      <c r="E339" s="3">
        <f t="shared" si="11"/>
        <v>7.8599999999999994</v>
      </c>
    </row>
    <row r="340" spans="1:5" x14ac:dyDescent="0.2">
      <c r="A340" s="9">
        <v>44910</v>
      </c>
      <c r="B340">
        <v>1.44</v>
      </c>
      <c r="C340" s="10">
        <v>4.0500000000000007</v>
      </c>
      <c r="D340">
        <f t="shared" si="10"/>
        <v>4.74</v>
      </c>
      <c r="E340" s="3">
        <f t="shared" si="11"/>
        <v>7.5500000000000007</v>
      </c>
    </row>
    <row r="341" spans="1:5" x14ac:dyDescent="0.2">
      <c r="A341" s="9">
        <v>44911</v>
      </c>
      <c r="B341">
        <v>1.5</v>
      </c>
      <c r="C341" s="10">
        <v>3.7149999999999999</v>
      </c>
      <c r="D341">
        <f t="shared" si="10"/>
        <v>4.8</v>
      </c>
      <c r="E341" s="3">
        <f t="shared" si="11"/>
        <v>7.2149999999999999</v>
      </c>
    </row>
    <row r="342" spans="1:5" x14ac:dyDescent="0.2">
      <c r="A342" s="9">
        <v>44912</v>
      </c>
      <c r="B342">
        <v>1.54</v>
      </c>
      <c r="C342" s="10">
        <v>3.2199999999999998</v>
      </c>
      <c r="D342">
        <f t="shared" si="10"/>
        <v>4.84</v>
      </c>
      <c r="E342" s="3">
        <f t="shared" si="11"/>
        <v>6.72</v>
      </c>
    </row>
    <row r="343" spans="1:5" x14ac:dyDescent="0.2">
      <c r="A343" s="9">
        <v>44913</v>
      </c>
      <c r="B343">
        <v>1.81</v>
      </c>
      <c r="C343" s="10">
        <v>2.8650000000000002</v>
      </c>
      <c r="D343">
        <f t="shared" si="10"/>
        <v>5.1099999999999994</v>
      </c>
      <c r="E343" s="3">
        <f t="shared" si="11"/>
        <v>6.3650000000000002</v>
      </c>
    </row>
    <row r="344" spans="1:5" x14ac:dyDescent="0.2">
      <c r="A344" s="9">
        <v>44914</v>
      </c>
      <c r="B344">
        <v>2.71</v>
      </c>
      <c r="C344" s="10">
        <v>4.3150000000000004</v>
      </c>
      <c r="D344">
        <f t="shared" si="10"/>
        <v>6.01</v>
      </c>
      <c r="E344" s="3">
        <f t="shared" si="11"/>
        <v>7.8150000000000004</v>
      </c>
    </row>
    <row r="345" spans="1:5" x14ac:dyDescent="0.2">
      <c r="A345" s="9">
        <v>44915</v>
      </c>
      <c r="B345">
        <v>3.25</v>
      </c>
      <c r="C345" s="10">
        <v>4.68</v>
      </c>
      <c r="D345">
        <f t="shared" si="10"/>
        <v>6.55</v>
      </c>
      <c r="E345" s="3">
        <f t="shared" si="11"/>
        <v>8.18</v>
      </c>
    </row>
    <row r="346" spans="1:5" x14ac:dyDescent="0.2">
      <c r="A346" s="9">
        <v>44916</v>
      </c>
      <c r="B346">
        <v>9.48</v>
      </c>
      <c r="C346" s="10">
        <v>4.88</v>
      </c>
      <c r="D346">
        <f t="shared" si="10"/>
        <v>12.780000000000001</v>
      </c>
      <c r="E346" s="3">
        <f t="shared" si="11"/>
        <v>8.379999999999999</v>
      </c>
    </row>
    <row r="347" spans="1:5" x14ac:dyDescent="0.2">
      <c r="A347" s="9">
        <v>44917</v>
      </c>
      <c r="B347">
        <v>4.6100000000000003</v>
      </c>
      <c r="C347" s="10">
        <v>6.1850000000000005</v>
      </c>
      <c r="D347">
        <f t="shared" si="10"/>
        <v>7.91</v>
      </c>
      <c r="E347" s="3">
        <f t="shared" si="11"/>
        <v>9.6850000000000005</v>
      </c>
    </row>
    <row r="348" spans="1:5" x14ac:dyDescent="0.2">
      <c r="A348" s="9">
        <v>44918</v>
      </c>
      <c r="B348">
        <v>4.79</v>
      </c>
      <c r="C348" s="10">
        <v>6.0950000000000006</v>
      </c>
      <c r="D348">
        <f t="shared" si="10"/>
        <v>8.09</v>
      </c>
      <c r="E348" s="3">
        <f t="shared" si="11"/>
        <v>9.5950000000000006</v>
      </c>
    </row>
    <row r="349" spans="1:5" x14ac:dyDescent="0.2">
      <c r="A349" s="9">
        <v>44919</v>
      </c>
      <c r="B349">
        <v>5.21</v>
      </c>
      <c r="C349" s="10">
        <v>6.8049999999999997</v>
      </c>
      <c r="D349">
        <f t="shared" si="10"/>
        <v>8.51</v>
      </c>
      <c r="E349" s="3">
        <f t="shared" si="11"/>
        <v>10.305</v>
      </c>
    </row>
    <row r="350" spans="1:5" x14ac:dyDescent="0.2">
      <c r="A350" s="9">
        <v>44920</v>
      </c>
      <c r="B350">
        <v>5.49</v>
      </c>
      <c r="C350" s="10">
        <v>7.2449999999999992</v>
      </c>
      <c r="D350">
        <f t="shared" si="10"/>
        <v>8.7899999999999991</v>
      </c>
      <c r="E350" s="3">
        <f t="shared" si="11"/>
        <v>10.744999999999999</v>
      </c>
    </row>
    <row r="351" spans="1:5" x14ac:dyDescent="0.2">
      <c r="A351" s="9">
        <v>44921</v>
      </c>
      <c r="B351">
        <v>5.27</v>
      </c>
      <c r="C351" s="10">
        <v>7.3250000000000002</v>
      </c>
      <c r="D351">
        <f t="shared" si="10"/>
        <v>8.57</v>
      </c>
      <c r="E351" s="3">
        <f t="shared" si="11"/>
        <v>10.824999999999999</v>
      </c>
    </row>
    <row r="352" spans="1:5" x14ac:dyDescent="0.2">
      <c r="A352" s="9">
        <v>44922</v>
      </c>
      <c r="B352">
        <v>6.12</v>
      </c>
      <c r="C352" s="10">
        <v>7.18</v>
      </c>
      <c r="D352">
        <f t="shared" si="10"/>
        <v>9.42</v>
      </c>
      <c r="E352" s="3">
        <f t="shared" si="11"/>
        <v>10.68</v>
      </c>
    </row>
    <row r="353" spans="1:5" x14ac:dyDescent="0.2">
      <c r="A353" s="9">
        <v>44923</v>
      </c>
      <c r="B353">
        <v>6.6</v>
      </c>
      <c r="C353" s="10">
        <v>7.2949999999999999</v>
      </c>
      <c r="D353">
        <f t="shared" si="10"/>
        <v>9.8999999999999986</v>
      </c>
      <c r="E353" s="3">
        <f t="shared" si="11"/>
        <v>10.795</v>
      </c>
    </row>
    <row r="354" spans="1:5" x14ac:dyDescent="0.2">
      <c r="A354" s="9">
        <v>44924</v>
      </c>
      <c r="B354">
        <v>6.7</v>
      </c>
      <c r="C354" s="10">
        <v>7.75</v>
      </c>
      <c r="D354">
        <f t="shared" si="10"/>
        <v>10</v>
      </c>
      <c r="E354" s="3">
        <f t="shared" si="11"/>
        <v>11.25</v>
      </c>
    </row>
    <row r="355" spans="1:5" x14ac:dyDescent="0.2">
      <c r="A355" s="9">
        <v>44925</v>
      </c>
      <c r="B355">
        <v>8.11</v>
      </c>
      <c r="C355" s="10">
        <v>7.44</v>
      </c>
      <c r="D355">
        <f t="shared" si="10"/>
        <v>11.41</v>
      </c>
      <c r="E355" s="3">
        <f t="shared" si="11"/>
        <v>10.940000000000001</v>
      </c>
    </row>
    <row r="356" spans="1:5" x14ac:dyDescent="0.2">
      <c r="A356" s="9">
        <v>44926</v>
      </c>
      <c r="D356">
        <f t="shared" si="10"/>
        <v>3.3</v>
      </c>
      <c r="E356" s="3">
        <f t="shared" si="11"/>
        <v>3.5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13</xdr:col>
                <xdr:colOff>0</xdr:colOff>
                <xdr:row>2</xdr:row>
                <xdr:rowOff>30480</xdr:rowOff>
              </from>
              <to>
                <xdr:col>14</xdr:col>
                <xdr:colOff>114300</xdr:colOff>
                <xdr:row>4</xdr:row>
                <xdr:rowOff>144780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D416B-9A84-479B-A56C-A529A0C66D4E}">
  <sheetPr codeName="Blad2">
    <tabColor rgb="FF00B0F0"/>
  </sheetPr>
  <dimension ref="C3:G357"/>
  <sheetViews>
    <sheetView workbookViewId="0">
      <selection activeCell="G6" sqref="G6"/>
    </sheetView>
  </sheetViews>
  <sheetFormatPr defaultRowHeight="12.6" x14ac:dyDescent="0.2"/>
  <cols>
    <col min="3" max="3" width="10.6328125" style="4" bestFit="1" customWidth="1"/>
    <col min="6" max="6" width="18.7265625" style="3" bestFit="1" customWidth="1"/>
  </cols>
  <sheetData>
    <row r="3" spans="3:7" x14ac:dyDescent="0.2">
      <c r="G3">
        <f>AVERAGE(G5:G357)</f>
        <v>4.9815580736543907</v>
      </c>
    </row>
    <row r="4" spans="3:7" x14ac:dyDescent="0.2">
      <c r="C4" s="5" t="s">
        <v>4</v>
      </c>
      <c r="D4" s="4" t="s">
        <v>5</v>
      </c>
      <c r="E4" s="4" t="s">
        <v>6</v>
      </c>
      <c r="F4" s="6" t="s">
        <v>7</v>
      </c>
      <c r="G4" s="4" t="s">
        <v>8</v>
      </c>
    </row>
    <row r="5" spans="3:7" x14ac:dyDescent="0.2">
      <c r="C5" s="7">
        <v>44573</v>
      </c>
      <c r="D5">
        <v>4.5</v>
      </c>
      <c r="E5">
        <v>3</v>
      </c>
      <c r="F5" s="8">
        <v>3.7145038167938926</v>
      </c>
      <c r="G5">
        <f t="shared" ref="G5:G68" si="0">D5-E5</f>
        <v>1.5</v>
      </c>
    </row>
    <row r="6" spans="3:7" x14ac:dyDescent="0.2">
      <c r="C6" s="7">
        <v>44574</v>
      </c>
      <c r="D6">
        <v>6.1</v>
      </c>
      <c r="E6">
        <v>3.8</v>
      </c>
      <c r="F6" s="8">
        <v>4.8131944444444441</v>
      </c>
      <c r="G6">
        <f t="shared" si="0"/>
        <v>2.2999999999999998</v>
      </c>
    </row>
    <row r="7" spans="3:7" x14ac:dyDescent="0.2">
      <c r="C7" s="7">
        <v>44575</v>
      </c>
      <c r="D7">
        <v>5.0999999999999996</v>
      </c>
      <c r="E7">
        <v>3.1</v>
      </c>
      <c r="F7" s="8">
        <v>4.1770833333333304</v>
      </c>
      <c r="G7">
        <f t="shared" si="0"/>
        <v>1.9999999999999996</v>
      </c>
    </row>
    <row r="8" spans="3:7" x14ac:dyDescent="0.2">
      <c r="C8" s="7">
        <v>44576</v>
      </c>
      <c r="D8">
        <v>4.9000000000000004</v>
      </c>
      <c r="E8">
        <v>3.1</v>
      </c>
      <c r="F8" s="8">
        <v>4.0736111111111128</v>
      </c>
      <c r="G8">
        <f t="shared" si="0"/>
        <v>1.8000000000000003</v>
      </c>
    </row>
    <row r="9" spans="3:7" x14ac:dyDescent="0.2">
      <c r="C9" s="7">
        <v>44577</v>
      </c>
      <c r="D9">
        <v>5.4</v>
      </c>
      <c r="E9">
        <v>3.1</v>
      </c>
      <c r="F9" s="8">
        <v>4.2298611111111066</v>
      </c>
      <c r="G9">
        <f t="shared" si="0"/>
        <v>2.3000000000000003</v>
      </c>
    </row>
    <row r="10" spans="3:7" x14ac:dyDescent="0.2">
      <c r="C10" s="7">
        <v>44578</v>
      </c>
      <c r="D10">
        <v>6.8</v>
      </c>
      <c r="E10">
        <v>3.6</v>
      </c>
      <c r="F10" s="8">
        <v>5.1479166666666671</v>
      </c>
      <c r="G10">
        <f t="shared" si="0"/>
        <v>3.1999999999999997</v>
      </c>
    </row>
    <row r="11" spans="3:7" x14ac:dyDescent="0.2">
      <c r="C11" s="7">
        <v>44579</v>
      </c>
      <c r="D11">
        <v>4.5999999999999996</v>
      </c>
      <c r="E11">
        <v>1.8</v>
      </c>
      <c r="F11" s="8">
        <v>3.6472222222222226</v>
      </c>
      <c r="G11">
        <f t="shared" si="0"/>
        <v>2.8</v>
      </c>
    </row>
    <row r="12" spans="3:7" x14ac:dyDescent="0.2">
      <c r="C12" s="7">
        <v>44580</v>
      </c>
      <c r="D12">
        <v>5.0999999999999996</v>
      </c>
      <c r="E12">
        <v>3.4</v>
      </c>
      <c r="F12" s="8">
        <v>4.1791666666666689</v>
      </c>
      <c r="G12">
        <f t="shared" si="0"/>
        <v>1.6999999999999997</v>
      </c>
    </row>
    <row r="13" spans="3:7" x14ac:dyDescent="0.2">
      <c r="C13" s="7">
        <v>44581</v>
      </c>
      <c r="D13">
        <v>4.0999999999999996</v>
      </c>
      <c r="E13">
        <v>2.1</v>
      </c>
      <c r="F13" s="8">
        <v>3.1472222222222235</v>
      </c>
      <c r="G13">
        <f t="shared" si="0"/>
        <v>1.9999999999999996</v>
      </c>
    </row>
    <row r="14" spans="3:7" x14ac:dyDescent="0.2">
      <c r="C14" s="7">
        <v>44582</v>
      </c>
      <c r="D14">
        <v>4.4000000000000004</v>
      </c>
      <c r="E14">
        <v>1.3</v>
      </c>
      <c r="F14" s="8">
        <v>2.7368055555555562</v>
      </c>
      <c r="G14">
        <f t="shared" si="0"/>
        <v>3.1000000000000005</v>
      </c>
    </row>
    <row r="15" spans="3:7" x14ac:dyDescent="0.2">
      <c r="C15" s="7">
        <v>44583</v>
      </c>
      <c r="D15">
        <v>5.4</v>
      </c>
      <c r="E15">
        <v>4</v>
      </c>
      <c r="F15" s="8">
        <v>4.7298611111111057</v>
      </c>
      <c r="G15">
        <f t="shared" si="0"/>
        <v>1.4000000000000004</v>
      </c>
    </row>
    <row r="16" spans="3:7" x14ac:dyDescent="0.2">
      <c r="C16" s="7">
        <v>44584</v>
      </c>
      <c r="D16">
        <v>6.2</v>
      </c>
      <c r="E16">
        <v>4.8</v>
      </c>
      <c r="F16" s="8">
        <v>5.3881944444444461</v>
      </c>
      <c r="G16">
        <f t="shared" si="0"/>
        <v>1.4000000000000004</v>
      </c>
    </row>
    <row r="17" spans="3:7" x14ac:dyDescent="0.2">
      <c r="C17" s="7">
        <v>44585</v>
      </c>
      <c r="D17">
        <v>5.6</v>
      </c>
      <c r="E17">
        <v>4.5999999999999996</v>
      </c>
      <c r="F17" s="8">
        <v>4.9805555555555641</v>
      </c>
      <c r="G17">
        <f t="shared" si="0"/>
        <v>1</v>
      </c>
    </row>
    <row r="18" spans="3:7" x14ac:dyDescent="0.2">
      <c r="C18" s="7">
        <v>44586</v>
      </c>
      <c r="D18">
        <v>4.5999999999999996</v>
      </c>
      <c r="E18">
        <v>3.8</v>
      </c>
      <c r="F18" s="8">
        <v>3.9881944444444395</v>
      </c>
      <c r="G18">
        <f t="shared" si="0"/>
        <v>0.79999999999999982</v>
      </c>
    </row>
    <row r="19" spans="3:7" x14ac:dyDescent="0.2">
      <c r="C19" s="7">
        <v>44587</v>
      </c>
      <c r="D19">
        <v>4.5</v>
      </c>
      <c r="E19">
        <v>3</v>
      </c>
      <c r="F19" s="8">
        <v>3.707638888888888</v>
      </c>
      <c r="G19">
        <f t="shared" si="0"/>
        <v>1.5</v>
      </c>
    </row>
    <row r="20" spans="3:7" x14ac:dyDescent="0.2">
      <c r="C20" s="7">
        <v>44588</v>
      </c>
      <c r="D20">
        <v>7.4</v>
      </c>
      <c r="E20">
        <v>3.9</v>
      </c>
      <c r="F20" s="8">
        <v>5.3423611111111109</v>
      </c>
      <c r="G20">
        <f t="shared" si="0"/>
        <v>3.5000000000000004</v>
      </c>
    </row>
    <row r="21" spans="3:7" x14ac:dyDescent="0.2">
      <c r="C21" s="7">
        <v>44589</v>
      </c>
      <c r="D21">
        <v>6.6</v>
      </c>
      <c r="E21">
        <v>2.8</v>
      </c>
      <c r="F21" s="8">
        <v>4.5607638888888928</v>
      </c>
      <c r="G21">
        <f t="shared" si="0"/>
        <v>3.8</v>
      </c>
    </row>
    <row r="22" spans="3:7" x14ac:dyDescent="0.2">
      <c r="C22" s="7">
        <v>44590</v>
      </c>
      <c r="D22">
        <v>9.4</v>
      </c>
      <c r="E22">
        <v>5.6</v>
      </c>
      <c r="F22" s="8">
        <v>6.9993055555555523</v>
      </c>
      <c r="G22">
        <f t="shared" si="0"/>
        <v>3.8000000000000007</v>
      </c>
    </row>
    <row r="23" spans="3:7" x14ac:dyDescent="0.2">
      <c r="C23" s="7">
        <v>44591</v>
      </c>
      <c r="D23">
        <v>6.3</v>
      </c>
      <c r="E23">
        <v>3.3</v>
      </c>
      <c r="F23" s="8">
        <v>4.745486111111112</v>
      </c>
      <c r="G23">
        <f t="shared" si="0"/>
        <v>3</v>
      </c>
    </row>
    <row r="24" spans="3:7" x14ac:dyDescent="0.2">
      <c r="C24" s="7">
        <v>44592</v>
      </c>
      <c r="D24">
        <v>4.8</v>
      </c>
      <c r="E24">
        <v>3.1</v>
      </c>
      <c r="F24" s="8">
        <v>4.3722222222222227</v>
      </c>
      <c r="G24">
        <f t="shared" si="0"/>
        <v>1.6999999999999997</v>
      </c>
    </row>
    <row r="25" spans="3:7" x14ac:dyDescent="0.2">
      <c r="C25" s="7">
        <v>44593</v>
      </c>
      <c r="D25">
        <v>6.9</v>
      </c>
      <c r="E25">
        <v>2.7</v>
      </c>
      <c r="F25" s="8">
        <v>4.8284722222222207</v>
      </c>
      <c r="G25">
        <f t="shared" si="0"/>
        <v>4.2</v>
      </c>
    </row>
    <row r="26" spans="3:7" x14ac:dyDescent="0.2">
      <c r="C26" s="7">
        <v>44594</v>
      </c>
      <c r="D26">
        <v>8.3000000000000007</v>
      </c>
      <c r="E26">
        <v>5.3</v>
      </c>
      <c r="F26" s="8">
        <v>6.6694444444444443</v>
      </c>
      <c r="G26">
        <f t="shared" si="0"/>
        <v>3.0000000000000009</v>
      </c>
    </row>
    <row r="27" spans="3:7" x14ac:dyDescent="0.2">
      <c r="C27" s="7">
        <v>44595</v>
      </c>
      <c r="D27">
        <v>7.6</v>
      </c>
      <c r="E27">
        <v>6.3</v>
      </c>
      <c r="F27" s="8">
        <v>7.1055555555555516</v>
      </c>
      <c r="G27">
        <f t="shared" si="0"/>
        <v>1.2999999999999998</v>
      </c>
    </row>
    <row r="28" spans="3:7" x14ac:dyDescent="0.2">
      <c r="C28" s="7">
        <v>44596</v>
      </c>
      <c r="D28">
        <v>7.3</v>
      </c>
      <c r="E28">
        <v>3.8</v>
      </c>
      <c r="F28" s="8">
        <v>5.9819444444444425</v>
      </c>
      <c r="G28">
        <f t="shared" si="0"/>
        <v>3.5</v>
      </c>
    </row>
    <row r="29" spans="3:7" x14ac:dyDescent="0.2">
      <c r="C29" s="7">
        <v>44597</v>
      </c>
      <c r="D29">
        <v>6.7</v>
      </c>
      <c r="E29">
        <v>2.4</v>
      </c>
      <c r="F29" s="8">
        <v>4.3874999999999993</v>
      </c>
      <c r="G29">
        <f t="shared" si="0"/>
        <v>4.3000000000000007</v>
      </c>
    </row>
    <row r="30" spans="3:7" x14ac:dyDescent="0.2">
      <c r="C30" s="7">
        <v>44598</v>
      </c>
      <c r="D30">
        <v>7.8</v>
      </c>
      <c r="E30">
        <v>4.5999999999999996</v>
      </c>
      <c r="F30" s="8">
        <v>6.6069444444444461</v>
      </c>
      <c r="G30">
        <f t="shared" si="0"/>
        <v>3.2</v>
      </c>
    </row>
    <row r="31" spans="3:7" x14ac:dyDescent="0.2">
      <c r="C31" s="7">
        <v>44599</v>
      </c>
      <c r="D31">
        <v>7.1</v>
      </c>
      <c r="E31">
        <v>3.3</v>
      </c>
      <c r="F31" s="8">
        <v>4.8173611111111105</v>
      </c>
      <c r="G31">
        <f t="shared" si="0"/>
        <v>3.8</v>
      </c>
    </row>
    <row r="32" spans="3:7" x14ac:dyDescent="0.2">
      <c r="C32" s="7">
        <v>44600</v>
      </c>
      <c r="D32">
        <v>9.6</v>
      </c>
      <c r="E32">
        <v>5.3</v>
      </c>
      <c r="F32" s="8">
        <v>7.3916666666666675</v>
      </c>
      <c r="G32">
        <f t="shared" si="0"/>
        <v>4.3</v>
      </c>
    </row>
    <row r="33" spans="3:7" x14ac:dyDescent="0.2">
      <c r="C33" s="7">
        <v>44601</v>
      </c>
      <c r="D33">
        <v>9.6</v>
      </c>
      <c r="E33">
        <v>7.3</v>
      </c>
      <c r="F33" s="8">
        <v>8.25138888888889</v>
      </c>
      <c r="G33">
        <f t="shared" si="0"/>
        <v>2.2999999999999998</v>
      </c>
    </row>
    <row r="34" spans="3:7" x14ac:dyDescent="0.2">
      <c r="C34" s="7">
        <v>44602</v>
      </c>
      <c r="D34">
        <v>8.4</v>
      </c>
      <c r="E34">
        <v>5.0999999999999996</v>
      </c>
      <c r="F34" s="8">
        <v>7.5305555555555497</v>
      </c>
      <c r="G34">
        <f t="shared" si="0"/>
        <v>3.3000000000000007</v>
      </c>
    </row>
    <row r="35" spans="3:7" x14ac:dyDescent="0.2">
      <c r="C35" s="7">
        <v>44603</v>
      </c>
      <c r="D35">
        <v>6.7</v>
      </c>
      <c r="E35">
        <v>3.4</v>
      </c>
      <c r="F35" s="8">
        <v>4.9097222222222205</v>
      </c>
      <c r="G35">
        <f t="shared" si="0"/>
        <v>3.3000000000000003</v>
      </c>
    </row>
    <row r="36" spans="3:7" x14ac:dyDescent="0.2">
      <c r="C36" s="7">
        <v>44604</v>
      </c>
      <c r="D36">
        <v>5.6</v>
      </c>
      <c r="E36">
        <v>0.8</v>
      </c>
      <c r="F36" s="8">
        <v>3.0520833333333339</v>
      </c>
      <c r="G36">
        <f t="shared" si="0"/>
        <v>4.8</v>
      </c>
    </row>
    <row r="37" spans="3:7" x14ac:dyDescent="0.2">
      <c r="C37" s="7">
        <v>44605</v>
      </c>
      <c r="D37">
        <v>5.8</v>
      </c>
      <c r="E37">
        <v>0.2</v>
      </c>
      <c r="F37" s="8">
        <v>3.0506944444444439</v>
      </c>
      <c r="G37">
        <f t="shared" si="0"/>
        <v>5.6</v>
      </c>
    </row>
    <row r="38" spans="3:7" x14ac:dyDescent="0.2">
      <c r="C38" s="7">
        <v>44606</v>
      </c>
      <c r="D38">
        <v>9.6</v>
      </c>
      <c r="E38">
        <v>5.8</v>
      </c>
      <c r="F38" s="8">
        <v>7.3041666666666645</v>
      </c>
      <c r="G38">
        <f t="shared" si="0"/>
        <v>3.8</v>
      </c>
    </row>
    <row r="39" spans="3:7" x14ac:dyDescent="0.2">
      <c r="C39" s="7">
        <v>44607</v>
      </c>
      <c r="D39">
        <v>8.1</v>
      </c>
      <c r="E39">
        <v>5.3</v>
      </c>
      <c r="F39" s="8">
        <v>6.4652777777777795</v>
      </c>
      <c r="G39">
        <f t="shared" si="0"/>
        <v>2.8</v>
      </c>
    </row>
    <row r="40" spans="3:7" x14ac:dyDescent="0.2">
      <c r="C40" s="7">
        <v>44608</v>
      </c>
      <c r="D40">
        <v>9.6999999999999993</v>
      </c>
      <c r="E40">
        <v>6.9</v>
      </c>
      <c r="F40" s="8">
        <v>8.5069444444444393</v>
      </c>
      <c r="G40">
        <f t="shared" si="0"/>
        <v>2.7999999999999989</v>
      </c>
    </row>
    <row r="41" spans="3:7" x14ac:dyDescent="0.2">
      <c r="C41" s="7">
        <v>44609</v>
      </c>
      <c r="D41">
        <v>9.8000000000000007</v>
      </c>
      <c r="E41">
        <v>5.9</v>
      </c>
      <c r="F41" s="8">
        <v>7.6444444444444422</v>
      </c>
      <c r="G41">
        <f t="shared" si="0"/>
        <v>3.9000000000000004</v>
      </c>
    </row>
    <row r="42" spans="3:7" x14ac:dyDescent="0.2">
      <c r="C42" s="7">
        <v>44610</v>
      </c>
      <c r="D42">
        <v>8</v>
      </c>
      <c r="E42">
        <v>3.6</v>
      </c>
      <c r="F42" s="8">
        <v>6.236805555555553</v>
      </c>
      <c r="G42">
        <f t="shared" si="0"/>
        <v>4.4000000000000004</v>
      </c>
    </row>
    <row r="43" spans="3:7" x14ac:dyDescent="0.2">
      <c r="C43" s="7">
        <v>44611</v>
      </c>
      <c r="D43">
        <v>6.6</v>
      </c>
      <c r="E43">
        <v>2.4</v>
      </c>
      <c r="F43" s="8">
        <v>4.2375000000000007</v>
      </c>
      <c r="G43">
        <f t="shared" si="0"/>
        <v>4.1999999999999993</v>
      </c>
    </row>
    <row r="44" spans="3:7" x14ac:dyDescent="0.2">
      <c r="C44" s="7">
        <v>44612</v>
      </c>
      <c r="D44">
        <v>8.4</v>
      </c>
      <c r="E44">
        <v>4.2</v>
      </c>
      <c r="F44" s="8">
        <v>6.4159722222222175</v>
      </c>
      <c r="G44">
        <f t="shared" si="0"/>
        <v>4.2</v>
      </c>
    </row>
    <row r="45" spans="3:7" x14ac:dyDescent="0.2">
      <c r="C45" s="7">
        <v>44613</v>
      </c>
      <c r="D45">
        <v>7.4</v>
      </c>
      <c r="E45">
        <v>3.8</v>
      </c>
      <c r="F45" s="8">
        <v>5.3493055555555555</v>
      </c>
      <c r="G45">
        <f t="shared" si="0"/>
        <v>3.6000000000000005</v>
      </c>
    </row>
    <row r="46" spans="3:7" x14ac:dyDescent="0.2">
      <c r="C46" s="7">
        <v>44614</v>
      </c>
      <c r="D46">
        <v>7.4</v>
      </c>
      <c r="E46">
        <v>3.2</v>
      </c>
      <c r="F46" s="8">
        <v>5.1569444444444423</v>
      </c>
      <c r="G46">
        <f t="shared" si="0"/>
        <v>4.2</v>
      </c>
    </row>
    <row r="47" spans="3:7" x14ac:dyDescent="0.2">
      <c r="C47" s="7">
        <v>44615</v>
      </c>
      <c r="D47">
        <v>9.5</v>
      </c>
      <c r="E47">
        <v>3.4</v>
      </c>
      <c r="F47" s="8">
        <v>6.088888888888885</v>
      </c>
      <c r="G47">
        <f t="shared" si="0"/>
        <v>6.1</v>
      </c>
    </row>
    <row r="48" spans="3:7" x14ac:dyDescent="0.2">
      <c r="C48" s="7">
        <v>44616</v>
      </c>
      <c r="D48">
        <v>7</v>
      </c>
      <c r="E48">
        <v>3.2</v>
      </c>
      <c r="F48" s="8">
        <v>5.6402777777777766</v>
      </c>
      <c r="G48">
        <f t="shared" si="0"/>
        <v>3.8</v>
      </c>
    </row>
    <row r="49" spans="3:7" x14ac:dyDescent="0.2">
      <c r="C49" s="7">
        <v>44617</v>
      </c>
      <c r="D49">
        <v>7.5</v>
      </c>
      <c r="E49">
        <v>2.2000000000000002</v>
      </c>
      <c r="F49" s="8">
        <v>4.55</v>
      </c>
      <c r="G49">
        <f t="shared" si="0"/>
        <v>5.3</v>
      </c>
    </row>
    <row r="50" spans="3:7" x14ac:dyDescent="0.2">
      <c r="C50" s="7">
        <v>44618</v>
      </c>
      <c r="D50">
        <v>9.1</v>
      </c>
      <c r="E50">
        <v>2.2000000000000002</v>
      </c>
      <c r="F50" s="8">
        <v>5.210416666666668</v>
      </c>
      <c r="G50">
        <f t="shared" si="0"/>
        <v>6.8999999999999995</v>
      </c>
    </row>
    <row r="51" spans="3:7" x14ac:dyDescent="0.2">
      <c r="C51" s="7">
        <v>44619</v>
      </c>
      <c r="D51">
        <v>8.6</v>
      </c>
      <c r="E51">
        <v>0.9</v>
      </c>
      <c r="F51" s="8">
        <v>4.5902777777777777</v>
      </c>
      <c r="G51">
        <f t="shared" si="0"/>
        <v>7.6999999999999993</v>
      </c>
    </row>
    <row r="52" spans="3:7" x14ac:dyDescent="0.2">
      <c r="C52" s="7">
        <v>44620</v>
      </c>
      <c r="D52">
        <v>8.4</v>
      </c>
      <c r="E52">
        <v>2</v>
      </c>
      <c r="F52" s="8">
        <v>4.5444444444444434</v>
      </c>
      <c r="G52">
        <f t="shared" si="0"/>
        <v>6.4</v>
      </c>
    </row>
    <row r="53" spans="3:7" x14ac:dyDescent="0.2">
      <c r="C53" s="7">
        <v>44621</v>
      </c>
      <c r="D53">
        <v>5.7</v>
      </c>
      <c r="E53">
        <v>3.4</v>
      </c>
      <c r="F53" s="8">
        <v>4.5430555555555632</v>
      </c>
      <c r="G53">
        <f t="shared" si="0"/>
        <v>2.3000000000000003</v>
      </c>
    </row>
    <row r="54" spans="3:7" x14ac:dyDescent="0.2">
      <c r="C54" s="7">
        <v>44622</v>
      </c>
      <c r="D54">
        <v>10.6</v>
      </c>
      <c r="E54">
        <v>4.5999999999999996</v>
      </c>
      <c r="F54" s="8">
        <v>6.9256944444444439</v>
      </c>
      <c r="G54">
        <f t="shared" si="0"/>
        <v>6</v>
      </c>
    </row>
    <row r="55" spans="3:7" x14ac:dyDescent="0.2">
      <c r="C55" s="7">
        <v>44623</v>
      </c>
      <c r="D55">
        <v>10.5</v>
      </c>
      <c r="E55">
        <v>2.6</v>
      </c>
      <c r="F55" s="8">
        <v>6.0013888888888864</v>
      </c>
      <c r="G55">
        <f t="shared" si="0"/>
        <v>7.9</v>
      </c>
    </row>
    <row r="56" spans="3:7" x14ac:dyDescent="0.2">
      <c r="C56" s="7">
        <v>44624</v>
      </c>
      <c r="D56">
        <v>10.1</v>
      </c>
      <c r="E56">
        <v>0.8</v>
      </c>
      <c r="F56" s="8">
        <v>5.2694444444444448</v>
      </c>
      <c r="G56">
        <f t="shared" si="0"/>
        <v>9.2999999999999989</v>
      </c>
    </row>
    <row r="57" spans="3:7" x14ac:dyDescent="0.2">
      <c r="C57" s="7">
        <v>44625</v>
      </c>
      <c r="D57">
        <v>9.6</v>
      </c>
      <c r="E57">
        <v>0.6</v>
      </c>
      <c r="F57" s="8">
        <v>4.9277777777777771</v>
      </c>
      <c r="G57">
        <f t="shared" si="0"/>
        <v>9</v>
      </c>
    </row>
    <row r="58" spans="3:7" x14ac:dyDescent="0.2">
      <c r="C58" s="7">
        <v>44626</v>
      </c>
      <c r="D58">
        <v>8.4</v>
      </c>
      <c r="E58">
        <v>1.6</v>
      </c>
      <c r="F58" s="8">
        <v>4.8767361111111107</v>
      </c>
      <c r="G58">
        <f t="shared" si="0"/>
        <v>6.8000000000000007</v>
      </c>
    </row>
    <row r="59" spans="3:7" x14ac:dyDescent="0.2">
      <c r="C59" s="7">
        <v>44627</v>
      </c>
      <c r="D59">
        <v>10.1</v>
      </c>
      <c r="E59">
        <v>2.8</v>
      </c>
      <c r="F59" s="8">
        <v>5.6444444444444439</v>
      </c>
      <c r="G59">
        <f t="shared" si="0"/>
        <v>7.3</v>
      </c>
    </row>
    <row r="60" spans="3:7" x14ac:dyDescent="0.2">
      <c r="C60" s="7">
        <v>44628</v>
      </c>
      <c r="D60">
        <v>9</v>
      </c>
      <c r="E60">
        <v>0.2</v>
      </c>
      <c r="F60" s="8">
        <v>4.5704861111111095</v>
      </c>
      <c r="G60">
        <f t="shared" si="0"/>
        <v>8.8000000000000007</v>
      </c>
    </row>
    <row r="61" spans="3:7" x14ac:dyDescent="0.2">
      <c r="C61" s="7">
        <v>44629</v>
      </c>
      <c r="D61">
        <v>11.1</v>
      </c>
      <c r="E61">
        <v>2.2999999999999998</v>
      </c>
      <c r="F61" s="8">
        <v>5.9659722222222236</v>
      </c>
      <c r="G61">
        <f t="shared" si="0"/>
        <v>8.8000000000000007</v>
      </c>
    </row>
    <row r="62" spans="3:7" x14ac:dyDescent="0.2">
      <c r="C62" s="7">
        <v>44630</v>
      </c>
      <c r="D62">
        <v>12.4</v>
      </c>
      <c r="E62">
        <v>3.8</v>
      </c>
      <c r="F62" s="8">
        <v>7.680208333333332</v>
      </c>
      <c r="G62">
        <f t="shared" si="0"/>
        <v>8.6000000000000014</v>
      </c>
    </row>
    <row r="63" spans="3:7" x14ac:dyDescent="0.2">
      <c r="C63" s="7">
        <v>44631</v>
      </c>
      <c r="D63">
        <v>12.4</v>
      </c>
      <c r="E63">
        <v>3</v>
      </c>
      <c r="F63" s="8">
        <v>7.486805555555553</v>
      </c>
      <c r="G63">
        <f t="shared" si="0"/>
        <v>9.4</v>
      </c>
    </row>
    <row r="64" spans="3:7" x14ac:dyDescent="0.2">
      <c r="C64" s="7">
        <v>44632</v>
      </c>
      <c r="D64">
        <v>12.4</v>
      </c>
      <c r="E64">
        <v>6</v>
      </c>
      <c r="F64" s="8">
        <v>8.9041666666666615</v>
      </c>
      <c r="G64">
        <f t="shared" si="0"/>
        <v>6.4</v>
      </c>
    </row>
    <row r="65" spans="3:7" x14ac:dyDescent="0.2">
      <c r="C65" s="7">
        <v>44633</v>
      </c>
      <c r="D65">
        <v>15.3</v>
      </c>
      <c r="E65">
        <v>7.4</v>
      </c>
      <c r="F65" s="8">
        <v>10.572916666666664</v>
      </c>
      <c r="G65">
        <f t="shared" si="0"/>
        <v>7.9</v>
      </c>
    </row>
    <row r="66" spans="3:7" x14ac:dyDescent="0.2">
      <c r="C66" s="7">
        <v>44634</v>
      </c>
      <c r="D66">
        <v>14.8</v>
      </c>
      <c r="E66">
        <v>8.5</v>
      </c>
      <c r="F66" s="8">
        <v>10.977777777777776</v>
      </c>
      <c r="G66">
        <f t="shared" si="0"/>
        <v>6.3000000000000007</v>
      </c>
    </row>
    <row r="67" spans="3:7" x14ac:dyDescent="0.2">
      <c r="C67" s="7">
        <v>44635</v>
      </c>
      <c r="D67">
        <v>16</v>
      </c>
      <c r="E67">
        <v>7.9</v>
      </c>
      <c r="F67" s="8">
        <v>11.18541666666666</v>
      </c>
      <c r="G67">
        <f t="shared" si="0"/>
        <v>8.1</v>
      </c>
    </row>
    <row r="68" spans="3:7" x14ac:dyDescent="0.2">
      <c r="C68" s="7">
        <v>44636</v>
      </c>
      <c r="D68">
        <v>12.4</v>
      </c>
      <c r="E68">
        <v>6.4</v>
      </c>
      <c r="F68" s="8">
        <v>9.8968749999999925</v>
      </c>
      <c r="G68">
        <f t="shared" si="0"/>
        <v>6</v>
      </c>
    </row>
    <row r="69" spans="3:7" x14ac:dyDescent="0.2">
      <c r="C69" s="7">
        <v>44637</v>
      </c>
      <c r="D69">
        <v>14.3</v>
      </c>
      <c r="E69">
        <v>7.3</v>
      </c>
      <c r="F69" s="8">
        <v>10.389583333333327</v>
      </c>
      <c r="G69">
        <f t="shared" ref="G69:G132" si="1">D69-E69</f>
        <v>7.0000000000000009</v>
      </c>
    </row>
    <row r="70" spans="3:7" x14ac:dyDescent="0.2">
      <c r="C70" s="7">
        <v>44638</v>
      </c>
      <c r="D70">
        <v>16.3</v>
      </c>
      <c r="E70">
        <v>6.5</v>
      </c>
      <c r="F70" s="8">
        <v>10.647222222222222</v>
      </c>
      <c r="G70">
        <f t="shared" si="1"/>
        <v>9.8000000000000007</v>
      </c>
    </row>
    <row r="71" spans="3:7" x14ac:dyDescent="0.2">
      <c r="C71" s="7">
        <v>44639</v>
      </c>
      <c r="D71">
        <v>14.1</v>
      </c>
      <c r="E71">
        <v>5.9</v>
      </c>
      <c r="F71" s="8">
        <v>9.3347222222222186</v>
      </c>
      <c r="G71">
        <f t="shared" si="1"/>
        <v>8.1999999999999993</v>
      </c>
    </row>
    <row r="72" spans="3:7" x14ac:dyDescent="0.2">
      <c r="C72" s="7">
        <v>44640</v>
      </c>
      <c r="D72">
        <v>8.3000000000000007</v>
      </c>
      <c r="E72">
        <v>3</v>
      </c>
      <c r="F72" s="8">
        <v>5.486805555555553</v>
      </c>
      <c r="G72">
        <f t="shared" si="1"/>
        <v>5.3000000000000007</v>
      </c>
    </row>
    <row r="73" spans="3:7" x14ac:dyDescent="0.2">
      <c r="C73" s="7">
        <v>44641</v>
      </c>
      <c r="D73">
        <v>16.100000000000001</v>
      </c>
      <c r="E73">
        <v>2.4</v>
      </c>
      <c r="F73" s="8">
        <v>8.4222222222222207</v>
      </c>
      <c r="G73">
        <f t="shared" si="1"/>
        <v>13.700000000000001</v>
      </c>
    </row>
    <row r="74" spans="3:7" x14ac:dyDescent="0.2">
      <c r="C74" s="7">
        <v>44642</v>
      </c>
      <c r="D74">
        <v>17</v>
      </c>
      <c r="E74">
        <v>6.4</v>
      </c>
      <c r="F74" s="8">
        <v>10.93472222222222</v>
      </c>
      <c r="G74">
        <f t="shared" si="1"/>
        <v>10.6</v>
      </c>
    </row>
    <row r="75" spans="3:7" x14ac:dyDescent="0.2">
      <c r="C75" s="7">
        <v>44643</v>
      </c>
      <c r="D75">
        <v>18</v>
      </c>
      <c r="E75">
        <v>7.8</v>
      </c>
      <c r="F75" s="8">
        <v>12.156944444444438</v>
      </c>
      <c r="G75">
        <f t="shared" si="1"/>
        <v>10.199999999999999</v>
      </c>
    </row>
    <row r="76" spans="3:7" x14ac:dyDescent="0.2">
      <c r="C76" s="7">
        <v>44644</v>
      </c>
      <c r="D76">
        <v>16.8</v>
      </c>
      <c r="E76">
        <v>7.8</v>
      </c>
      <c r="F76" s="8">
        <v>12.12569444444444</v>
      </c>
      <c r="G76">
        <f t="shared" si="1"/>
        <v>9</v>
      </c>
    </row>
    <row r="77" spans="3:7" x14ac:dyDescent="0.2">
      <c r="C77" s="7">
        <v>44645</v>
      </c>
      <c r="D77">
        <v>15.8</v>
      </c>
      <c r="E77">
        <v>8</v>
      </c>
      <c r="F77" s="8">
        <v>11.730555555555553</v>
      </c>
      <c r="G77">
        <f t="shared" si="1"/>
        <v>7.8000000000000007</v>
      </c>
    </row>
    <row r="78" spans="3:7" x14ac:dyDescent="0.2">
      <c r="C78" s="7">
        <v>44646</v>
      </c>
      <c r="D78">
        <v>16.399999999999999</v>
      </c>
      <c r="E78">
        <v>8.1</v>
      </c>
      <c r="F78" s="8">
        <v>11.661111111111108</v>
      </c>
      <c r="G78">
        <f t="shared" si="1"/>
        <v>8.2999999999999989</v>
      </c>
    </row>
    <row r="79" spans="3:7" x14ac:dyDescent="0.2">
      <c r="C79" s="7">
        <v>44647</v>
      </c>
      <c r="D79">
        <v>17.100000000000001</v>
      </c>
      <c r="E79">
        <v>10.1</v>
      </c>
      <c r="F79" s="8">
        <v>13.157638888888885</v>
      </c>
      <c r="G79">
        <f t="shared" si="1"/>
        <v>7.0000000000000018</v>
      </c>
    </row>
    <row r="80" spans="3:7" x14ac:dyDescent="0.2">
      <c r="C80" s="7">
        <v>44648</v>
      </c>
      <c r="D80">
        <v>16.8</v>
      </c>
      <c r="E80">
        <v>9.3000000000000007</v>
      </c>
      <c r="F80" s="8">
        <v>12.603472222222216</v>
      </c>
      <c r="G80">
        <f t="shared" si="1"/>
        <v>7.5</v>
      </c>
    </row>
    <row r="81" spans="3:7" x14ac:dyDescent="0.2">
      <c r="C81" s="7">
        <v>44649</v>
      </c>
      <c r="D81">
        <v>15.8</v>
      </c>
      <c r="E81">
        <v>10.1</v>
      </c>
      <c r="F81" s="8">
        <v>12.525694444444436</v>
      </c>
      <c r="G81">
        <f t="shared" si="1"/>
        <v>5.7000000000000011</v>
      </c>
    </row>
    <row r="82" spans="3:7" x14ac:dyDescent="0.2">
      <c r="C82" s="7">
        <v>44650</v>
      </c>
      <c r="D82">
        <v>13.7</v>
      </c>
      <c r="E82">
        <v>8.3000000000000007</v>
      </c>
      <c r="F82" s="8">
        <v>10.720138888888881</v>
      </c>
      <c r="G82">
        <f t="shared" si="1"/>
        <v>5.3999999999999986</v>
      </c>
    </row>
    <row r="83" spans="3:7" x14ac:dyDescent="0.2">
      <c r="C83" s="7">
        <v>44651</v>
      </c>
      <c r="D83">
        <v>8.8000000000000007</v>
      </c>
      <c r="E83">
        <v>2.1</v>
      </c>
      <c r="F83" s="8">
        <v>6.2402777777777754</v>
      </c>
      <c r="G83">
        <f t="shared" si="1"/>
        <v>6.7000000000000011</v>
      </c>
    </row>
    <row r="84" spans="3:7" x14ac:dyDescent="0.2">
      <c r="C84" s="7">
        <v>44652</v>
      </c>
      <c r="D84">
        <v>6.4</v>
      </c>
      <c r="E84">
        <v>0.4</v>
      </c>
      <c r="F84" s="8">
        <v>3.3201388888888896</v>
      </c>
      <c r="G84">
        <f t="shared" si="1"/>
        <v>6</v>
      </c>
    </row>
    <row r="85" spans="3:7" x14ac:dyDescent="0.2">
      <c r="C85" s="7">
        <v>44653</v>
      </c>
      <c r="D85">
        <v>8.1</v>
      </c>
      <c r="E85">
        <v>3</v>
      </c>
      <c r="F85" s="8">
        <v>5.1805555555555545</v>
      </c>
      <c r="G85">
        <f t="shared" si="1"/>
        <v>5.0999999999999996</v>
      </c>
    </row>
    <row r="86" spans="3:7" x14ac:dyDescent="0.2">
      <c r="C86" s="7">
        <v>44654</v>
      </c>
      <c r="D86">
        <v>9.8000000000000007</v>
      </c>
      <c r="E86">
        <v>4</v>
      </c>
      <c r="F86" s="8">
        <v>6.6159722222222221</v>
      </c>
      <c r="G86">
        <f t="shared" si="1"/>
        <v>5.8000000000000007</v>
      </c>
    </row>
    <row r="87" spans="3:7" x14ac:dyDescent="0.2">
      <c r="C87" s="7">
        <v>44655</v>
      </c>
      <c r="D87">
        <v>7.8</v>
      </c>
      <c r="E87">
        <v>5.2</v>
      </c>
      <c r="F87" s="8">
        <v>6.3555555555555525</v>
      </c>
      <c r="G87">
        <f t="shared" si="1"/>
        <v>2.5999999999999996</v>
      </c>
    </row>
    <row r="88" spans="3:7" x14ac:dyDescent="0.2">
      <c r="C88" s="7">
        <v>44656</v>
      </c>
      <c r="D88">
        <v>11.1</v>
      </c>
      <c r="E88">
        <v>7.7</v>
      </c>
      <c r="F88" s="8">
        <v>9.2819444444444414</v>
      </c>
      <c r="G88">
        <f t="shared" si="1"/>
        <v>3.3999999999999995</v>
      </c>
    </row>
    <row r="89" spans="3:7" x14ac:dyDescent="0.2">
      <c r="C89" s="7">
        <v>44657</v>
      </c>
      <c r="D89">
        <v>10.8</v>
      </c>
      <c r="E89">
        <v>8.1</v>
      </c>
      <c r="F89" s="8">
        <v>9.4673611111111047</v>
      </c>
      <c r="G89">
        <f t="shared" si="1"/>
        <v>2.7000000000000011</v>
      </c>
    </row>
    <row r="90" spans="3:7" x14ac:dyDescent="0.2">
      <c r="C90" s="7">
        <v>44658</v>
      </c>
      <c r="D90">
        <v>11.7</v>
      </c>
      <c r="E90">
        <v>7.3</v>
      </c>
      <c r="F90" s="8">
        <v>9.0534722222222186</v>
      </c>
      <c r="G90">
        <f t="shared" si="1"/>
        <v>4.3999999999999995</v>
      </c>
    </row>
    <row r="91" spans="3:7" x14ac:dyDescent="0.2">
      <c r="C91" s="7">
        <v>44659</v>
      </c>
      <c r="D91">
        <v>10.1</v>
      </c>
      <c r="E91">
        <v>5.6</v>
      </c>
      <c r="F91" s="8">
        <v>7.7354166666666693</v>
      </c>
      <c r="G91">
        <f t="shared" si="1"/>
        <v>4.5</v>
      </c>
    </row>
    <row r="92" spans="3:7" x14ac:dyDescent="0.2">
      <c r="C92" s="7">
        <v>44660</v>
      </c>
      <c r="D92">
        <v>10.8</v>
      </c>
      <c r="E92">
        <v>4.8</v>
      </c>
      <c r="F92" s="8">
        <v>7.6013888888888834</v>
      </c>
      <c r="G92">
        <f t="shared" si="1"/>
        <v>6.0000000000000009</v>
      </c>
    </row>
    <row r="93" spans="3:7" x14ac:dyDescent="0.2">
      <c r="C93" s="7">
        <v>44661</v>
      </c>
      <c r="D93">
        <v>14.6</v>
      </c>
      <c r="E93">
        <v>5.0999999999999996</v>
      </c>
      <c r="F93" s="8">
        <v>9.4430555555555529</v>
      </c>
      <c r="G93">
        <f t="shared" si="1"/>
        <v>9.5</v>
      </c>
    </row>
    <row r="94" spans="3:7" x14ac:dyDescent="0.2">
      <c r="C94" s="7">
        <v>44662</v>
      </c>
      <c r="D94">
        <v>15.1</v>
      </c>
      <c r="E94">
        <v>8.5</v>
      </c>
      <c r="F94" s="8">
        <v>11.643055555555547</v>
      </c>
      <c r="G94">
        <f t="shared" si="1"/>
        <v>6.6</v>
      </c>
    </row>
    <row r="95" spans="3:7" x14ac:dyDescent="0.2">
      <c r="C95" s="7">
        <v>44663</v>
      </c>
      <c r="D95">
        <v>16.899999999999999</v>
      </c>
      <c r="E95">
        <v>8.6999999999999993</v>
      </c>
      <c r="F95" s="8">
        <v>12.64374999999999</v>
      </c>
      <c r="G95">
        <f t="shared" si="1"/>
        <v>8.1999999999999993</v>
      </c>
    </row>
    <row r="96" spans="3:7" x14ac:dyDescent="0.2">
      <c r="C96" s="7">
        <v>44664</v>
      </c>
      <c r="D96">
        <v>17.399999999999999</v>
      </c>
      <c r="E96">
        <v>12.8</v>
      </c>
      <c r="F96" s="8">
        <v>14.793749999999992</v>
      </c>
      <c r="G96">
        <f t="shared" si="1"/>
        <v>4.5999999999999979</v>
      </c>
    </row>
    <row r="97" spans="3:7" x14ac:dyDescent="0.2">
      <c r="C97" s="7">
        <v>44665</v>
      </c>
      <c r="D97">
        <v>20.8</v>
      </c>
      <c r="E97">
        <v>12.3</v>
      </c>
      <c r="F97" s="8">
        <v>16.143749999999997</v>
      </c>
      <c r="G97">
        <f t="shared" si="1"/>
        <v>8.5</v>
      </c>
    </row>
    <row r="98" spans="3:7" x14ac:dyDescent="0.2">
      <c r="C98" s="7">
        <v>44666</v>
      </c>
      <c r="D98">
        <v>20.2</v>
      </c>
      <c r="E98">
        <v>13</v>
      </c>
      <c r="F98" s="8">
        <v>16.186111111111103</v>
      </c>
      <c r="G98">
        <f t="shared" si="1"/>
        <v>7.1999999999999993</v>
      </c>
    </row>
    <row r="99" spans="3:7" x14ac:dyDescent="0.2">
      <c r="C99" s="7">
        <v>44667</v>
      </c>
      <c r="D99">
        <v>19.7</v>
      </c>
      <c r="E99">
        <v>11.4</v>
      </c>
      <c r="F99" s="8">
        <v>15.331249999999992</v>
      </c>
      <c r="G99">
        <f t="shared" si="1"/>
        <v>8.2999999999999989</v>
      </c>
    </row>
    <row r="100" spans="3:7" x14ac:dyDescent="0.2">
      <c r="C100" s="7">
        <v>44668</v>
      </c>
      <c r="D100">
        <v>19.100000000000001</v>
      </c>
      <c r="E100">
        <v>10.4</v>
      </c>
      <c r="F100" s="8">
        <v>14.629166666666659</v>
      </c>
      <c r="G100">
        <f t="shared" si="1"/>
        <v>8.7000000000000011</v>
      </c>
    </row>
    <row r="101" spans="3:7" x14ac:dyDescent="0.2">
      <c r="C101" s="7">
        <v>44669</v>
      </c>
      <c r="D101">
        <v>20.3</v>
      </c>
      <c r="E101">
        <v>10.9</v>
      </c>
      <c r="F101" s="8">
        <v>15.43333333333333</v>
      </c>
      <c r="G101">
        <f t="shared" si="1"/>
        <v>9.4</v>
      </c>
    </row>
    <row r="102" spans="3:7" x14ac:dyDescent="0.2">
      <c r="C102" s="7">
        <v>44670</v>
      </c>
      <c r="D102">
        <v>20</v>
      </c>
      <c r="E102">
        <v>12.1</v>
      </c>
      <c r="F102" s="8">
        <v>15.540277777777776</v>
      </c>
      <c r="G102">
        <f t="shared" si="1"/>
        <v>7.9</v>
      </c>
    </row>
    <row r="103" spans="3:7" x14ac:dyDescent="0.2">
      <c r="C103" s="7">
        <v>44671</v>
      </c>
      <c r="D103">
        <v>19.100000000000001</v>
      </c>
      <c r="E103">
        <v>11</v>
      </c>
      <c r="F103" s="8">
        <v>14.750277777777772</v>
      </c>
      <c r="G103">
        <f t="shared" si="1"/>
        <v>8.1000000000000014</v>
      </c>
    </row>
    <row r="104" spans="3:7" x14ac:dyDescent="0.2">
      <c r="C104" s="7">
        <v>44672</v>
      </c>
      <c r="D104">
        <v>18.8</v>
      </c>
      <c r="E104">
        <v>10.8</v>
      </c>
      <c r="F104" s="8">
        <v>14.477847222222213</v>
      </c>
      <c r="G104">
        <f t="shared" si="1"/>
        <v>8</v>
      </c>
    </row>
    <row r="105" spans="3:7" x14ac:dyDescent="0.2">
      <c r="C105" s="7">
        <v>44673</v>
      </c>
      <c r="D105">
        <v>18.600000000000001</v>
      </c>
      <c r="E105">
        <v>11</v>
      </c>
      <c r="F105" s="8">
        <v>14.453472222222214</v>
      </c>
      <c r="G105">
        <f t="shared" si="1"/>
        <v>7.6000000000000014</v>
      </c>
    </row>
    <row r="106" spans="3:7" x14ac:dyDescent="0.2">
      <c r="C106" s="7">
        <v>44674</v>
      </c>
      <c r="D106">
        <v>18.399999999999999</v>
      </c>
      <c r="E106">
        <v>10.6</v>
      </c>
      <c r="F106" s="8">
        <v>14.190972222222223</v>
      </c>
      <c r="G106">
        <f t="shared" si="1"/>
        <v>7.7999999999999989</v>
      </c>
    </row>
    <row r="107" spans="3:7" x14ac:dyDescent="0.2">
      <c r="C107" s="7">
        <v>44675</v>
      </c>
      <c r="D107">
        <v>18.600000000000001</v>
      </c>
      <c r="E107">
        <v>10</v>
      </c>
      <c r="F107" s="8">
        <v>13.916666666666659</v>
      </c>
      <c r="G107">
        <f t="shared" si="1"/>
        <v>8.6000000000000014</v>
      </c>
    </row>
    <row r="108" spans="3:7" x14ac:dyDescent="0.2">
      <c r="C108" s="7">
        <v>44676</v>
      </c>
      <c r="D108">
        <v>12.7</v>
      </c>
      <c r="E108">
        <v>10</v>
      </c>
      <c r="F108" s="8">
        <v>10.846527777777771</v>
      </c>
      <c r="G108">
        <f t="shared" si="1"/>
        <v>2.6999999999999993</v>
      </c>
    </row>
    <row r="109" spans="3:7" x14ac:dyDescent="0.2">
      <c r="C109" s="7">
        <v>44677</v>
      </c>
      <c r="D109">
        <v>17.5</v>
      </c>
      <c r="E109">
        <v>8.8000000000000007</v>
      </c>
      <c r="F109" s="8">
        <v>12.659027777777778</v>
      </c>
      <c r="G109">
        <f t="shared" si="1"/>
        <v>8.6999999999999993</v>
      </c>
    </row>
    <row r="110" spans="3:7" x14ac:dyDescent="0.2">
      <c r="C110" s="7">
        <v>44678</v>
      </c>
      <c r="D110">
        <v>15.1</v>
      </c>
      <c r="E110">
        <v>10.9</v>
      </c>
      <c r="F110" s="8">
        <v>12.583333333333327</v>
      </c>
      <c r="G110">
        <f t="shared" si="1"/>
        <v>4.1999999999999993</v>
      </c>
    </row>
    <row r="111" spans="3:7" x14ac:dyDescent="0.2">
      <c r="C111" s="7">
        <v>44679</v>
      </c>
      <c r="D111">
        <v>18.100000000000001</v>
      </c>
      <c r="E111">
        <v>9</v>
      </c>
      <c r="F111" s="8">
        <v>12.872222222222213</v>
      </c>
      <c r="G111">
        <f t="shared" si="1"/>
        <v>9.1000000000000014</v>
      </c>
    </row>
    <row r="112" spans="3:7" x14ac:dyDescent="0.2">
      <c r="C112" s="7">
        <v>44680</v>
      </c>
      <c r="D112">
        <v>14.3</v>
      </c>
      <c r="E112">
        <v>10.1</v>
      </c>
      <c r="F112" s="8">
        <v>12.056249999999995</v>
      </c>
      <c r="G112">
        <f t="shared" si="1"/>
        <v>4.2000000000000011</v>
      </c>
    </row>
    <row r="113" spans="3:7" x14ac:dyDescent="0.2">
      <c r="C113" s="7">
        <v>44681</v>
      </c>
      <c r="D113">
        <v>16.3</v>
      </c>
      <c r="E113">
        <v>9.3000000000000007</v>
      </c>
      <c r="F113" s="8">
        <v>12.449305555555547</v>
      </c>
      <c r="G113">
        <f t="shared" si="1"/>
        <v>7</v>
      </c>
    </row>
    <row r="114" spans="3:7" x14ac:dyDescent="0.2">
      <c r="C114" s="7">
        <v>44682</v>
      </c>
      <c r="D114">
        <v>19.899999999999999</v>
      </c>
      <c r="E114">
        <v>10</v>
      </c>
      <c r="F114" s="8">
        <v>14.476388888888883</v>
      </c>
      <c r="G114">
        <f t="shared" si="1"/>
        <v>9.8999999999999986</v>
      </c>
    </row>
    <row r="115" spans="3:7" x14ac:dyDescent="0.2">
      <c r="C115" s="7">
        <v>44683</v>
      </c>
      <c r="D115">
        <v>20.3</v>
      </c>
      <c r="E115">
        <v>11.1</v>
      </c>
      <c r="F115" s="8">
        <v>15.486805555555545</v>
      </c>
      <c r="G115">
        <f t="shared" si="1"/>
        <v>9.2000000000000011</v>
      </c>
    </row>
    <row r="116" spans="3:7" x14ac:dyDescent="0.2">
      <c r="C116" s="7">
        <v>44684</v>
      </c>
      <c r="D116">
        <v>15.4</v>
      </c>
      <c r="E116">
        <v>12.1</v>
      </c>
      <c r="F116" s="8">
        <v>13.540972222222214</v>
      </c>
      <c r="G116">
        <f t="shared" si="1"/>
        <v>3.3000000000000007</v>
      </c>
    </row>
    <row r="117" spans="3:7" x14ac:dyDescent="0.2">
      <c r="C117" s="7">
        <v>44685</v>
      </c>
      <c r="D117">
        <v>12.4</v>
      </c>
      <c r="E117">
        <v>12</v>
      </c>
      <c r="F117" s="8">
        <v>12.17272727272727</v>
      </c>
      <c r="G117">
        <f t="shared" si="1"/>
        <v>0.40000000000000036</v>
      </c>
    </row>
    <row r="118" spans="3:7" x14ac:dyDescent="0.2">
      <c r="C118" s="7">
        <v>44687</v>
      </c>
      <c r="D118">
        <v>23.4</v>
      </c>
      <c r="E118">
        <v>19.100000000000001</v>
      </c>
      <c r="F118" s="8">
        <v>21.741791044776118</v>
      </c>
      <c r="G118">
        <f t="shared" si="1"/>
        <v>4.2999999999999972</v>
      </c>
    </row>
    <row r="119" spans="3:7" x14ac:dyDescent="0.2">
      <c r="C119" s="7">
        <v>44688</v>
      </c>
      <c r="D119">
        <v>23.9</v>
      </c>
      <c r="E119">
        <v>16</v>
      </c>
      <c r="F119" s="8">
        <v>19.347916666666674</v>
      </c>
      <c r="G119">
        <f t="shared" si="1"/>
        <v>7.8999999999999986</v>
      </c>
    </row>
    <row r="120" spans="3:7" x14ac:dyDescent="0.2">
      <c r="C120" s="7">
        <v>44689</v>
      </c>
      <c r="D120">
        <v>22.1</v>
      </c>
      <c r="E120">
        <v>13.4</v>
      </c>
      <c r="F120" s="8">
        <v>17.411805555555549</v>
      </c>
      <c r="G120">
        <f t="shared" si="1"/>
        <v>8.7000000000000011</v>
      </c>
    </row>
    <row r="121" spans="3:7" x14ac:dyDescent="0.2">
      <c r="C121" s="7">
        <v>44690</v>
      </c>
      <c r="D121">
        <v>23.5</v>
      </c>
      <c r="E121">
        <v>13.2</v>
      </c>
      <c r="F121" s="8">
        <v>18.431944444444454</v>
      </c>
      <c r="G121">
        <f t="shared" si="1"/>
        <v>10.3</v>
      </c>
    </row>
    <row r="122" spans="3:7" x14ac:dyDescent="0.2">
      <c r="C122" s="7">
        <v>44691</v>
      </c>
      <c r="D122">
        <v>19.7</v>
      </c>
      <c r="E122">
        <v>15.8</v>
      </c>
      <c r="F122" s="8">
        <v>17.620138888888892</v>
      </c>
      <c r="G122">
        <f t="shared" si="1"/>
        <v>3.8999999999999986</v>
      </c>
    </row>
    <row r="123" spans="3:7" x14ac:dyDescent="0.2">
      <c r="C123" s="7">
        <v>44692</v>
      </c>
      <c r="D123">
        <v>21.3</v>
      </c>
      <c r="E123">
        <v>14.3</v>
      </c>
      <c r="F123" s="8">
        <v>17.076249999999991</v>
      </c>
      <c r="G123">
        <f t="shared" si="1"/>
        <v>7</v>
      </c>
    </row>
    <row r="124" spans="3:7" x14ac:dyDescent="0.2">
      <c r="C124" s="7">
        <v>44693</v>
      </c>
      <c r="D124">
        <v>22.3</v>
      </c>
      <c r="E124">
        <v>13.5</v>
      </c>
      <c r="F124" s="8">
        <v>17.645277777777782</v>
      </c>
      <c r="G124">
        <f t="shared" si="1"/>
        <v>8.8000000000000007</v>
      </c>
    </row>
    <row r="125" spans="3:7" x14ac:dyDescent="0.2">
      <c r="C125" s="7">
        <v>44694</v>
      </c>
      <c r="D125">
        <v>22</v>
      </c>
      <c r="E125">
        <v>14.8</v>
      </c>
      <c r="F125" s="8">
        <v>17.954861111111114</v>
      </c>
      <c r="G125">
        <f t="shared" si="1"/>
        <v>7.1999999999999993</v>
      </c>
    </row>
    <row r="126" spans="3:7" x14ac:dyDescent="0.2">
      <c r="C126" s="7">
        <v>44695</v>
      </c>
      <c r="D126">
        <v>23.9</v>
      </c>
      <c r="E126">
        <v>15</v>
      </c>
      <c r="F126" s="8">
        <v>19.131250000000009</v>
      </c>
      <c r="G126">
        <f t="shared" si="1"/>
        <v>8.8999999999999986</v>
      </c>
    </row>
    <row r="127" spans="3:7" x14ac:dyDescent="0.2">
      <c r="C127" s="7">
        <v>44696</v>
      </c>
      <c r="D127">
        <v>24.7</v>
      </c>
      <c r="E127">
        <v>15.9</v>
      </c>
      <c r="F127" s="8">
        <v>20.008333333333336</v>
      </c>
      <c r="G127">
        <f t="shared" si="1"/>
        <v>8.7999999999999989</v>
      </c>
    </row>
    <row r="128" spans="3:7" x14ac:dyDescent="0.2">
      <c r="C128" s="7">
        <v>44697</v>
      </c>
      <c r="D128">
        <v>21.4</v>
      </c>
      <c r="E128">
        <v>16.8</v>
      </c>
      <c r="F128" s="8">
        <v>19.104861111111106</v>
      </c>
      <c r="G128">
        <f t="shared" si="1"/>
        <v>4.5999999999999979</v>
      </c>
    </row>
    <row r="129" spans="3:7" x14ac:dyDescent="0.2">
      <c r="C129" s="7">
        <v>44698</v>
      </c>
      <c r="D129">
        <v>23.8</v>
      </c>
      <c r="E129">
        <v>16.899999999999999</v>
      </c>
      <c r="F129" s="8">
        <v>19.940277777777776</v>
      </c>
      <c r="G129">
        <f t="shared" si="1"/>
        <v>6.9000000000000021</v>
      </c>
    </row>
    <row r="130" spans="3:7" x14ac:dyDescent="0.2">
      <c r="C130" s="7">
        <v>44699</v>
      </c>
      <c r="D130">
        <v>25.6</v>
      </c>
      <c r="E130">
        <v>18.399999999999999</v>
      </c>
      <c r="F130" s="8">
        <v>21.647222222222226</v>
      </c>
      <c r="G130">
        <f t="shared" si="1"/>
        <v>7.2000000000000028</v>
      </c>
    </row>
    <row r="131" spans="3:7" x14ac:dyDescent="0.2">
      <c r="C131" s="7">
        <v>44700</v>
      </c>
      <c r="D131">
        <v>22.6</v>
      </c>
      <c r="E131">
        <v>19</v>
      </c>
      <c r="F131" s="8">
        <v>20.476388888888891</v>
      </c>
      <c r="G131">
        <f t="shared" si="1"/>
        <v>3.6000000000000014</v>
      </c>
    </row>
    <row r="132" spans="3:7" x14ac:dyDescent="0.2">
      <c r="C132" s="7">
        <v>44701</v>
      </c>
      <c r="D132">
        <v>20</v>
      </c>
      <c r="E132">
        <v>15.9</v>
      </c>
      <c r="F132" s="8">
        <v>17.959027777777781</v>
      </c>
      <c r="G132">
        <f t="shared" si="1"/>
        <v>4.0999999999999996</v>
      </c>
    </row>
    <row r="133" spans="3:7" x14ac:dyDescent="0.2">
      <c r="C133" s="7">
        <v>44702</v>
      </c>
      <c r="D133">
        <v>21.7</v>
      </c>
      <c r="E133">
        <v>14.4</v>
      </c>
      <c r="F133" s="8">
        <v>17.920138888888886</v>
      </c>
      <c r="G133">
        <f t="shared" ref="G133:G196" si="2">D133-E133</f>
        <v>7.2999999999999989</v>
      </c>
    </row>
    <row r="134" spans="3:7" x14ac:dyDescent="0.2">
      <c r="C134" s="7">
        <v>44703</v>
      </c>
      <c r="D134">
        <v>25</v>
      </c>
      <c r="E134">
        <v>15.8</v>
      </c>
      <c r="F134" s="8">
        <v>20.226388888888888</v>
      </c>
      <c r="G134">
        <f t="shared" si="2"/>
        <v>9.1999999999999993</v>
      </c>
    </row>
    <row r="135" spans="3:7" x14ac:dyDescent="0.2">
      <c r="C135" s="7">
        <v>44704</v>
      </c>
      <c r="D135">
        <v>21</v>
      </c>
      <c r="E135">
        <v>16.8</v>
      </c>
      <c r="F135" s="8">
        <v>18.934027777777786</v>
      </c>
      <c r="G135">
        <f t="shared" si="2"/>
        <v>4.1999999999999993</v>
      </c>
    </row>
    <row r="136" spans="3:7" x14ac:dyDescent="0.2">
      <c r="C136" s="7">
        <v>44705</v>
      </c>
      <c r="D136">
        <v>21.3</v>
      </c>
      <c r="E136">
        <v>15.6</v>
      </c>
      <c r="F136" s="8">
        <v>17.940277777777776</v>
      </c>
      <c r="G136">
        <f t="shared" si="2"/>
        <v>5.7000000000000011</v>
      </c>
    </row>
    <row r="137" spans="3:7" x14ac:dyDescent="0.2">
      <c r="C137" s="7">
        <v>44706</v>
      </c>
      <c r="D137">
        <v>19.899999999999999</v>
      </c>
      <c r="E137">
        <v>15</v>
      </c>
      <c r="F137" s="8">
        <v>17.066666666666663</v>
      </c>
      <c r="G137">
        <f t="shared" si="2"/>
        <v>4.8999999999999986</v>
      </c>
    </row>
    <row r="138" spans="3:7" x14ac:dyDescent="0.2">
      <c r="C138" s="7">
        <v>44707</v>
      </c>
      <c r="D138">
        <v>21.6</v>
      </c>
      <c r="E138">
        <v>14.4</v>
      </c>
      <c r="F138" s="8">
        <v>17.64930555555555</v>
      </c>
      <c r="G138">
        <f t="shared" si="2"/>
        <v>7.2000000000000011</v>
      </c>
    </row>
    <row r="139" spans="3:7" x14ac:dyDescent="0.2">
      <c r="C139" s="7">
        <v>44708</v>
      </c>
      <c r="D139">
        <v>20.399999999999999</v>
      </c>
      <c r="E139">
        <v>14.8</v>
      </c>
      <c r="F139" s="8">
        <v>17.414583333333326</v>
      </c>
      <c r="G139">
        <f t="shared" si="2"/>
        <v>5.5999999999999979</v>
      </c>
    </row>
    <row r="140" spans="3:7" x14ac:dyDescent="0.2">
      <c r="C140" s="7">
        <v>44709</v>
      </c>
      <c r="D140">
        <v>19.600000000000001</v>
      </c>
      <c r="E140">
        <v>13.2</v>
      </c>
      <c r="F140" s="8">
        <v>16.169444444444437</v>
      </c>
      <c r="G140">
        <f t="shared" si="2"/>
        <v>6.4000000000000021</v>
      </c>
    </row>
    <row r="141" spans="3:7" x14ac:dyDescent="0.2">
      <c r="C141" s="7">
        <v>44710</v>
      </c>
      <c r="D141">
        <v>18</v>
      </c>
      <c r="E141">
        <v>13</v>
      </c>
      <c r="F141" s="8">
        <v>15.25138888888889</v>
      </c>
      <c r="G141">
        <f t="shared" si="2"/>
        <v>5</v>
      </c>
    </row>
    <row r="142" spans="3:7" x14ac:dyDescent="0.2">
      <c r="C142" s="7">
        <v>44711</v>
      </c>
      <c r="D142">
        <v>19.899999999999999</v>
      </c>
      <c r="E142">
        <v>12.8</v>
      </c>
      <c r="F142" s="8">
        <v>15.938194444444431</v>
      </c>
      <c r="G142">
        <f t="shared" si="2"/>
        <v>7.0999999999999979</v>
      </c>
    </row>
    <row r="143" spans="3:7" x14ac:dyDescent="0.2">
      <c r="C143" s="7">
        <v>44712</v>
      </c>
      <c r="D143">
        <v>20.3</v>
      </c>
      <c r="E143">
        <v>14</v>
      </c>
      <c r="F143" s="8">
        <v>17.247916666666665</v>
      </c>
      <c r="G143">
        <f t="shared" si="2"/>
        <v>6.3000000000000007</v>
      </c>
    </row>
    <row r="144" spans="3:7" x14ac:dyDescent="0.2">
      <c r="C144" s="7">
        <v>44713</v>
      </c>
      <c r="D144">
        <v>20.8</v>
      </c>
      <c r="E144">
        <v>14.1</v>
      </c>
      <c r="F144" s="8">
        <v>17.290972222222219</v>
      </c>
      <c r="G144">
        <f t="shared" si="2"/>
        <v>6.7000000000000011</v>
      </c>
    </row>
    <row r="145" spans="3:7" x14ac:dyDescent="0.2">
      <c r="C145" s="7">
        <v>44714</v>
      </c>
      <c r="D145">
        <v>23.3</v>
      </c>
      <c r="E145">
        <v>14.4</v>
      </c>
      <c r="F145" s="8">
        <v>18.629166666666677</v>
      </c>
      <c r="G145">
        <f t="shared" si="2"/>
        <v>8.9</v>
      </c>
    </row>
    <row r="146" spans="3:7" x14ac:dyDescent="0.2">
      <c r="C146" s="7">
        <v>44715</v>
      </c>
      <c r="D146">
        <v>24.7</v>
      </c>
      <c r="E146">
        <v>15</v>
      </c>
      <c r="F146" s="8">
        <v>19.395833333333329</v>
      </c>
      <c r="G146">
        <f t="shared" si="2"/>
        <v>9.6999999999999993</v>
      </c>
    </row>
    <row r="147" spans="3:7" x14ac:dyDescent="0.2">
      <c r="C147" s="7">
        <v>44716</v>
      </c>
      <c r="D147">
        <v>20.399999999999999</v>
      </c>
      <c r="E147">
        <v>14.8</v>
      </c>
      <c r="F147" s="8">
        <v>17.332638888888891</v>
      </c>
      <c r="G147">
        <f t="shared" si="2"/>
        <v>5.5999999999999979</v>
      </c>
    </row>
    <row r="148" spans="3:7" x14ac:dyDescent="0.2">
      <c r="C148" s="7">
        <v>44717</v>
      </c>
      <c r="D148">
        <v>18.399999999999999</v>
      </c>
      <c r="E148">
        <v>14.8</v>
      </c>
      <c r="F148" s="8">
        <v>16.644444444444442</v>
      </c>
      <c r="G148">
        <f t="shared" si="2"/>
        <v>3.5999999999999979</v>
      </c>
    </row>
    <row r="149" spans="3:7" x14ac:dyDescent="0.2">
      <c r="C149" s="7">
        <v>44718</v>
      </c>
      <c r="D149">
        <v>18.399999999999999</v>
      </c>
      <c r="E149">
        <v>15.4</v>
      </c>
      <c r="F149" s="8">
        <v>16.664583333333333</v>
      </c>
      <c r="G149">
        <f t="shared" si="2"/>
        <v>2.9999999999999982</v>
      </c>
    </row>
    <row r="150" spans="3:7" x14ac:dyDescent="0.2">
      <c r="C150" s="7">
        <v>44719</v>
      </c>
      <c r="D150">
        <v>22.5</v>
      </c>
      <c r="E150">
        <v>14.3</v>
      </c>
      <c r="F150" s="8">
        <v>18.020833333333332</v>
      </c>
      <c r="G150">
        <f t="shared" si="2"/>
        <v>8.1999999999999993</v>
      </c>
    </row>
    <row r="151" spans="3:7" x14ac:dyDescent="0.2">
      <c r="C151" s="7">
        <v>44720</v>
      </c>
      <c r="D151">
        <v>19.8</v>
      </c>
      <c r="E151">
        <v>16.8</v>
      </c>
      <c r="F151" s="8">
        <v>18.052777777777774</v>
      </c>
      <c r="G151">
        <f t="shared" si="2"/>
        <v>3</v>
      </c>
    </row>
    <row r="152" spans="3:7" x14ac:dyDescent="0.2">
      <c r="C152" s="7">
        <v>44721</v>
      </c>
      <c r="D152">
        <v>25.1</v>
      </c>
      <c r="E152">
        <v>15.4</v>
      </c>
      <c r="F152" s="8">
        <v>19.797916666666659</v>
      </c>
      <c r="G152">
        <f t="shared" si="2"/>
        <v>9.7000000000000011</v>
      </c>
    </row>
    <row r="153" spans="3:7" x14ac:dyDescent="0.2">
      <c r="C153" s="7">
        <v>44722</v>
      </c>
      <c r="D153">
        <v>23.7</v>
      </c>
      <c r="E153">
        <v>17.5</v>
      </c>
      <c r="F153" s="8">
        <v>20.292361111111109</v>
      </c>
      <c r="G153">
        <f t="shared" si="2"/>
        <v>6.1999999999999993</v>
      </c>
    </row>
    <row r="154" spans="3:7" x14ac:dyDescent="0.2">
      <c r="C154" s="7">
        <v>44723</v>
      </c>
      <c r="D154">
        <v>25.9</v>
      </c>
      <c r="E154">
        <v>17.2</v>
      </c>
      <c r="F154" s="8">
        <v>21.270833333333336</v>
      </c>
      <c r="G154">
        <f t="shared" si="2"/>
        <v>8.6999999999999993</v>
      </c>
    </row>
    <row r="155" spans="3:7" x14ac:dyDescent="0.2">
      <c r="C155" s="7">
        <v>44724</v>
      </c>
      <c r="D155">
        <v>25.3</v>
      </c>
      <c r="E155">
        <v>17.8</v>
      </c>
      <c r="F155" s="8">
        <v>21.422222222222228</v>
      </c>
      <c r="G155">
        <f t="shared" si="2"/>
        <v>7.5</v>
      </c>
    </row>
    <row r="156" spans="3:7" x14ac:dyDescent="0.2">
      <c r="C156" s="7">
        <v>44725</v>
      </c>
      <c r="D156">
        <v>23.3</v>
      </c>
      <c r="E156">
        <v>18</v>
      </c>
      <c r="F156" s="8">
        <v>20.655555555555555</v>
      </c>
      <c r="G156">
        <f t="shared" si="2"/>
        <v>5.3000000000000007</v>
      </c>
    </row>
    <row r="157" spans="3:7" x14ac:dyDescent="0.2">
      <c r="C157" s="7">
        <v>44726</v>
      </c>
      <c r="D157">
        <v>25</v>
      </c>
      <c r="E157">
        <v>16.8</v>
      </c>
      <c r="F157" s="8">
        <v>20.669444444444448</v>
      </c>
      <c r="G157">
        <f t="shared" si="2"/>
        <v>8.1999999999999993</v>
      </c>
    </row>
    <row r="158" spans="3:7" x14ac:dyDescent="0.2">
      <c r="C158" s="7">
        <v>44727</v>
      </c>
      <c r="D158">
        <v>27</v>
      </c>
      <c r="E158">
        <v>17.100000000000001</v>
      </c>
      <c r="F158" s="8">
        <v>21.755555555555571</v>
      </c>
      <c r="G158">
        <f t="shared" si="2"/>
        <v>9.8999999999999986</v>
      </c>
    </row>
    <row r="159" spans="3:7" x14ac:dyDescent="0.2">
      <c r="C159" s="7">
        <v>44728</v>
      </c>
      <c r="D159">
        <v>28.3</v>
      </c>
      <c r="E159">
        <v>18.3</v>
      </c>
      <c r="F159" s="8">
        <v>22.964583333333337</v>
      </c>
      <c r="G159">
        <f t="shared" si="2"/>
        <v>10</v>
      </c>
    </row>
    <row r="160" spans="3:7" x14ac:dyDescent="0.2">
      <c r="C160" s="7">
        <v>44729</v>
      </c>
      <c r="D160">
        <v>27.6</v>
      </c>
      <c r="E160">
        <v>20.100000000000001</v>
      </c>
      <c r="F160" s="8">
        <v>23.925694444444446</v>
      </c>
      <c r="G160">
        <f t="shared" si="2"/>
        <v>7.5</v>
      </c>
    </row>
    <row r="161" spans="3:7" x14ac:dyDescent="0.2">
      <c r="C161" s="7">
        <v>44730</v>
      </c>
      <c r="D161">
        <v>27.7</v>
      </c>
      <c r="E161">
        <v>20.7</v>
      </c>
      <c r="F161" s="8">
        <v>23.795833333333334</v>
      </c>
      <c r="G161">
        <f t="shared" si="2"/>
        <v>7</v>
      </c>
    </row>
    <row r="162" spans="3:7" x14ac:dyDescent="0.2">
      <c r="C162" s="7">
        <v>44731</v>
      </c>
      <c r="D162">
        <v>21</v>
      </c>
      <c r="E162">
        <v>16.399999999999999</v>
      </c>
      <c r="F162" s="8">
        <v>18.568750000000016</v>
      </c>
      <c r="G162">
        <f t="shared" si="2"/>
        <v>4.6000000000000014</v>
      </c>
    </row>
    <row r="163" spans="3:7" x14ac:dyDescent="0.2">
      <c r="C163" s="7">
        <v>44732</v>
      </c>
      <c r="D163">
        <v>22.3</v>
      </c>
      <c r="E163">
        <v>15.9</v>
      </c>
      <c r="F163" s="8">
        <v>18.883333333333329</v>
      </c>
      <c r="G163">
        <f t="shared" si="2"/>
        <v>6.4</v>
      </c>
    </row>
    <row r="164" spans="3:7" x14ac:dyDescent="0.2">
      <c r="C164" s="7">
        <v>44733</v>
      </c>
      <c r="D164">
        <v>24.3</v>
      </c>
      <c r="E164">
        <v>16</v>
      </c>
      <c r="F164" s="8">
        <v>20.196527777777774</v>
      </c>
      <c r="G164">
        <f t="shared" si="2"/>
        <v>8.3000000000000007</v>
      </c>
    </row>
    <row r="165" spans="3:7" x14ac:dyDescent="0.2">
      <c r="C165" s="7">
        <v>44734</v>
      </c>
      <c r="D165">
        <v>27</v>
      </c>
      <c r="E165">
        <v>17.3</v>
      </c>
      <c r="F165" s="8">
        <v>21.872916666666676</v>
      </c>
      <c r="G165">
        <f t="shared" si="2"/>
        <v>9.6999999999999993</v>
      </c>
    </row>
    <row r="166" spans="3:7" x14ac:dyDescent="0.2">
      <c r="C166" s="7">
        <v>44735</v>
      </c>
      <c r="D166">
        <v>28.1</v>
      </c>
      <c r="E166">
        <v>18.899999999999999</v>
      </c>
      <c r="F166" s="8">
        <v>23.430555555555561</v>
      </c>
      <c r="G166">
        <f t="shared" si="2"/>
        <v>9.2000000000000028</v>
      </c>
    </row>
    <row r="167" spans="3:7" x14ac:dyDescent="0.2">
      <c r="C167" s="7">
        <v>44736</v>
      </c>
      <c r="D167">
        <v>26.1</v>
      </c>
      <c r="E167">
        <v>21.8</v>
      </c>
      <c r="F167" s="8">
        <v>23.881250000000012</v>
      </c>
      <c r="G167">
        <f t="shared" si="2"/>
        <v>4.3000000000000007</v>
      </c>
    </row>
    <row r="168" spans="3:7" x14ac:dyDescent="0.2">
      <c r="C168" s="7">
        <v>44737</v>
      </c>
      <c r="D168">
        <v>24.3</v>
      </c>
      <c r="E168">
        <v>20.6</v>
      </c>
      <c r="F168" s="8">
        <v>22.049305555555556</v>
      </c>
      <c r="G168">
        <f t="shared" si="2"/>
        <v>3.6999999999999993</v>
      </c>
    </row>
    <row r="169" spans="3:7" x14ac:dyDescent="0.2">
      <c r="C169" s="7">
        <v>44738</v>
      </c>
      <c r="D169">
        <v>24.1</v>
      </c>
      <c r="E169">
        <v>18.899999999999999</v>
      </c>
      <c r="F169" s="8">
        <v>21.722222222222214</v>
      </c>
      <c r="G169">
        <f t="shared" si="2"/>
        <v>5.2000000000000028</v>
      </c>
    </row>
    <row r="170" spans="3:7" x14ac:dyDescent="0.2">
      <c r="C170" s="7">
        <v>44739</v>
      </c>
      <c r="D170">
        <v>21.8</v>
      </c>
      <c r="E170">
        <v>18.600000000000001</v>
      </c>
      <c r="F170" s="8">
        <v>20.281249999999996</v>
      </c>
      <c r="G170">
        <f t="shared" si="2"/>
        <v>3.1999999999999993</v>
      </c>
    </row>
    <row r="171" spans="3:7" x14ac:dyDescent="0.2">
      <c r="C171" s="7">
        <v>44740</v>
      </c>
      <c r="D171">
        <v>26</v>
      </c>
      <c r="E171">
        <v>16.600000000000001</v>
      </c>
      <c r="F171" s="8">
        <v>21.104166666666671</v>
      </c>
      <c r="G171">
        <f t="shared" si="2"/>
        <v>9.3999999999999986</v>
      </c>
    </row>
    <row r="172" spans="3:7" x14ac:dyDescent="0.2">
      <c r="C172" s="7">
        <v>44741</v>
      </c>
      <c r="D172">
        <v>26.8</v>
      </c>
      <c r="E172">
        <v>18.8</v>
      </c>
      <c r="F172" s="8">
        <v>22.908333333333335</v>
      </c>
      <c r="G172">
        <f t="shared" si="2"/>
        <v>8</v>
      </c>
    </row>
    <row r="173" spans="3:7" x14ac:dyDescent="0.2">
      <c r="C173" s="7">
        <v>44742</v>
      </c>
      <c r="D173">
        <v>24.1</v>
      </c>
      <c r="E173">
        <v>19.399999999999999</v>
      </c>
      <c r="F173" s="8">
        <v>21.777777777777782</v>
      </c>
      <c r="G173">
        <f t="shared" si="2"/>
        <v>4.7000000000000028</v>
      </c>
    </row>
    <row r="174" spans="3:7" x14ac:dyDescent="0.2">
      <c r="C174" s="7">
        <v>44743</v>
      </c>
      <c r="D174">
        <v>23.2</v>
      </c>
      <c r="E174">
        <v>17.2</v>
      </c>
      <c r="F174" s="8">
        <v>19.943055555555546</v>
      </c>
      <c r="G174">
        <f t="shared" si="2"/>
        <v>6</v>
      </c>
    </row>
    <row r="175" spans="3:7" x14ac:dyDescent="0.2">
      <c r="C175" s="7">
        <v>44744</v>
      </c>
      <c r="D175">
        <v>25</v>
      </c>
      <c r="E175">
        <v>16.8</v>
      </c>
      <c r="F175" s="8">
        <v>20.959027777777777</v>
      </c>
      <c r="G175">
        <f t="shared" si="2"/>
        <v>8.1999999999999993</v>
      </c>
    </row>
    <row r="176" spans="3:7" x14ac:dyDescent="0.2">
      <c r="C176" s="7">
        <v>44745</v>
      </c>
      <c r="D176">
        <v>24.1</v>
      </c>
      <c r="E176">
        <v>19.600000000000001</v>
      </c>
      <c r="F176" s="8">
        <v>21.762500000000006</v>
      </c>
      <c r="G176">
        <f t="shared" si="2"/>
        <v>4.5</v>
      </c>
    </row>
    <row r="177" spans="3:7" x14ac:dyDescent="0.2">
      <c r="C177" s="7">
        <v>44746</v>
      </c>
      <c r="D177">
        <v>26.1</v>
      </c>
      <c r="E177">
        <v>18.5</v>
      </c>
      <c r="F177" s="8">
        <v>22.02847222222222</v>
      </c>
      <c r="G177">
        <f t="shared" si="2"/>
        <v>7.6000000000000014</v>
      </c>
    </row>
    <row r="178" spans="3:7" x14ac:dyDescent="0.2">
      <c r="C178" s="7">
        <v>44747</v>
      </c>
      <c r="D178">
        <v>24.7</v>
      </c>
      <c r="E178">
        <v>19.3</v>
      </c>
      <c r="F178" s="8">
        <v>21.854861111111109</v>
      </c>
      <c r="G178">
        <f t="shared" si="2"/>
        <v>5.3999999999999986</v>
      </c>
    </row>
    <row r="179" spans="3:7" x14ac:dyDescent="0.2">
      <c r="C179" s="7">
        <v>44748</v>
      </c>
      <c r="D179">
        <v>23.3</v>
      </c>
      <c r="E179">
        <v>17.2</v>
      </c>
      <c r="F179" s="8">
        <v>20.296527777777769</v>
      </c>
      <c r="G179">
        <f t="shared" si="2"/>
        <v>6.1000000000000014</v>
      </c>
    </row>
    <row r="180" spans="3:7" x14ac:dyDescent="0.2">
      <c r="C180" s="7">
        <v>44749</v>
      </c>
      <c r="D180">
        <v>20.399999999999999</v>
      </c>
      <c r="E180">
        <v>17.3</v>
      </c>
      <c r="F180" s="8">
        <v>18.645138888888891</v>
      </c>
      <c r="G180">
        <f t="shared" si="2"/>
        <v>3.0999999999999979</v>
      </c>
    </row>
    <row r="181" spans="3:7" x14ac:dyDescent="0.2">
      <c r="C181" s="7">
        <v>44750</v>
      </c>
      <c r="D181">
        <v>25.6</v>
      </c>
      <c r="E181">
        <v>15.3</v>
      </c>
      <c r="F181" s="8">
        <v>20.25138888888889</v>
      </c>
      <c r="G181">
        <f t="shared" si="2"/>
        <v>10.3</v>
      </c>
    </row>
    <row r="182" spans="3:7" x14ac:dyDescent="0.2">
      <c r="C182" s="7">
        <v>44751</v>
      </c>
      <c r="D182">
        <v>24.3</v>
      </c>
      <c r="E182">
        <v>19.5</v>
      </c>
      <c r="F182" s="8">
        <v>21.553472222222226</v>
      </c>
      <c r="G182">
        <f t="shared" si="2"/>
        <v>4.8000000000000007</v>
      </c>
    </row>
    <row r="183" spans="3:7" x14ac:dyDescent="0.2">
      <c r="C183" s="7">
        <v>44752</v>
      </c>
      <c r="D183">
        <v>23.9</v>
      </c>
      <c r="E183">
        <v>16.8</v>
      </c>
      <c r="F183" s="8">
        <v>20.055555555555557</v>
      </c>
      <c r="G183">
        <f t="shared" si="2"/>
        <v>7.0999999999999979</v>
      </c>
    </row>
    <row r="184" spans="3:7" x14ac:dyDescent="0.2">
      <c r="C184" s="7">
        <v>44753</v>
      </c>
      <c r="D184">
        <v>26.8</v>
      </c>
      <c r="E184">
        <v>18.7</v>
      </c>
      <c r="F184" s="8">
        <v>22.147916666666667</v>
      </c>
      <c r="G184">
        <f t="shared" si="2"/>
        <v>8.1000000000000014</v>
      </c>
    </row>
    <row r="185" spans="3:7" x14ac:dyDescent="0.2">
      <c r="C185" s="7">
        <v>44754</v>
      </c>
      <c r="D185">
        <v>26.9</v>
      </c>
      <c r="E185">
        <v>19.7</v>
      </c>
      <c r="F185" s="8">
        <v>23.559027777777786</v>
      </c>
      <c r="G185">
        <f t="shared" si="2"/>
        <v>7.1999999999999993</v>
      </c>
    </row>
    <row r="186" spans="3:7" x14ac:dyDescent="0.2">
      <c r="C186" s="7">
        <v>44755</v>
      </c>
      <c r="D186">
        <v>27.4</v>
      </c>
      <c r="E186">
        <v>22</v>
      </c>
      <c r="F186" s="8">
        <v>24.41458333333334</v>
      </c>
      <c r="G186">
        <f t="shared" si="2"/>
        <v>5.3999999999999986</v>
      </c>
    </row>
    <row r="187" spans="3:7" x14ac:dyDescent="0.2">
      <c r="C187" s="7">
        <v>44756</v>
      </c>
      <c r="D187">
        <v>25.3</v>
      </c>
      <c r="E187">
        <v>18.600000000000001</v>
      </c>
      <c r="F187" s="8">
        <v>21.913194444444457</v>
      </c>
      <c r="G187">
        <f t="shared" si="2"/>
        <v>6.6999999999999993</v>
      </c>
    </row>
    <row r="188" spans="3:7" x14ac:dyDescent="0.2">
      <c r="C188" s="7">
        <v>44757</v>
      </c>
      <c r="D188">
        <v>25.8</v>
      </c>
      <c r="E188">
        <v>17.3</v>
      </c>
      <c r="F188" s="8">
        <v>21.358333333333334</v>
      </c>
      <c r="G188">
        <f t="shared" si="2"/>
        <v>8.5</v>
      </c>
    </row>
    <row r="189" spans="3:7" x14ac:dyDescent="0.2">
      <c r="C189" s="7">
        <v>44758</v>
      </c>
      <c r="D189">
        <v>25.4</v>
      </c>
      <c r="E189">
        <v>18.7</v>
      </c>
      <c r="F189" s="8">
        <v>21.893750000000004</v>
      </c>
      <c r="G189">
        <f t="shared" si="2"/>
        <v>6.6999999999999993</v>
      </c>
    </row>
    <row r="190" spans="3:7" x14ac:dyDescent="0.2">
      <c r="C190" s="7">
        <v>44759</v>
      </c>
      <c r="D190">
        <v>27.6</v>
      </c>
      <c r="E190">
        <v>17.600000000000001</v>
      </c>
      <c r="F190" s="8">
        <v>22.503472222222225</v>
      </c>
      <c r="G190">
        <f t="shared" si="2"/>
        <v>10</v>
      </c>
    </row>
    <row r="191" spans="3:7" x14ac:dyDescent="0.2">
      <c r="C191" s="7">
        <v>44760</v>
      </c>
      <c r="D191">
        <v>30</v>
      </c>
      <c r="E191">
        <v>20</v>
      </c>
      <c r="F191" s="8">
        <v>24.953472222222231</v>
      </c>
      <c r="G191">
        <f t="shared" si="2"/>
        <v>10</v>
      </c>
    </row>
    <row r="192" spans="3:7" x14ac:dyDescent="0.2">
      <c r="C192" s="7">
        <v>44761</v>
      </c>
      <c r="D192">
        <v>30.7</v>
      </c>
      <c r="E192">
        <v>22.3</v>
      </c>
      <c r="F192" s="8">
        <v>26.546527777777772</v>
      </c>
      <c r="G192">
        <f t="shared" si="2"/>
        <v>8.3999999999999986</v>
      </c>
    </row>
    <row r="193" spans="3:7" x14ac:dyDescent="0.2">
      <c r="C193" s="7">
        <v>44762</v>
      </c>
      <c r="D193">
        <v>27.2</v>
      </c>
      <c r="E193">
        <v>22.6</v>
      </c>
      <c r="F193" s="8">
        <v>25.011805555555551</v>
      </c>
      <c r="G193">
        <f t="shared" si="2"/>
        <v>4.5999999999999979</v>
      </c>
    </row>
    <row r="194" spans="3:7" x14ac:dyDescent="0.2">
      <c r="C194" s="7">
        <v>44763</v>
      </c>
      <c r="D194">
        <v>24.4</v>
      </c>
      <c r="E194">
        <v>18.899999999999999</v>
      </c>
      <c r="F194" s="8">
        <v>21.202777777777769</v>
      </c>
      <c r="G194">
        <f t="shared" si="2"/>
        <v>5.5</v>
      </c>
    </row>
    <row r="195" spans="3:7" x14ac:dyDescent="0.2">
      <c r="C195" s="7">
        <v>44764</v>
      </c>
      <c r="D195">
        <v>22.8</v>
      </c>
      <c r="E195">
        <v>18</v>
      </c>
      <c r="F195" s="8">
        <v>20.006250000000005</v>
      </c>
      <c r="G195">
        <f t="shared" si="2"/>
        <v>4.8000000000000007</v>
      </c>
    </row>
    <row r="196" spans="3:7" x14ac:dyDescent="0.2">
      <c r="C196" s="7">
        <v>44765</v>
      </c>
      <c r="D196">
        <v>27.6</v>
      </c>
      <c r="E196">
        <v>17.399999999999999</v>
      </c>
      <c r="F196" s="8">
        <v>22.272222222222226</v>
      </c>
      <c r="G196">
        <f t="shared" si="2"/>
        <v>10.200000000000003</v>
      </c>
    </row>
    <row r="197" spans="3:7" x14ac:dyDescent="0.2">
      <c r="C197" s="7">
        <v>44766</v>
      </c>
      <c r="D197">
        <v>28.1</v>
      </c>
      <c r="E197">
        <v>20.100000000000001</v>
      </c>
      <c r="F197" s="8">
        <v>24.183333333333348</v>
      </c>
      <c r="G197">
        <f t="shared" ref="G197:G260" si="3">D197-E197</f>
        <v>8</v>
      </c>
    </row>
    <row r="198" spans="3:7" x14ac:dyDescent="0.2">
      <c r="C198" s="7">
        <v>44767</v>
      </c>
      <c r="D198">
        <v>25.5</v>
      </c>
      <c r="E198">
        <v>21.3</v>
      </c>
      <c r="F198" s="8">
        <v>23.422222222222224</v>
      </c>
      <c r="G198">
        <f t="shared" si="3"/>
        <v>4.1999999999999993</v>
      </c>
    </row>
    <row r="199" spans="3:7" x14ac:dyDescent="0.2">
      <c r="C199" s="7">
        <v>44768</v>
      </c>
      <c r="D199">
        <v>22.9</v>
      </c>
      <c r="E199">
        <v>18.399999999999999</v>
      </c>
      <c r="F199" s="8">
        <v>20.459722222222226</v>
      </c>
      <c r="G199">
        <f t="shared" si="3"/>
        <v>4.5</v>
      </c>
    </row>
    <row r="200" spans="3:7" x14ac:dyDescent="0.2">
      <c r="C200" s="7">
        <v>44769</v>
      </c>
      <c r="D200">
        <v>23</v>
      </c>
      <c r="E200">
        <v>16.8</v>
      </c>
      <c r="F200" s="8">
        <v>19.72291666666667</v>
      </c>
      <c r="G200">
        <f t="shared" si="3"/>
        <v>6.1999999999999993</v>
      </c>
    </row>
    <row r="201" spans="3:7" x14ac:dyDescent="0.2">
      <c r="C201" s="7">
        <v>44770</v>
      </c>
      <c r="D201">
        <v>22.9</v>
      </c>
      <c r="E201">
        <v>15.9</v>
      </c>
      <c r="F201" s="8">
        <v>19.215277777777779</v>
      </c>
      <c r="G201">
        <f t="shared" si="3"/>
        <v>6.9999999999999982</v>
      </c>
    </row>
    <row r="202" spans="3:7" x14ac:dyDescent="0.2">
      <c r="C202" s="7">
        <v>44771</v>
      </c>
      <c r="D202">
        <v>26.1</v>
      </c>
      <c r="E202">
        <v>16.3</v>
      </c>
      <c r="F202" s="8">
        <v>20.65347222222222</v>
      </c>
      <c r="G202">
        <f t="shared" si="3"/>
        <v>9.8000000000000007</v>
      </c>
    </row>
    <row r="203" spans="3:7" x14ac:dyDescent="0.2">
      <c r="C203" s="7">
        <v>44772</v>
      </c>
      <c r="D203">
        <v>24.8</v>
      </c>
      <c r="E203">
        <v>18</v>
      </c>
      <c r="F203" s="8">
        <v>21.579861111111107</v>
      </c>
      <c r="G203">
        <f t="shared" si="3"/>
        <v>6.8000000000000007</v>
      </c>
    </row>
    <row r="204" spans="3:7" x14ac:dyDescent="0.2">
      <c r="C204" s="7">
        <v>44773</v>
      </c>
      <c r="D204">
        <v>22.4</v>
      </c>
      <c r="E204">
        <v>20.100000000000001</v>
      </c>
      <c r="F204" s="8">
        <v>20.772916666666678</v>
      </c>
      <c r="G204">
        <f t="shared" si="3"/>
        <v>2.2999999999999972</v>
      </c>
    </row>
    <row r="205" spans="3:7" x14ac:dyDescent="0.2">
      <c r="C205" s="7">
        <v>44774</v>
      </c>
      <c r="D205">
        <v>25.8</v>
      </c>
      <c r="E205">
        <v>19.100000000000001</v>
      </c>
      <c r="F205" s="8">
        <v>21.861805555555559</v>
      </c>
      <c r="G205">
        <f t="shared" si="3"/>
        <v>6.6999999999999993</v>
      </c>
    </row>
    <row r="206" spans="3:7" x14ac:dyDescent="0.2">
      <c r="C206" s="7">
        <v>44775</v>
      </c>
      <c r="D206">
        <v>25.9</v>
      </c>
      <c r="E206">
        <v>18</v>
      </c>
      <c r="F206" s="8">
        <v>21.980555555555565</v>
      </c>
      <c r="G206">
        <f t="shared" si="3"/>
        <v>7.8999999999999986</v>
      </c>
    </row>
    <row r="207" spans="3:7" x14ac:dyDescent="0.2">
      <c r="C207" s="7">
        <v>44776</v>
      </c>
      <c r="D207">
        <v>27.9</v>
      </c>
      <c r="E207">
        <v>20.2</v>
      </c>
      <c r="F207" s="8">
        <v>23.972916666666677</v>
      </c>
      <c r="G207">
        <f t="shared" si="3"/>
        <v>7.6999999999999993</v>
      </c>
    </row>
    <row r="208" spans="3:7" x14ac:dyDescent="0.2">
      <c r="C208" s="7">
        <v>44777</v>
      </c>
      <c r="D208">
        <v>26.6</v>
      </c>
      <c r="E208">
        <v>22.1</v>
      </c>
      <c r="F208" s="8">
        <v>24.053472222222226</v>
      </c>
      <c r="G208">
        <f t="shared" si="3"/>
        <v>4.5</v>
      </c>
    </row>
    <row r="209" spans="3:7" x14ac:dyDescent="0.2">
      <c r="C209" s="7">
        <v>44778</v>
      </c>
      <c r="D209">
        <v>22.7</v>
      </c>
      <c r="E209">
        <v>19</v>
      </c>
      <c r="F209" s="8">
        <v>20.843055555555551</v>
      </c>
      <c r="G209">
        <f t="shared" si="3"/>
        <v>3.6999999999999993</v>
      </c>
    </row>
    <row r="210" spans="3:7" x14ac:dyDescent="0.2">
      <c r="C210" s="7">
        <v>44779</v>
      </c>
      <c r="D210">
        <v>24.1</v>
      </c>
      <c r="E210">
        <v>16.5</v>
      </c>
      <c r="F210" s="8">
        <v>20.073611111111106</v>
      </c>
      <c r="G210">
        <f t="shared" si="3"/>
        <v>7.6000000000000014</v>
      </c>
    </row>
    <row r="211" spans="3:7" x14ac:dyDescent="0.2">
      <c r="C211" s="7">
        <v>44780</v>
      </c>
      <c r="D211">
        <v>24.3</v>
      </c>
      <c r="E211">
        <v>17.399999999999999</v>
      </c>
      <c r="F211" s="8">
        <v>20.722916666666674</v>
      </c>
      <c r="G211">
        <f t="shared" si="3"/>
        <v>6.9000000000000021</v>
      </c>
    </row>
    <row r="212" spans="3:7" x14ac:dyDescent="0.2">
      <c r="C212" s="7">
        <v>44781</v>
      </c>
      <c r="D212">
        <v>23.6</v>
      </c>
      <c r="E212">
        <v>18.100000000000001</v>
      </c>
      <c r="F212" s="8">
        <v>20.757638888888891</v>
      </c>
      <c r="G212">
        <f t="shared" si="3"/>
        <v>5.5</v>
      </c>
    </row>
    <row r="213" spans="3:7" x14ac:dyDescent="0.2">
      <c r="C213" s="7">
        <v>44782</v>
      </c>
      <c r="D213">
        <v>25.6</v>
      </c>
      <c r="E213">
        <v>18.100000000000001</v>
      </c>
      <c r="F213" s="8">
        <v>21.497222222222227</v>
      </c>
      <c r="G213">
        <f t="shared" si="3"/>
        <v>7.5</v>
      </c>
    </row>
    <row r="214" spans="3:7" x14ac:dyDescent="0.2">
      <c r="C214" s="7">
        <v>44783</v>
      </c>
      <c r="D214">
        <v>26.5</v>
      </c>
      <c r="E214">
        <v>18.600000000000001</v>
      </c>
      <c r="F214" s="8">
        <v>22.242361111111116</v>
      </c>
      <c r="G214">
        <f t="shared" si="3"/>
        <v>7.8999999999999986</v>
      </c>
    </row>
    <row r="215" spans="3:7" x14ac:dyDescent="0.2">
      <c r="C215" s="7">
        <v>44784</v>
      </c>
      <c r="D215">
        <v>27.4</v>
      </c>
      <c r="E215">
        <v>19.7</v>
      </c>
      <c r="F215" s="8">
        <v>23.170833333333341</v>
      </c>
      <c r="G215">
        <f t="shared" si="3"/>
        <v>7.6999999999999993</v>
      </c>
    </row>
    <row r="216" spans="3:7" x14ac:dyDescent="0.2">
      <c r="C216" s="7">
        <v>44785</v>
      </c>
      <c r="D216">
        <v>28</v>
      </c>
      <c r="E216">
        <v>20.100000000000001</v>
      </c>
      <c r="F216" s="8">
        <v>23.654166666666661</v>
      </c>
      <c r="G216">
        <f t="shared" si="3"/>
        <v>7.8999999999999986</v>
      </c>
    </row>
    <row r="217" spans="3:7" x14ac:dyDescent="0.2">
      <c r="C217" s="7">
        <v>44786</v>
      </c>
      <c r="D217">
        <v>27.8</v>
      </c>
      <c r="E217">
        <v>20.399999999999999</v>
      </c>
      <c r="F217" s="8">
        <v>23.981250000000017</v>
      </c>
      <c r="G217">
        <f t="shared" si="3"/>
        <v>7.4000000000000021</v>
      </c>
    </row>
    <row r="218" spans="3:7" x14ac:dyDescent="0.2">
      <c r="C218" s="7">
        <v>44787</v>
      </c>
      <c r="D218">
        <v>27.8</v>
      </c>
      <c r="E218">
        <v>21.5</v>
      </c>
      <c r="F218" s="8">
        <v>24.719444444444459</v>
      </c>
      <c r="G218">
        <f t="shared" si="3"/>
        <v>6.3000000000000007</v>
      </c>
    </row>
    <row r="219" spans="3:7" x14ac:dyDescent="0.2">
      <c r="C219" s="7">
        <v>44788</v>
      </c>
      <c r="D219">
        <v>26</v>
      </c>
      <c r="E219">
        <v>22.8</v>
      </c>
      <c r="F219" s="8">
        <v>24.161111111111126</v>
      </c>
      <c r="G219">
        <f t="shared" si="3"/>
        <v>3.1999999999999993</v>
      </c>
    </row>
    <row r="220" spans="3:7" x14ac:dyDescent="0.2">
      <c r="C220" s="7">
        <v>44789</v>
      </c>
      <c r="D220">
        <v>26.1</v>
      </c>
      <c r="E220">
        <v>20.8</v>
      </c>
      <c r="F220" s="8">
        <v>23.447222222222219</v>
      </c>
      <c r="G220">
        <f t="shared" si="3"/>
        <v>5.3000000000000007</v>
      </c>
    </row>
    <row r="221" spans="3:7" x14ac:dyDescent="0.2">
      <c r="C221" s="7">
        <v>44790</v>
      </c>
      <c r="D221">
        <v>23.3</v>
      </c>
      <c r="E221">
        <v>20.5</v>
      </c>
      <c r="F221" s="8">
        <v>21.41041666666667</v>
      </c>
      <c r="G221">
        <f t="shared" si="3"/>
        <v>2.8000000000000007</v>
      </c>
    </row>
    <row r="222" spans="3:7" x14ac:dyDescent="0.2">
      <c r="C222" s="7">
        <v>44791</v>
      </c>
      <c r="D222">
        <v>25.1</v>
      </c>
      <c r="E222">
        <v>19.399999999999999</v>
      </c>
      <c r="F222" s="8">
        <v>21.968055555555548</v>
      </c>
      <c r="G222">
        <f t="shared" si="3"/>
        <v>5.7000000000000028</v>
      </c>
    </row>
    <row r="223" spans="3:7" x14ac:dyDescent="0.2">
      <c r="C223" s="7">
        <v>44792</v>
      </c>
      <c r="D223">
        <v>24.8</v>
      </c>
      <c r="E223">
        <v>20</v>
      </c>
      <c r="F223" s="8">
        <v>22.237499999999997</v>
      </c>
      <c r="G223">
        <f t="shared" si="3"/>
        <v>4.8000000000000007</v>
      </c>
    </row>
    <row r="224" spans="3:7" x14ac:dyDescent="0.2">
      <c r="C224" s="7">
        <v>44793</v>
      </c>
      <c r="D224">
        <v>25.6</v>
      </c>
      <c r="E224">
        <v>20.6</v>
      </c>
      <c r="F224" s="8">
        <v>22.897222222222226</v>
      </c>
      <c r="G224">
        <f t="shared" si="3"/>
        <v>5</v>
      </c>
    </row>
    <row r="225" spans="3:7" x14ac:dyDescent="0.2">
      <c r="C225" s="7">
        <v>44794</v>
      </c>
      <c r="D225">
        <v>24.6</v>
      </c>
      <c r="E225">
        <v>19.100000000000001</v>
      </c>
      <c r="F225" s="8">
        <v>21.726388888888895</v>
      </c>
      <c r="G225">
        <f t="shared" si="3"/>
        <v>5.5</v>
      </c>
    </row>
    <row r="226" spans="3:7" x14ac:dyDescent="0.2">
      <c r="C226" s="7">
        <v>44795</v>
      </c>
      <c r="D226">
        <v>26.9</v>
      </c>
      <c r="E226">
        <v>19.8</v>
      </c>
      <c r="F226" s="8">
        <v>22.916319444444454</v>
      </c>
      <c r="G226">
        <f t="shared" si="3"/>
        <v>7.0999999999999979</v>
      </c>
    </row>
    <row r="227" spans="3:7" x14ac:dyDescent="0.2">
      <c r="C227" s="7">
        <v>44796</v>
      </c>
      <c r="D227">
        <v>27.6</v>
      </c>
      <c r="E227">
        <v>20.399999999999999</v>
      </c>
      <c r="F227" s="8">
        <v>23.813888888888883</v>
      </c>
      <c r="G227">
        <f t="shared" si="3"/>
        <v>7.2000000000000028</v>
      </c>
    </row>
    <row r="228" spans="3:7" x14ac:dyDescent="0.2">
      <c r="C228" s="7">
        <v>44797</v>
      </c>
      <c r="D228">
        <v>28</v>
      </c>
      <c r="E228">
        <v>21.3</v>
      </c>
      <c r="F228" s="8">
        <v>24.63750000000001</v>
      </c>
      <c r="G228">
        <f t="shared" si="3"/>
        <v>6.6999999999999993</v>
      </c>
    </row>
    <row r="229" spans="3:7" x14ac:dyDescent="0.2">
      <c r="C229" s="7">
        <v>44798</v>
      </c>
      <c r="D229">
        <v>28.3</v>
      </c>
      <c r="E229">
        <v>21.9</v>
      </c>
      <c r="F229" s="8">
        <v>24.59652777777778</v>
      </c>
      <c r="G229">
        <f t="shared" si="3"/>
        <v>6.4000000000000021</v>
      </c>
    </row>
    <row r="230" spans="3:7" x14ac:dyDescent="0.2">
      <c r="C230" s="7">
        <v>44799</v>
      </c>
      <c r="D230">
        <v>22.8</v>
      </c>
      <c r="E230">
        <v>19.8</v>
      </c>
      <c r="F230" s="8">
        <v>21.213888888888881</v>
      </c>
      <c r="G230">
        <f t="shared" si="3"/>
        <v>3</v>
      </c>
    </row>
    <row r="231" spans="3:7" x14ac:dyDescent="0.2">
      <c r="C231" s="7">
        <v>44800</v>
      </c>
      <c r="D231">
        <v>20.6</v>
      </c>
      <c r="E231">
        <v>17.399999999999999</v>
      </c>
      <c r="F231" s="8">
        <v>18.952777777777779</v>
      </c>
      <c r="G231">
        <f t="shared" si="3"/>
        <v>3.2000000000000028</v>
      </c>
    </row>
    <row r="232" spans="3:7" x14ac:dyDescent="0.2">
      <c r="C232" s="7">
        <v>44801</v>
      </c>
      <c r="D232">
        <v>21.6</v>
      </c>
      <c r="E232">
        <v>16</v>
      </c>
      <c r="F232" s="8">
        <v>18.642361111111111</v>
      </c>
      <c r="G232">
        <f t="shared" si="3"/>
        <v>5.6000000000000014</v>
      </c>
    </row>
    <row r="233" spans="3:7" x14ac:dyDescent="0.2">
      <c r="C233" s="7">
        <v>44802</v>
      </c>
      <c r="D233">
        <v>21.6</v>
      </c>
      <c r="E233">
        <v>16.399999999999999</v>
      </c>
      <c r="F233" s="8">
        <v>18.751388888888886</v>
      </c>
      <c r="G233">
        <f t="shared" si="3"/>
        <v>5.2000000000000028</v>
      </c>
    </row>
    <row r="234" spans="3:7" x14ac:dyDescent="0.2">
      <c r="C234" s="7">
        <v>44803</v>
      </c>
      <c r="D234">
        <v>22.6</v>
      </c>
      <c r="E234">
        <v>16.5</v>
      </c>
      <c r="F234" s="8">
        <v>19.268749999999997</v>
      </c>
      <c r="G234">
        <f t="shared" si="3"/>
        <v>6.1000000000000014</v>
      </c>
    </row>
    <row r="235" spans="3:7" x14ac:dyDescent="0.2">
      <c r="C235" s="7">
        <v>44804</v>
      </c>
      <c r="D235">
        <v>21.8</v>
      </c>
      <c r="E235">
        <v>15.7</v>
      </c>
      <c r="F235" s="8">
        <v>18.640277777777776</v>
      </c>
      <c r="G235">
        <f t="shared" si="3"/>
        <v>6.1000000000000014</v>
      </c>
    </row>
    <row r="236" spans="3:7" x14ac:dyDescent="0.2">
      <c r="C236" s="7">
        <v>44805</v>
      </c>
      <c r="D236">
        <v>22.6</v>
      </c>
      <c r="E236">
        <v>15</v>
      </c>
      <c r="F236" s="8">
        <v>18.556944444444451</v>
      </c>
      <c r="G236">
        <f t="shared" si="3"/>
        <v>7.6000000000000014</v>
      </c>
    </row>
    <row r="237" spans="3:7" x14ac:dyDescent="0.2">
      <c r="C237" s="7">
        <v>44806</v>
      </c>
      <c r="D237">
        <v>22.1</v>
      </c>
      <c r="E237">
        <v>15.4</v>
      </c>
      <c r="F237" s="8">
        <v>18.591666666666661</v>
      </c>
      <c r="G237">
        <f t="shared" si="3"/>
        <v>6.7000000000000011</v>
      </c>
    </row>
    <row r="238" spans="3:7" x14ac:dyDescent="0.2">
      <c r="C238" s="7">
        <v>44807</v>
      </c>
      <c r="D238">
        <v>23.2</v>
      </c>
      <c r="E238">
        <v>15.4</v>
      </c>
      <c r="F238" s="8">
        <v>19.187499999999993</v>
      </c>
      <c r="G238">
        <f t="shared" si="3"/>
        <v>7.7999999999999989</v>
      </c>
    </row>
    <row r="239" spans="3:7" x14ac:dyDescent="0.2">
      <c r="C239" s="7">
        <v>44808</v>
      </c>
      <c r="D239">
        <v>23.8</v>
      </c>
      <c r="E239">
        <v>17.8</v>
      </c>
      <c r="F239" s="8">
        <v>20.836111111111116</v>
      </c>
      <c r="G239">
        <f t="shared" si="3"/>
        <v>6</v>
      </c>
    </row>
    <row r="240" spans="3:7" x14ac:dyDescent="0.2">
      <c r="C240" s="7">
        <v>44809</v>
      </c>
      <c r="D240">
        <v>24.4</v>
      </c>
      <c r="E240">
        <v>18.100000000000001</v>
      </c>
      <c r="F240" s="8">
        <v>21.274305555555564</v>
      </c>
      <c r="G240">
        <f t="shared" si="3"/>
        <v>6.2999999999999972</v>
      </c>
    </row>
    <row r="241" spans="3:7" x14ac:dyDescent="0.2">
      <c r="C241" s="7">
        <v>44810</v>
      </c>
      <c r="D241">
        <v>25.3</v>
      </c>
      <c r="E241">
        <v>18.899999999999999</v>
      </c>
      <c r="F241" s="8">
        <v>21.872222222222234</v>
      </c>
      <c r="G241">
        <f t="shared" si="3"/>
        <v>6.4000000000000021</v>
      </c>
    </row>
    <row r="242" spans="3:7" x14ac:dyDescent="0.2">
      <c r="C242" s="7">
        <v>44811</v>
      </c>
      <c r="D242">
        <v>23.9</v>
      </c>
      <c r="E242">
        <v>18.600000000000001</v>
      </c>
      <c r="F242" s="8">
        <v>21.533333333333339</v>
      </c>
      <c r="G242">
        <f t="shared" si="3"/>
        <v>5.2999999999999972</v>
      </c>
    </row>
    <row r="243" spans="3:7" x14ac:dyDescent="0.2">
      <c r="C243" s="7">
        <v>44812</v>
      </c>
      <c r="D243">
        <v>22.3</v>
      </c>
      <c r="E243">
        <v>19</v>
      </c>
      <c r="F243" s="8">
        <v>20.518750000000004</v>
      </c>
      <c r="G243">
        <f t="shared" si="3"/>
        <v>3.3000000000000007</v>
      </c>
    </row>
    <row r="244" spans="3:7" x14ac:dyDescent="0.2">
      <c r="C244" s="7">
        <v>44813</v>
      </c>
      <c r="D244">
        <v>18.899999999999999</v>
      </c>
      <c r="E244">
        <v>16.100000000000001</v>
      </c>
      <c r="F244" s="8">
        <v>17.332638888888894</v>
      </c>
      <c r="G244">
        <f t="shared" si="3"/>
        <v>2.7999999999999972</v>
      </c>
    </row>
    <row r="245" spans="3:7" x14ac:dyDescent="0.2">
      <c r="C245" s="7">
        <v>44814</v>
      </c>
      <c r="D245">
        <v>21.6</v>
      </c>
      <c r="E245">
        <v>15.9</v>
      </c>
      <c r="F245" s="8">
        <v>18.354166666666671</v>
      </c>
      <c r="G245">
        <f t="shared" si="3"/>
        <v>5.7000000000000011</v>
      </c>
    </row>
    <row r="246" spans="3:7" x14ac:dyDescent="0.2">
      <c r="C246" s="7">
        <v>44815</v>
      </c>
      <c r="D246">
        <v>22.7</v>
      </c>
      <c r="E246">
        <v>16.3</v>
      </c>
      <c r="F246" s="8">
        <v>19.511111111111106</v>
      </c>
      <c r="G246">
        <f t="shared" si="3"/>
        <v>6.3999999999999986</v>
      </c>
    </row>
    <row r="247" spans="3:7" x14ac:dyDescent="0.2">
      <c r="C247" s="7">
        <v>44816</v>
      </c>
      <c r="D247">
        <v>23.5</v>
      </c>
      <c r="E247">
        <v>17.600000000000001</v>
      </c>
      <c r="F247" s="8">
        <v>20.584027777777784</v>
      </c>
      <c r="G247">
        <f t="shared" si="3"/>
        <v>5.8999999999999986</v>
      </c>
    </row>
    <row r="248" spans="3:7" x14ac:dyDescent="0.2">
      <c r="C248" s="7">
        <v>44817</v>
      </c>
      <c r="D248">
        <v>23.4</v>
      </c>
      <c r="E248">
        <v>19.8</v>
      </c>
      <c r="F248" s="8">
        <v>21.255555555555564</v>
      </c>
      <c r="G248">
        <f t="shared" si="3"/>
        <v>3.5999999999999979</v>
      </c>
    </row>
    <row r="249" spans="3:7" x14ac:dyDescent="0.2">
      <c r="C249" s="7">
        <v>44818</v>
      </c>
      <c r="D249">
        <v>21.6</v>
      </c>
      <c r="E249">
        <v>18</v>
      </c>
      <c r="F249" s="8">
        <v>19.607638888888893</v>
      </c>
      <c r="G249">
        <f t="shared" si="3"/>
        <v>3.6000000000000014</v>
      </c>
    </row>
    <row r="250" spans="3:7" x14ac:dyDescent="0.2">
      <c r="C250" s="7">
        <v>44819</v>
      </c>
      <c r="D250">
        <v>19.34</v>
      </c>
      <c r="E250">
        <v>15.4</v>
      </c>
      <c r="F250" s="8">
        <v>17.481944444444455</v>
      </c>
      <c r="G250">
        <f t="shared" si="3"/>
        <v>3.9399999999999995</v>
      </c>
    </row>
    <row r="251" spans="3:7" x14ac:dyDescent="0.2">
      <c r="C251" s="7">
        <v>44820</v>
      </c>
      <c r="D251">
        <v>15.8</v>
      </c>
      <c r="E251">
        <v>13.1</v>
      </c>
      <c r="F251" s="8">
        <v>14.42638888888888</v>
      </c>
      <c r="G251">
        <f t="shared" si="3"/>
        <v>2.7000000000000011</v>
      </c>
    </row>
    <row r="252" spans="3:7" x14ac:dyDescent="0.2">
      <c r="C252" s="7">
        <v>44821</v>
      </c>
      <c r="D252">
        <v>15.7</v>
      </c>
      <c r="E252">
        <v>11.4</v>
      </c>
      <c r="F252" s="8">
        <v>13.263888888888879</v>
      </c>
      <c r="G252">
        <f t="shared" si="3"/>
        <v>4.2999999999999989</v>
      </c>
    </row>
    <row r="253" spans="3:7" x14ac:dyDescent="0.2">
      <c r="C253" s="7">
        <v>44822</v>
      </c>
      <c r="D253">
        <v>13.3</v>
      </c>
      <c r="E253">
        <v>11.3</v>
      </c>
      <c r="F253" s="8">
        <v>12.471527777777773</v>
      </c>
      <c r="G253">
        <f t="shared" si="3"/>
        <v>2</v>
      </c>
    </row>
    <row r="254" spans="3:7" x14ac:dyDescent="0.2">
      <c r="C254" s="7">
        <v>44823</v>
      </c>
      <c r="D254">
        <v>16.3</v>
      </c>
      <c r="E254">
        <v>10.7</v>
      </c>
      <c r="F254" s="8">
        <v>13.128472222222216</v>
      </c>
      <c r="G254">
        <f t="shared" si="3"/>
        <v>5.6000000000000014</v>
      </c>
    </row>
    <row r="255" spans="3:7" x14ac:dyDescent="0.2">
      <c r="C255" s="7">
        <v>44824</v>
      </c>
      <c r="D255">
        <v>17.7</v>
      </c>
      <c r="E255">
        <v>13</v>
      </c>
      <c r="F255" s="8">
        <v>14.977083333333335</v>
      </c>
      <c r="G255">
        <f t="shared" si="3"/>
        <v>4.6999999999999993</v>
      </c>
    </row>
    <row r="256" spans="3:7" x14ac:dyDescent="0.2">
      <c r="C256" s="7">
        <v>44825</v>
      </c>
      <c r="D256">
        <v>19.100000000000001</v>
      </c>
      <c r="E256">
        <v>13.4</v>
      </c>
      <c r="F256" s="8">
        <v>16.034722222222214</v>
      </c>
      <c r="G256">
        <f t="shared" si="3"/>
        <v>5.7000000000000011</v>
      </c>
    </row>
    <row r="257" spans="3:7" x14ac:dyDescent="0.2">
      <c r="C257" s="7">
        <v>44826</v>
      </c>
      <c r="D257">
        <v>18.3</v>
      </c>
      <c r="E257">
        <v>12.5</v>
      </c>
      <c r="F257" s="8">
        <v>15.317361111111106</v>
      </c>
      <c r="G257">
        <f t="shared" si="3"/>
        <v>5.8000000000000007</v>
      </c>
    </row>
    <row r="258" spans="3:7" x14ac:dyDescent="0.2">
      <c r="C258" s="7">
        <v>44827</v>
      </c>
      <c r="D258">
        <v>16.100000000000001</v>
      </c>
      <c r="E258">
        <v>13.1</v>
      </c>
      <c r="F258" s="8">
        <v>14.624999999999996</v>
      </c>
      <c r="G258">
        <f t="shared" si="3"/>
        <v>3.0000000000000018</v>
      </c>
    </row>
    <row r="259" spans="3:7" x14ac:dyDescent="0.2">
      <c r="C259" s="7">
        <v>44828</v>
      </c>
      <c r="D259">
        <v>15.9</v>
      </c>
      <c r="E259">
        <v>13.4</v>
      </c>
      <c r="F259" s="8">
        <v>14.76319444444443</v>
      </c>
      <c r="G259">
        <f t="shared" si="3"/>
        <v>2.5</v>
      </c>
    </row>
    <row r="260" spans="3:7" x14ac:dyDescent="0.2">
      <c r="C260" s="7">
        <v>44829</v>
      </c>
      <c r="D260">
        <v>17.3</v>
      </c>
      <c r="E260">
        <v>12.1</v>
      </c>
      <c r="F260" s="8">
        <v>14.445833333333329</v>
      </c>
      <c r="G260">
        <f t="shared" si="3"/>
        <v>5.2000000000000011</v>
      </c>
    </row>
    <row r="261" spans="3:7" x14ac:dyDescent="0.2">
      <c r="C261" s="7">
        <v>44830</v>
      </c>
      <c r="D261">
        <v>14.8</v>
      </c>
      <c r="E261">
        <v>12.6</v>
      </c>
      <c r="F261" s="8">
        <v>13.511805555555544</v>
      </c>
      <c r="G261">
        <f t="shared" ref="G261:G324" si="4">D261-E261</f>
        <v>2.2000000000000011</v>
      </c>
    </row>
    <row r="262" spans="3:7" x14ac:dyDescent="0.2">
      <c r="C262" s="7">
        <v>44831</v>
      </c>
      <c r="D262">
        <v>12.5</v>
      </c>
      <c r="E262">
        <v>10.6</v>
      </c>
      <c r="F262" s="8">
        <v>11.43125</v>
      </c>
      <c r="G262">
        <f t="shared" si="4"/>
        <v>1.9000000000000004</v>
      </c>
    </row>
    <row r="263" spans="3:7" x14ac:dyDescent="0.2">
      <c r="C263" s="7">
        <v>44832</v>
      </c>
      <c r="D263">
        <v>14.3</v>
      </c>
      <c r="E263">
        <v>10.4</v>
      </c>
      <c r="F263" s="8">
        <v>12.170833333333325</v>
      </c>
      <c r="G263">
        <f t="shared" si="4"/>
        <v>3.9000000000000004</v>
      </c>
    </row>
    <row r="264" spans="3:7" x14ac:dyDescent="0.2">
      <c r="C264" s="7">
        <v>44833</v>
      </c>
      <c r="D264">
        <v>15.7</v>
      </c>
      <c r="E264">
        <v>10.4</v>
      </c>
      <c r="F264" s="8">
        <v>12.684722222222215</v>
      </c>
      <c r="G264">
        <f t="shared" si="4"/>
        <v>5.2999999999999989</v>
      </c>
    </row>
    <row r="265" spans="3:7" x14ac:dyDescent="0.2">
      <c r="C265" s="7">
        <v>44834</v>
      </c>
      <c r="D265">
        <v>14.8</v>
      </c>
      <c r="E265">
        <v>10.8</v>
      </c>
      <c r="F265" s="8">
        <v>12.6673611111111</v>
      </c>
      <c r="G265">
        <f t="shared" si="4"/>
        <v>4</v>
      </c>
    </row>
    <row r="266" spans="3:7" x14ac:dyDescent="0.2">
      <c r="C266" s="7">
        <v>44835</v>
      </c>
      <c r="D266">
        <v>16.2</v>
      </c>
      <c r="E266">
        <v>11.9</v>
      </c>
      <c r="F266" s="8">
        <v>13.626388888888883</v>
      </c>
      <c r="G266">
        <f t="shared" si="4"/>
        <v>4.2999999999999989</v>
      </c>
    </row>
    <row r="267" spans="3:7" x14ac:dyDescent="0.2">
      <c r="C267" s="7">
        <v>44836</v>
      </c>
      <c r="D267">
        <v>16.600000000000001</v>
      </c>
      <c r="E267">
        <v>12.9</v>
      </c>
      <c r="F267" s="8">
        <v>14.30833333333333</v>
      </c>
      <c r="G267">
        <f t="shared" si="4"/>
        <v>3.7000000000000011</v>
      </c>
    </row>
    <row r="268" spans="3:7" x14ac:dyDescent="0.2">
      <c r="C268" s="7">
        <v>44837</v>
      </c>
      <c r="D268">
        <v>15.4</v>
      </c>
      <c r="E268">
        <v>11.8</v>
      </c>
      <c r="F268" s="8">
        <v>13.67291666666666</v>
      </c>
      <c r="G268">
        <f t="shared" si="4"/>
        <v>3.5999999999999996</v>
      </c>
    </row>
    <row r="269" spans="3:7" x14ac:dyDescent="0.2">
      <c r="C269" s="7">
        <v>44838</v>
      </c>
      <c r="D269">
        <v>16.600000000000001</v>
      </c>
      <c r="E269">
        <v>11.9</v>
      </c>
      <c r="F269" s="8">
        <v>14.348611111111097</v>
      </c>
      <c r="G269">
        <f t="shared" si="4"/>
        <v>4.7000000000000011</v>
      </c>
    </row>
    <row r="270" spans="3:7" x14ac:dyDescent="0.2">
      <c r="C270" s="7">
        <v>44839</v>
      </c>
      <c r="D270">
        <v>15.5</v>
      </c>
      <c r="E270">
        <v>13.8</v>
      </c>
      <c r="F270" s="8">
        <v>14.54652777777777</v>
      </c>
      <c r="G270">
        <f t="shared" si="4"/>
        <v>1.6999999999999993</v>
      </c>
    </row>
    <row r="271" spans="3:7" x14ac:dyDescent="0.2">
      <c r="C271" s="7">
        <v>44840</v>
      </c>
      <c r="D271">
        <v>15.9</v>
      </c>
      <c r="E271">
        <v>11.3</v>
      </c>
      <c r="F271" s="8">
        <v>13.413888888888879</v>
      </c>
      <c r="G271">
        <f t="shared" si="4"/>
        <v>4.5999999999999996</v>
      </c>
    </row>
    <row r="272" spans="3:7" x14ac:dyDescent="0.2">
      <c r="C272" s="7">
        <v>44841</v>
      </c>
      <c r="D272">
        <v>14.4</v>
      </c>
      <c r="E272">
        <v>11</v>
      </c>
      <c r="F272" s="8">
        <v>12.715277777777773</v>
      </c>
      <c r="G272">
        <f t="shared" si="4"/>
        <v>3.4000000000000004</v>
      </c>
    </row>
    <row r="273" spans="3:7" x14ac:dyDescent="0.2">
      <c r="C273" s="7">
        <v>44842</v>
      </c>
      <c r="D273">
        <v>15.3</v>
      </c>
      <c r="E273">
        <v>11.3</v>
      </c>
      <c r="F273" s="8">
        <v>13.211111111111101</v>
      </c>
      <c r="G273">
        <f t="shared" si="4"/>
        <v>4</v>
      </c>
    </row>
    <row r="274" spans="3:7" x14ac:dyDescent="0.2">
      <c r="C274" s="7">
        <v>44843</v>
      </c>
      <c r="D274">
        <v>14.8</v>
      </c>
      <c r="E274">
        <v>10.4</v>
      </c>
      <c r="F274" s="8">
        <v>12.555555555555548</v>
      </c>
      <c r="G274">
        <f t="shared" si="4"/>
        <v>4.4000000000000004</v>
      </c>
    </row>
    <row r="275" spans="3:7" x14ac:dyDescent="0.2">
      <c r="C275" s="7">
        <v>44844</v>
      </c>
      <c r="D275">
        <v>12.5</v>
      </c>
      <c r="E275">
        <v>9.6</v>
      </c>
      <c r="F275" s="8">
        <v>11.143055555555554</v>
      </c>
      <c r="G275">
        <f t="shared" si="4"/>
        <v>2.9000000000000004</v>
      </c>
    </row>
    <row r="276" spans="3:7" x14ac:dyDescent="0.2">
      <c r="C276" s="7">
        <v>44845</v>
      </c>
      <c r="D276">
        <v>13.4</v>
      </c>
      <c r="E276">
        <v>9.1</v>
      </c>
      <c r="F276" s="8">
        <v>11.08819444444444</v>
      </c>
      <c r="G276">
        <f t="shared" si="4"/>
        <v>4.3000000000000007</v>
      </c>
    </row>
    <row r="277" spans="3:7" x14ac:dyDescent="0.2">
      <c r="C277" s="7">
        <v>44846</v>
      </c>
      <c r="D277">
        <v>13.1</v>
      </c>
      <c r="E277">
        <v>9.3000000000000007</v>
      </c>
      <c r="F277" s="8">
        <v>11.245833333333323</v>
      </c>
      <c r="G277">
        <f t="shared" si="4"/>
        <v>3.7999999999999989</v>
      </c>
    </row>
    <row r="278" spans="3:7" x14ac:dyDescent="0.2">
      <c r="C278" s="7">
        <v>44847</v>
      </c>
      <c r="D278">
        <v>12.8</v>
      </c>
      <c r="E278">
        <v>11.2</v>
      </c>
      <c r="F278" s="8">
        <v>11.869444444444435</v>
      </c>
      <c r="G278">
        <f t="shared" si="4"/>
        <v>1.6000000000000014</v>
      </c>
    </row>
    <row r="279" spans="3:7" x14ac:dyDescent="0.2">
      <c r="C279" s="7">
        <v>44848</v>
      </c>
      <c r="D279">
        <v>13.6</v>
      </c>
      <c r="E279">
        <v>10.7</v>
      </c>
      <c r="F279" s="8">
        <v>11.928472222222219</v>
      </c>
      <c r="G279">
        <f t="shared" si="4"/>
        <v>2.9000000000000004</v>
      </c>
    </row>
    <row r="280" spans="3:7" x14ac:dyDescent="0.2">
      <c r="C280" s="7">
        <v>44849</v>
      </c>
      <c r="D280">
        <v>14.4</v>
      </c>
      <c r="E280">
        <v>11.8</v>
      </c>
      <c r="F280" s="8">
        <v>12.776388888888881</v>
      </c>
      <c r="G280">
        <f t="shared" si="4"/>
        <v>2.5999999999999996</v>
      </c>
    </row>
    <row r="281" spans="3:7" x14ac:dyDescent="0.2">
      <c r="C281" s="7">
        <v>44850</v>
      </c>
      <c r="D281">
        <v>15.4</v>
      </c>
      <c r="E281">
        <v>11.8</v>
      </c>
      <c r="F281" s="8">
        <v>13.513194444444437</v>
      </c>
      <c r="G281">
        <f t="shared" si="4"/>
        <v>3.5999999999999996</v>
      </c>
    </row>
    <row r="282" spans="3:7" x14ac:dyDescent="0.2">
      <c r="C282" s="7">
        <v>44851</v>
      </c>
      <c r="D282">
        <v>14.8</v>
      </c>
      <c r="E282">
        <v>13.1</v>
      </c>
      <c r="F282" s="8">
        <v>13.849999999999996</v>
      </c>
      <c r="G282">
        <f t="shared" si="4"/>
        <v>1.7000000000000011</v>
      </c>
    </row>
    <row r="283" spans="3:7" x14ac:dyDescent="0.2">
      <c r="C283" s="7">
        <v>44852</v>
      </c>
      <c r="D283">
        <v>15.6</v>
      </c>
      <c r="E283">
        <v>11.8</v>
      </c>
      <c r="F283" s="8">
        <v>13.650694444444435</v>
      </c>
      <c r="G283">
        <f t="shared" si="4"/>
        <v>3.7999999999999989</v>
      </c>
    </row>
    <row r="284" spans="3:7" x14ac:dyDescent="0.2">
      <c r="C284" s="7">
        <v>44853</v>
      </c>
      <c r="D284">
        <v>13.4</v>
      </c>
      <c r="E284">
        <v>10.1</v>
      </c>
      <c r="F284" s="8">
        <v>11.725694444444439</v>
      </c>
      <c r="G284">
        <f t="shared" si="4"/>
        <v>3.3000000000000007</v>
      </c>
    </row>
    <row r="285" spans="3:7" x14ac:dyDescent="0.2">
      <c r="C285" s="7">
        <v>44854</v>
      </c>
      <c r="D285">
        <v>12</v>
      </c>
      <c r="E285">
        <v>9</v>
      </c>
      <c r="F285" s="8">
        <v>10.344444444444452</v>
      </c>
      <c r="G285">
        <f t="shared" si="4"/>
        <v>3</v>
      </c>
    </row>
    <row r="286" spans="3:7" x14ac:dyDescent="0.2">
      <c r="C286" s="7">
        <v>44855</v>
      </c>
      <c r="D286">
        <v>14.9</v>
      </c>
      <c r="E286">
        <v>10.9</v>
      </c>
      <c r="F286" s="8">
        <v>12.663888888888883</v>
      </c>
      <c r="G286">
        <f t="shared" si="4"/>
        <v>4</v>
      </c>
    </row>
    <row r="287" spans="3:7" x14ac:dyDescent="0.2">
      <c r="C287" s="7">
        <v>44856</v>
      </c>
      <c r="D287">
        <v>15.4</v>
      </c>
      <c r="E287">
        <v>12.1</v>
      </c>
      <c r="F287" s="8">
        <v>13.715277777777779</v>
      </c>
      <c r="G287">
        <f t="shared" si="4"/>
        <v>3.3000000000000007</v>
      </c>
    </row>
    <row r="288" spans="3:7" x14ac:dyDescent="0.2">
      <c r="C288" s="7">
        <v>44857</v>
      </c>
      <c r="D288">
        <v>14.3</v>
      </c>
      <c r="E288">
        <v>12.3</v>
      </c>
      <c r="F288" s="8">
        <v>13.319444444444434</v>
      </c>
      <c r="G288">
        <f t="shared" si="4"/>
        <v>2</v>
      </c>
    </row>
    <row r="289" spans="3:7" x14ac:dyDescent="0.2">
      <c r="C289" s="7">
        <v>44858</v>
      </c>
      <c r="D289">
        <v>14.6</v>
      </c>
      <c r="E289">
        <v>12.6</v>
      </c>
      <c r="F289" s="8">
        <v>13.454166666666659</v>
      </c>
      <c r="G289">
        <f t="shared" si="4"/>
        <v>2</v>
      </c>
    </row>
    <row r="290" spans="3:7" x14ac:dyDescent="0.2">
      <c r="C290" s="7">
        <v>44859</v>
      </c>
      <c r="D290">
        <v>15.4</v>
      </c>
      <c r="E290">
        <v>12.3</v>
      </c>
      <c r="F290" s="8">
        <v>13.635416666666663</v>
      </c>
      <c r="G290">
        <f t="shared" si="4"/>
        <v>3.0999999999999996</v>
      </c>
    </row>
    <row r="291" spans="3:7" x14ac:dyDescent="0.2">
      <c r="C291" s="7">
        <v>44860</v>
      </c>
      <c r="D291">
        <v>15.4</v>
      </c>
      <c r="E291">
        <v>11.9</v>
      </c>
      <c r="F291" s="8">
        <v>13.568055555555555</v>
      </c>
      <c r="G291">
        <f t="shared" si="4"/>
        <v>3.5</v>
      </c>
    </row>
    <row r="292" spans="3:7" x14ac:dyDescent="0.2">
      <c r="C292" s="7">
        <v>44861</v>
      </c>
      <c r="D292">
        <v>15.3</v>
      </c>
      <c r="E292">
        <v>12.6</v>
      </c>
      <c r="F292" s="8">
        <v>13.936805555555546</v>
      </c>
      <c r="G292">
        <f t="shared" si="4"/>
        <v>2.7000000000000011</v>
      </c>
    </row>
    <row r="293" spans="3:7" x14ac:dyDescent="0.2">
      <c r="C293" s="7">
        <v>44862</v>
      </c>
      <c r="D293">
        <v>15.7</v>
      </c>
      <c r="E293">
        <v>13</v>
      </c>
      <c r="F293" s="8">
        <v>14.27430555555555</v>
      </c>
      <c r="G293">
        <f t="shared" si="4"/>
        <v>2.6999999999999993</v>
      </c>
    </row>
    <row r="294" spans="3:7" x14ac:dyDescent="0.2">
      <c r="C294" s="7">
        <v>44863</v>
      </c>
      <c r="D294">
        <v>15.7</v>
      </c>
      <c r="E294">
        <v>12.9</v>
      </c>
      <c r="F294" s="8">
        <v>14.165277777777769</v>
      </c>
      <c r="G294">
        <f t="shared" si="4"/>
        <v>2.7999999999999989</v>
      </c>
    </row>
    <row r="295" spans="3:7" x14ac:dyDescent="0.2">
      <c r="C295" s="7">
        <v>44864</v>
      </c>
      <c r="D295">
        <v>15.3</v>
      </c>
      <c r="E295">
        <v>12.6</v>
      </c>
      <c r="F295" s="8">
        <v>13.947222222222214</v>
      </c>
      <c r="G295">
        <f t="shared" si="4"/>
        <v>2.7000000000000011</v>
      </c>
    </row>
    <row r="296" spans="3:7" x14ac:dyDescent="0.2">
      <c r="C296" s="7">
        <v>44865</v>
      </c>
      <c r="D296">
        <v>14.45</v>
      </c>
      <c r="E296">
        <v>11.6</v>
      </c>
      <c r="F296" s="8">
        <v>19.345833333333346</v>
      </c>
      <c r="G296">
        <f t="shared" si="4"/>
        <v>2.8499999999999996</v>
      </c>
    </row>
    <row r="297" spans="3:7" x14ac:dyDescent="0.2">
      <c r="C297" s="7">
        <v>44866</v>
      </c>
      <c r="D297">
        <v>13.6</v>
      </c>
      <c r="E297">
        <v>11.5</v>
      </c>
      <c r="F297" s="8">
        <v>12.506249999999996</v>
      </c>
      <c r="G297">
        <f t="shared" si="4"/>
        <v>2.0999999999999996</v>
      </c>
    </row>
    <row r="298" spans="3:7" x14ac:dyDescent="0.2">
      <c r="C298" s="7">
        <v>44867</v>
      </c>
      <c r="D298">
        <v>12.4</v>
      </c>
      <c r="E298">
        <v>10.1</v>
      </c>
      <c r="F298" s="8">
        <v>11.062499999999998</v>
      </c>
      <c r="G298">
        <f t="shared" si="4"/>
        <v>2.3000000000000007</v>
      </c>
    </row>
    <row r="299" spans="3:7" x14ac:dyDescent="0.2">
      <c r="C299" s="7">
        <v>44868</v>
      </c>
      <c r="D299">
        <v>11.8</v>
      </c>
      <c r="E299">
        <v>9.6</v>
      </c>
      <c r="F299" s="8">
        <v>10.628472222222221</v>
      </c>
      <c r="G299">
        <f t="shared" si="4"/>
        <v>2.2000000000000011</v>
      </c>
    </row>
    <row r="300" spans="3:7" x14ac:dyDescent="0.2">
      <c r="C300" s="7">
        <v>44869</v>
      </c>
      <c r="D300">
        <v>11.3</v>
      </c>
      <c r="E300">
        <v>10</v>
      </c>
      <c r="F300" s="8">
        <v>10.633333333333331</v>
      </c>
      <c r="G300">
        <f t="shared" si="4"/>
        <v>1.3000000000000007</v>
      </c>
    </row>
    <row r="301" spans="3:7" x14ac:dyDescent="0.2">
      <c r="C301" s="7">
        <v>44870</v>
      </c>
      <c r="D301">
        <v>10.6</v>
      </c>
      <c r="E301">
        <v>8.6</v>
      </c>
      <c r="F301" s="8">
        <v>9.6104166666666586</v>
      </c>
      <c r="G301">
        <f t="shared" si="4"/>
        <v>2</v>
      </c>
    </row>
    <row r="302" spans="3:7" x14ac:dyDescent="0.2">
      <c r="C302" s="7">
        <v>44871</v>
      </c>
      <c r="D302">
        <v>10.4</v>
      </c>
      <c r="E302">
        <v>9.6</v>
      </c>
      <c r="F302" s="8">
        <v>9.8083333333333176</v>
      </c>
      <c r="G302">
        <f t="shared" si="4"/>
        <v>0.80000000000000071</v>
      </c>
    </row>
    <row r="303" spans="3:7" x14ac:dyDescent="0.2">
      <c r="C303" s="7">
        <v>44872</v>
      </c>
      <c r="D303">
        <v>11.4</v>
      </c>
      <c r="E303">
        <v>9.4</v>
      </c>
      <c r="F303" s="8">
        <v>10.466666666666676</v>
      </c>
      <c r="G303">
        <f t="shared" si="4"/>
        <v>2</v>
      </c>
    </row>
    <row r="304" spans="3:7" x14ac:dyDescent="0.2">
      <c r="C304" s="7">
        <v>44873</v>
      </c>
      <c r="D304">
        <v>11.6</v>
      </c>
      <c r="E304">
        <v>9.5</v>
      </c>
      <c r="F304" s="8">
        <v>10.650694444444436</v>
      </c>
      <c r="G304">
        <f t="shared" si="4"/>
        <v>2.0999999999999996</v>
      </c>
    </row>
    <row r="305" spans="3:7" x14ac:dyDescent="0.2">
      <c r="C305" s="7">
        <v>44874</v>
      </c>
      <c r="D305">
        <v>11.6</v>
      </c>
      <c r="E305">
        <v>9.8000000000000007</v>
      </c>
      <c r="F305" s="8">
        <v>10.652777777777777</v>
      </c>
      <c r="G305">
        <f t="shared" si="4"/>
        <v>1.7999999999999989</v>
      </c>
    </row>
    <row r="306" spans="3:7" x14ac:dyDescent="0.2">
      <c r="C306" s="7">
        <v>44875</v>
      </c>
      <c r="D306">
        <v>11.7</v>
      </c>
      <c r="E306">
        <v>9.6</v>
      </c>
      <c r="F306" s="8">
        <v>10.595833333333335</v>
      </c>
      <c r="G306">
        <f t="shared" si="4"/>
        <v>2.0999999999999996</v>
      </c>
    </row>
    <row r="307" spans="3:7" x14ac:dyDescent="0.2">
      <c r="C307" s="7">
        <v>44876</v>
      </c>
      <c r="D307">
        <v>11.6</v>
      </c>
      <c r="E307">
        <v>8.6</v>
      </c>
      <c r="F307" s="8">
        <v>10.161111111111103</v>
      </c>
      <c r="G307">
        <f t="shared" si="4"/>
        <v>3</v>
      </c>
    </row>
    <row r="308" spans="3:7" x14ac:dyDescent="0.2">
      <c r="C308" s="7">
        <v>44877</v>
      </c>
      <c r="D308">
        <v>11.8</v>
      </c>
      <c r="E308">
        <v>8.1999999999999993</v>
      </c>
      <c r="F308" s="8">
        <v>9.4638888888888815</v>
      </c>
      <c r="G308">
        <f t="shared" si="4"/>
        <v>3.6000000000000014</v>
      </c>
    </row>
    <row r="309" spans="3:7" x14ac:dyDescent="0.2">
      <c r="C309" s="7">
        <v>44878</v>
      </c>
      <c r="D309">
        <v>10.6</v>
      </c>
      <c r="E309">
        <v>6.8</v>
      </c>
      <c r="F309" s="8">
        <v>8.514583333333329</v>
      </c>
      <c r="G309">
        <f t="shared" si="4"/>
        <v>3.8</v>
      </c>
    </row>
    <row r="310" spans="3:7" x14ac:dyDescent="0.2">
      <c r="C310" s="7">
        <v>44879</v>
      </c>
      <c r="D310">
        <v>7.8</v>
      </c>
      <c r="E310">
        <v>4.5999999999999996</v>
      </c>
      <c r="F310" s="8">
        <v>6.2270833333333293</v>
      </c>
      <c r="G310">
        <f t="shared" si="4"/>
        <v>3.2</v>
      </c>
    </row>
    <row r="311" spans="3:7" x14ac:dyDescent="0.2">
      <c r="C311" s="7">
        <v>44880</v>
      </c>
      <c r="D311">
        <v>9.6</v>
      </c>
      <c r="E311">
        <v>5.8</v>
      </c>
      <c r="F311" s="8">
        <v>7.9409722222222188</v>
      </c>
      <c r="G311">
        <f t="shared" si="4"/>
        <v>3.8</v>
      </c>
    </row>
    <row r="312" spans="3:7" x14ac:dyDescent="0.2">
      <c r="C312" s="7">
        <v>44881</v>
      </c>
      <c r="D312">
        <v>10.3</v>
      </c>
      <c r="E312">
        <v>8.4</v>
      </c>
      <c r="F312" s="8">
        <v>9.3798611111111114</v>
      </c>
      <c r="G312">
        <f t="shared" si="4"/>
        <v>1.9000000000000004</v>
      </c>
    </row>
    <row r="313" spans="3:7" x14ac:dyDescent="0.2">
      <c r="C313" s="7">
        <v>44882</v>
      </c>
      <c r="D313">
        <v>9.5</v>
      </c>
      <c r="E313">
        <v>8.4</v>
      </c>
      <c r="F313" s="8">
        <v>9.0694444444444358</v>
      </c>
      <c r="G313">
        <f t="shared" si="4"/>
        <v>1.0999999999999996</v>
      </c>
    </row>
    <row r="314" spans="3:7" x14ac:dyDescent="0.2">
      <c r="C314" s="7">
        <v>44883</v>
      </c>
      <c r="D314">
        <v>8.4</v>
      </c>
      <c r="E314">
        <v>6.8</v>
      </c>
      <c r="F314" s="8">
        <v>7.8020833333333304</v>
      </c>
      <c r="G314">
        <f t="shared" si="4"/>
        <v>1.6000000000000005</v>
      </c>
    </row>
    <row r="315" spans="3:7" x14ac:dyDescent="0.2">
      <c r="C315" s="7">
        <v>44884</v>
      </c>
      <c r="D315">
        <v>8.1</v>
      </c>
      <c r="E315">
        <v>1.8</v>
      </c>
      <c r="F315" s="8">
        <v>5.0624999999999991</v>
      </c>
      <c r="G315">
        <f t="shared" si="4"/>
        <v>6.3</v>
      </c>
    </row>
    <row r="316" spans="3:7" x14ac:dyDescent="0.2">
      <c r="C316" s="7">
        <v>44885</v>
      </c>
      <c r="D316">
        <v>2.8</v>
      </c>
      <c r="E316">
        <v>1.1000000000000001</v>
      </c>
      <c r="F316" s="8">
        <v>1.9444444444444453</v>
      </c>
      <c r="G316">
        <f t="shared" si="4"/>
        <v>1.6999999999999997</v>
      </c>
    </row>
    <row r="317" spans="3:7" x14ac:dyDescent="0.2">
      <c r="C317" s="7">
        <v>44886</v>
      </c>
      <c r="D317">
        <v>5.9</v>
      </c>
      <c r="E317">
        <v>2.6</v>
      </c>
      <c r="F317" s="8">
        <v>4.4437500000000023</v>
      </c>
      <c r="G317">
        <f t="shared" si="4"/>
        <v>3.3000000000000003</v>
      </c>
    </row>
    <row r="318" spans="3:7" x14ac:dyDescent="0.2">
      <c r="C318" s="7">
        <v>44887</v>
      </c>
      <c r="D318">
        <v>6.3</v>
      </c>
      <c r="E318">
        <v>4.5999999999999996</v>
      </c>
      <c r="F318" s="8">
        <v>5.4868055555555602</v>
      </c>
      <c r="G318">
        <f t="shared" si="4"/>
        <v>1.7000000000000002</v>
      </c>
    </row>
    <row r="319" spans="3:7" x14ac:dyDescent="0.2">
      <c r="C319" s="7">
        <v>44888</v>
      </c>
      <c r="D319">
        <v>7.6</v>
      </c>
      <c r="E319">
        <v>6.1</v>
      </c>
      <c r="F319" s="8">
        <v>6.6763888888888845</v>
      </c>
      <c r="G319">
        <f t="shared" si="4"/>
        <v>1.5</v>
      </c>
    </row>
    <row r="320" spans="3:7" x14ac:dyDescent="0.2">
      <c r="C320" s="7">
        <v>44889</v>
      </c>
      <c r="D320">
        <v>8.6999999999999993</v>
      </c>
      <c r="E320">
        <v>6</v>
      </c>
      <c r="F320" s="8">
        <v>6.9555555555555548</v>
      </c>
      <c r="G320">
        <f t="shared" si="4"/>
        <v>2.6999999999999993</v>
      </c>
    </row>
    <row r="321" spans="3:7" x14ac:dyDescent="0.2">
      <c r="C321" s="7">
        <v>44890</v>
      </c>
      <c r="D321">
        <v>8.6999999999999993</v>
      </c>
      <c r="E321">
        <v>6.3</v>
      </c>
      <c r="F321" s="8">
        <v>7.3034722222222239</v>
      </c>
      <c r="G321">
        <f t="shared" si="4"/>
        <v>2.3999999999999995</v>
      </c>
    </row>
    <row r="322" spans="3:7" x14ac:dyDescent="0.2">
      <c r="C322" s="7">
        <v>44891</v>
      </c>
      <c r="D322">
        <v>7.6</v>
      </c>
      <c r="E322">
        <v>5</v>
      </c>
      <c r="F322" s="8">
        <v>6.154166666666665</v>
      </c>
      <c r="G322">
        <f t="shared" si="4"/>
        <v>2.5999999999999996</v>
      </c>
    </row>
    <row r="323" spans="3:7" x14ac:dyDescent="0.2">
      <c r="C323" s="7">
        <v>44892</v>
      </c>
      <c r="D323">
        <v>6.5</v>
      </c>
      <c r="E323">
        <v>5.4</v>
      </c>
      <c r="F323" s="8">
        <v>6.0152777777777722</v>
      </c>
      <c r="G323">
        <f t="shared" si="4"/>
        <v>1.0999999999999996</v>
      </c>
    </row>
    <row r="324" spans="3:7" x14ac:dyDescent="0.2">
      <c r="C324" s="7">
        <v>44893</v>
      </c>
      <c r="D324">
        <v>8.6999999999999993</v>
      </c>
      <c r="E324">
        <v>6.3</v>
      </c>
      <c r="F324" s="8">
        <v>7.424305555555561</v>
      </c>
      <c r="G324">
        <f t="shared" si="4"/>
        <v>2.3999999999999995</v>
      </c>
    </row>
    <row r="325" spans="3:7" x14ac:dyDescent="0.2">
      <c r="C325" s="7">
        <v>44894</v>
      </c>
      <c r="D325">
        <v>8.5</v>
      </c>
      <c r="E325">
        <v>6.3</v>
      </c>
      <c r="F325" s="8">
        <v>7.1694444444444434</v>
      </c>
      <c r="G325">
        <f t="shared" ref="G325:G357" si="5">D325-E325</f>
        <v>2.2000000000000002</v>
      </c>
    </row>
    <row r="326" spans="3:7" x14ac:dyDescent="0.2">
      <c r="C326" s="7">
        <v>44895</v>
      </c>
      <c r="D326">
        <v>7.9</v>
      </c>
      <c r="E326">
        <v>5.9</v>
      </c>
      <c r="F326" s="8">
        <v>6.6368055555555534</v>
      </c>
      <c r="G326">
        <f t="shared" si="5"/>
        <v>2</v>
      </c>
    </row>
    <row r="327" spans="3:7" x14ac:dyDescent="0.2">
      <c r="C327" s="7">
        <v>44896</v>
      </c>
      <c r="D327">
        <v>6</v>
      </c>
      <c r="E327">
        <v>3.7</v>
      </c>
      <c r="F327" s="8">
        <v>4.8263888888888902</v>
      </c>
      <c r="G327">
        <f t="shared" si="5"/>
        <v>2.2999999999999998</v>
      </c>
    </row>
    <row r="328" spans="3:7" x14ac:dyDescent="0.2">
      <c r="C328" s="7">
        <v>44897</v>
      </c>
      <c r="D328">
        <v>4.5999999999999996</v>
      </c>
      <c r="E328">
        <v>2.4</v>
      </c>
      <c r="F328" s="8">
        <v>3.8486111111111145</v>
      </c>
      <c r="G328">
        <f t="shared" si="5"/>
        <v>2.1999999999999997</v>
      </c>
    </row>
    <row r="329" spans="3:7" x14ac:dyDescent="0.2">
      <c r="C329" s="7">
        <v>44898</v>
      </c>
      <c r="D329">
        <v>2.4</v>
      </c>
      <c r="E329">
        <v>0.8</v>
      </c>
      <c r="F329" s="8">
        <v>1.8749999999999989</v>
      </c>
      <c r="G329">
        <f t="shared" si="5"/>
        <v>1.5999999999999999</v>
      </c>
    </row>
    <row r="330" spans="3:7" x14ac:dyDescent="0.2">
      <c r="C330" s="7">
        <v>44899</v>
      </c>
      <c r="D330">
        <v>1.2</v>
      </c>
      <c r="E330">
        <v>0.4</v>
      </c>
      <c r="F330" s="8">
        <v>0.68124999999999902</v>
      </c>
      <c r="G330">
        <f t="shared" si="5"/>
        <v>0.79999999999999993</v>
      </c>
    </row>
    <row r="331" spans="3:7" x14ac:dyDescent="0.2">
      <c r="C331" s="7">
        <v>44900</v>
      </c>
      <c r="D331">
        <v>4</v>
      </c>
      <c r="E331">
        <v>1.3</v>
      </c>
      <c r="F331" s="8">
        <v>2.7368055555555553</v>
      </c>
      <c r="G331">
        <f t="shared" si="5"/>
        <v>2.7</v>
      </c>
    </row>
    <row r="332" spans="3:7" x14ac:dyDescent="0.2">
      <c r="C332" s="7">
        <v>44901</v>
      </c>
      <c r="D332">
        <v>4.5999999999999996</v>
      </c>
      <c r="E332">
        <v>3.1</v>
      </c>
      <c r="F332" s="8">
        <v>3.8798611111111074</v>
      </c>
      <c r="G332">
        <f t="shared" si="5"/>
        <v>1.4999999999999996</v>
      </c>
    </row>
    <row r="333" spans="3:7" x14ac:dyDescent="0.2">
      <c r="C333" s="7">
        <v>44902</v>
      </c>
      <c r="D333">
        <v>4.4000000000000004</v>
      </c>
      <c r="E333">
        <v>2.9</v>
      </c>
      <c r="F333" s="8">
        <v>3.7305555555555552</v>
      </c>
      <c r="G333">
        <f t="shared" si="5"/>
        <v>1.5000000000000004</v>
      </c>
    </row>
    <row r="334" spans="3:7" x14ac:dyDescent="0.2">
      <c r="C334" s="7">
        <v>44903</v>
      </c>
      <c r="D334">
        <v>4.0999999999999996</v>
      </c>
      <c r="E334">
        <v>2.4</v>
      </c>
      <c r="F334" s="8">
        <v>3.5076388888888932</v>
      </c>
      <c r="G334">
        <f t="shared" si="5"/>
        <v>1.6999999999999997</v>
      </c>
    </row>
    <row r="335" spans="3:7" x14ac:dyDescent="0.2">
      <c r="C335" s="7">
        <v>44904</v>
      </c>
      <c r="D335">
        <v>3.4</v>
      </c>
      <c r="E335">
        <v>1.7</v>
      </c>
      <c r="F335" s="8">
        <v>2.3124999999999991</v>
      </c>
      <c r="G335">
        <f t="shared" si="5"/>
        <v>1.7</v>
      </c>
    </row>
    <row r="336" spans="3:7" x14ac:dyDescent="0.2">
      <c r="C336" s="7">
        <v>44905</v>
      </c>
      <c r="D336">
        <v>2.2000000000000002</v>
      </c>
      <c r="E336">
        <v>1.3</v>
      </c>
      <c r="F336" s="8">
        <v>1.7965277777777762</v>
      </c>
      <c r="G336">
        <f t="shared" si="5"/>
        <v>0.90000000000000013</v>
      </c>
    </row>
    <row r="337" spans="3:7" x14ac:dyDescent="0.2">
      <c r="C337" s="7">
        <v>44906</v>
      </c>
      <c r="D337">
        <v>2.7</v>
      </c>
      <c r="E337">
        <v>1.6</v>
      </c>
      <c r="F337" s="8">
        <v>2.1020833333333342</v>
      </c>
      <c r="G337">
        <f t="shared" si="5"/>
        <v>1.1000000000000001</v>
      </c>
    </row>
    <row r="338" spans="3:7" x14ac:dyDescent="0.2">
      <c r="C338" s="7">
        <v>44907</v>
      </c>
      <c r="D338">
        <v>2.2999999999999998</v>
      </c>
      <c r="E338">
        <v>1</v>
      </c>
      <c r="F338" s="8">
        <v>1.6576388888888893</v>
      </c>
      <c r="G338">
        <f t="shared" si="5"/>
        <v>1.2999999999999998</v>
      </c>
    </row>
    <row r="339" spans="3:7" x14ac:dyDescent="0.2">
      <c r="C339" s="7">
        <v>44908</v>
      </c>
      <c r="D339">
        <v>2.1</v>
      </c>
      <c r="E339">
        <v>1.3</v>
      </c>
      <c r="F339" s="8">
        <v>1.7166666666666672</v>
      </c>
      <c r="G339">
        <f t="shared" si="5"/>
        <v>0.8</v>
      </c>
    </row>
    <row r="340" spans="3:7" x14ac:dyDescent="0.2">
      <c r="C340" s="7">
        <v>44909</v>
      </c>
      <c r="D340">
        <v>2.2999999999999998</v>
      </c>
      <c r="E340">
        <v>1.4</v>
      </c>
      <c r="F340" s="8">
        <v>1.8625000000000018</v>
      </c>
      <c r="G340">
        <f t="shared" si="5"/>
        <v>0.89999999999999991</v>
      </c>
    </row>
    <row r="341" spans="3:7" x14ac:dyDescent="0.2">
      <c r="C341" s="7">
        <v>44910</v>
      </c>
      <c r="D341">
        <v>2.2000000000000002</v>
      </c>
      <c r="E341">
        <v>1.4</v>
      </c>
      <c r="F341" s="8">
        <v>1.8572916666666646</v>
      </c>
      <c r="G341">
        <f t="shared" si="5"/>
        <v>0.80000000000000027</v>
      </c>
    </row>
    <row r="342" spans="3:7" x14ac:dyDescent="0.2">
      <c r="C342" s="7">
        <v>44911</v>
      </c>
      <c r="D342">
        <v>2.6</v>
      </c>
      <c r="E342">
        <v>1.5</v>
      </c>
      <c r="F342" s="8">
        <v>1.9861111111111127</v>
      </c>
      <c r="G342">
        <f t="shared" si="5"/>
        <v>1.1000000000000001</v>
      </c>
    </row>
    <row r="343" spans="3:7" x14ac:dyDescent="0.2">
      <c r="C343" s="7">
        <v>44912</v>
      </c>
      <c r="D343">
        <v>2.6</v>
      </c>
      <c r="E343">
        <v>1.4</v>
      </c>
      <c r="F343" s="8">
        <v>1.9222222222222227</v>
      </c>
      <c r="G343">
        <f t="shared" si="5"/>
        <v>1.2000000000000002</v>
      </c>
    </row>
    <row r="344" spans="3:7" x14ac:dyDescent="0.2">
      <c r="C344" s="7">
        <v>44913</v>
      </c>
      <c r="D344">
        <v>2</v>
      </c>
      <c r="E344">
        <v>1.3</v>
      </c>
      <c r="F344" s="8">
        <v>1.4798611111111126</v>
      </c>
      <c r="G344">
        <f t="shared" si="5"/>
        <v>0.7</v>
      </c>
    </row>
    <row r="345" spans="3:7" x14ac:dyDescent="0.2">
      <c r="C345" s="7">
        <v>44914</v>
      </c>
      <c r="D345">
        <v>1.6</v>
      </c>
      <c r="E345">
        <v>0.1</v>
      </c>
      <c r="F345" s="8">
        <v>0.75208333333333266</v>
      </c>
      <c r="G345">
        <f t="shared" si="5"/>
        <v>1.5</v>
      </c>
    </row>
    <row r="346" spans="3:7" x14ac:dyDescent="0.2">
      <c r="C346" s="7">
        <v>44915</v>
      </c>
      <c r="D346">
        <v>5.3</v>
      </c>
      <c r="E346">
        <v>0.3</v>
      </c>
      <c r="F346" s="8">
        <v>3.0618055555555577</v>
      </c>
      <c r="G346">
        <f t="shared" si="5"/>
        <v>5</v>
      </c>
    </row>
    <row r="347" spans="3:7" x14ac:dyDescent="0.2">
      <c r="C347" s="7">
        <v>44916</v>
      </c>
      <c r="D347">
        <v>5.7</v>
      </c>
      <c r="E347">
        <v>2.5</v>
      </c>
      <c r="F347" s="8">
        <v>4.4576388888888934</v>
      </c>
      <c r="G347">
        <f t="shared" si="5"/>
        <v>3.2</v>
      </c>
    </row>
    <row r="348" spans="3:7" x14ac:dyDescent="0.2">
      <c r="C348" s="7">
        <v>44917</v>
      </c>
      <c r="D348">
        <v>6.6</v>
      </c>
      <c r="E348">
        <v>4.5999999999999996</v>
      </c>
      <c r="F348" s="8">
        <v>5.9770833333333311</v>
      </c>
      <c r="G348">
        <f t="shared" si="5"/>
        <v>2</v>
      </c>
    </row>
    <row r="349" spans="3:7" x14ac:dyDescent="0.2">
      <c r="C349" s="7">
        <v>44918</v>
      </c>
      <c r="D349">
        <v>7.6</v>
      </c>
      <c r="E349">
        <v>6.6</v>
      </c>
      <c r="F349" s="8">
        <v>6.97708333333334</v>
      </c>
      <c r="G349">
        <f t="shared" si="5"/>
        <v>1</v>
      </c>
    </row>
    <row r="350" spans="3:7" x14ac:dyDescent="0.2">
      <c r="C350" s="7">
        <v>44919</v>
      </c>
      <c r="D350">
        <v>7.9</v>
      </c>
      <c r="E350">
        <v>5.9</v>
      </c>
      <c r="F350" s="8">
        <v>7.1131944444444377</v>
      </c>
      <c r="G350">
        <f t="shared" si="5"/>
        <v>2</v>
      </c>
    </row>
    <row r="351" spans="3:7" x14ac:dyDescent="0.2">
      <c r="C351" s="7">
        <v>44920</v>
      </c>
      <c r="D351">
        <v>7.4</v>
      </c>
      <c r="E351">
        <v>5.6</v>
      </c>
      <c r="F351" s="8">
        <v>6.7111111111111095</v>
      </c>
      <c r="G351">
        <f t="shared" si="5"/>
        <v>1.8000000000000007</v>
      </c>
    </row>
    <row r="352" spans="3:7" x14ac:dyDescent="0.2">
      <c r="C352" s="7">
        <v>44921</v>
      </c>
      <c r="D352">
        <v>7.1</v>
      </c>
      <c r="E352">
        <v>4.3</v>
      </c>
      <c r="F352" s="8">
        <v>6.1222222222222236</v>
      </c>
      <c r="G352">
        <f t="shared" si="5"/>
        <v>2.8</v>
      </c>
    </row>
    <row r="353" spans="3:7" x14ac:dyDescent="0.2">
      <c r="C353" s="7">
        <v>44922</v>
      </c>
      <c r="D353">
        <v>5.4</v>
      </c>
      <c r="E353">
        <v>3.3</v>
      </c>
      <c r="F353" s="8">
        <v>4.3826388888888834</v>
      </c>
      <c r="G353">
        <f t="shared" si="5"/>
        <v>2.1000000000000005</v>
      </c>
    </row>
    <row r="354" spans="3:7" x14ac:dyDescent="0.2">
      <c r="C354" s="7">
        <v>44923</v>
      </c>
      <c r="D354">
        <v>7.9</v>
      </c>
      <c r="E354">
        <v>4.8</v>
      </c>
      <c r="F354" s="8">
        <v>6.6812499999999995</v>
      </c>
      <c r="G354">
        <f t="shared" si="5"/>
        <v>3.1000000000000005</v>
      </c>
    </row>
    <row r="355" spans="3:7" x14ac:dyDescent="0.2">
      <c r="C355" s="7">
        <v>44924</v>
      </c>
      <c r="D355">
        <v>8.1</v>
      </c>
      <c r="E355">
        <v>6</v>
      </c>
      <c r="F355" s="8">
        <v>7.4805555555555507</v>
      </c>
      <c r="G355">
        <f t="shared" si="5"/>
        <v>2.0999999999999996</v>
      </c>
    </row>
    <row r="356" spans="3:7" x14ac:dyDescent="0.2">
      <c r="C356" s="7">
        <v>44925</v>
      </c>
      <c r="D356">
        <v>8.4</v>
      </c>
      <c r="E356">
        <v>3.6</v>
      </c>
      <c r="F356" s="8">
        <v>5.6076388888888893</v>
      </c>
      <c r="G356">
        <f t="shared" si="5"/>
        <v>4.8000000000000007</v>
      </c>
    </row>
    <row r="357" spans="3:7" x14ac:dyDescent="0.2">
      <c r="C357" s="7">
        <v>44926</v>
      </c>
      <c r="D357">
        <v>10.9</v>
      </c>
      <c r="E357">
        <v>8.4</v>
      </c>
      <c r="F357" s="8">
        <v>9.731944444444439</v>
      </c>
      <c r="G357">
        <f t="shared" si="5"/>
        <v>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044C-AB4A-4DC1-94BE-6923446C05F7}">
  <sheetPr codeName="Blad3">
    <tabColor rgb="FF00B0F0"/>
  </sheetPr>
  <dimension ref="B3:C36"/>
  <sheetViews>
    <sheetView topLeftCell="A4" zoomScale="145" zoomScaleNormal="145" workbookViewId="0">
      <selection activeCell="C24" sqref="C24"/>
    </sheetView>
  </sheetViews>
  <sheetFormatPr defaultRowHeight="12.6" x14ac:dyDescent="0.2"/>
  <cols>
    <col min="2" max="2" width="58.08984375" bestFit="1" customWidth="1"/>
  </cols>
  <sheetData>
    <row r="3" spans="2:3" x14ac:dyDescent="0.2">
      <c r="B3" s="1" t="s">
        <v>0</v>
      </c>
    </row>
    <row r="5" spans="2:3" x14ac:dyDescent="0.2">
      <c r="C5" s="1"/>
    </row>
    <row r="24" spans="2:3" ht="93" customHeight="1" x14ac:dyDescent="0.2">
      <c r="C24" s="2" t="s">
        <v>1</v>
      </c>
    </row>
    <row r="27" spans="2:3" x14ac:dyDescent="0.2">
      <c r="B27" t="s">
        <v>2</v>
      </c>
      <c r="C27" t="s">
        <v>3</v>
      </c>
    </row>
    <row r="28" spans="2:3" x14ac:dyDescent="0.2">
      <c r="B28" s="3">
        <v>0.5</v>
      </c>
      <c r="C28" s="3">
        <v>3</v>
      </c>
    </row>
    <row r="29" spans="2:3" x14ac:dyDescent="0.2">
      <c r="B29" s="3">
        <v>0.5</v>
      </c>
      <c r="C29" s="3">
        <v>3</v>
      </c>
    </row>
    <row r="30" spans="2:3" x14ac:dyDescent="0.2">
      <c r="B30" s="3">
        <v>0.75</v>
      </c>
      <c r="C30" s="3">
        <v>2.5</v>
      </c>
    </row>
    <row r="31" spans="2:3" x14ac:dyDescent="0.2">
      <c r="B31" s="3">
        <v>0.75</v>
      </c>
      <c r="C31" s="3">
        <v>2.25</v>
      </c>
    </row>
    <row r="32" spans="2:3" x14ac:dyDescent="0.2">
      <c r="B32" s="3">
        <v>0.9</v>
      </c>
      <c r="C32" s="3">
        <v>2.35</v>
      </c>
    </row>
    <row r="33" spans="2:3" x14ac:dyDescent="0.2">
      <c r="B33" s="3">
        <v>0.9</v>
      </c>
      <c r="C33" s="3">
        <v>2.5</v>
      </c>
    </row>
    <row r="34" spans="2:3" x14ac:dyDescent="0.2">
      <c r="B34" s="3">
        <v>1</v>
      </c>
      <c r="C34" s="3">
        <v>2</v>
      </c>
    </row>
    <row r="35" spans="2:3" x14ac:dyDescent="0.2">
      <c r="B35" s="3">
        <v>1.1000000000000001</v>
      </c>
      <c r="C35" s="3">
        <v>2</v>
      </c>
    </row>
    <row r="36" spans="2:3" x14ac:dyDescent="0.2">
      <c r="B36" s="3">
        <v>1.5</v>
      </c>
      <c r="C36" s="3">
        <v>1.5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17C2A-9BE8-4CF2-98F0-A6D736652F26}">
  <sheetPr codeName="Blad6"/>
  <dimension ref="B1:AD357"/>
  <sheetViews>
    <sheetView topLeftCell="C1" workbookViewId="0">
      <selection activeCell="F11" sqref="F11"/>
    </sheetView>
  </sheetViews>
  <sheetFormatPr defaultRowHeight="12.6" x14ac:dyDescent="0.2"/>
  <cols>
    <col min="2" max="2" width="10.36328125" bestFit="1" customWidth="1"/>
    <col min="3" max="3" width="18.7265625" bestFit="1" customWidth="1"/>
  </cols>
  <sheetData>
    <row r="1" spans="2:30" ht="44.25" customHeight="1" x14ac:dyDescent="0.3">
      <c r="C1" s="15" t="s">
        <v>16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2:30" x14ac:dyDescent="0.2">
      <c r="D2" t="s">
        <v>2</v>
      </c>
    </row>
    <row r="3" spans="2:30" x14ac:dyDescent="0.2">
      <c r="B3" s="5" t="s">
        <v>4</v>
      </c>
      <c r="C3" s="6" t="s">
        <v>7</v>
      </c>
      <c r="D3">
        <v>0.25</v>
      </c>
      <c r="E3">
        <v>0.3</v>
      </c>
      <c r="F3">
        <v>0.35</v>
      </c>
      <c r="G3">
        <v>0.39999999999999997</v>
      </c>
      <c r="H3">
        <v>0.44999999999999996</v>
      </c>
      <c r="I3">
        <v>0.49999999999999994</v>
      </c>
      <c r="J3">
        <v>0.54999999999999993</v>
      </c>
      <c r="K3">
        <v>0.6</v>
      </c>
      <c r="L3">
        <v>0.65</v>
      </c>
      <c r="M3">
        <v>0.70000000000000007</v>
      </c>
      <c r="N3">
        <v>0.75000000000000011</v>
      </c>
      <c r="O3">
        <v>0.80000000000000016</v>
      </c>
      <c r="P3">
        <v>0.8500000000000002</v>
      </c>
      <c r="Q3">
        <v>0.90000000000000024</v>
      </c>
      <c r="R3">
        <v>0.95000000000000029</v>
      </c>
      <c r="S3">
        <v>1.0000000000000002</v>
      </c>
      <c r="T3">
        <v>1.0500000000000003</v>
      </c>
      <c r="U3">
        <v>1.1000000000000003</v>
      </c>
      <c r="V3">
        <v>1.1500000000000004</v>
      </c>
      <c r="W3">
        <v>1.2000000000000004</v>
      </c>
      <c r="X3">
        <v>1.2500000000000004</v>
      </c>
      <c r="Y3">
        <v>1.3000000000000005</v>
      </c>
      <c r="Z3">
        <v>1.3500000000000005</v>
      </c>
      <c r="AA3">
        <v>1.4000000000000006</v>
      </c>
      <c r="AB3">
        <v>1.4500000000000006</v>
      </c>
      <c r="AC3">
        <v>1.5000000000000007</v>
      </c>
      <c r="AD3">
        <v>2.4</v>
      </c>
    </row>
    <row r="4" spans="2:30" s="16" customFormat="1" x14ac:dyDescent="0.2">
      <c r="C4" s="16" t="s">
        <v>17</v>
      </c>
      <c r="D4" s="16" cm="1">
        <f t="array" ref="D4">AvgExceedenceValueContiguous($B5:$B357,D5:D357,7)</f>
        <v>28.702168982950848</v>
      </c>
      <c r="E4" s="16" cm="1">
        <f t="array" ref="E4">AvgExceedenceValueContiguous($B5:$B357,E5:E357,7)</f>
        <v>28.627963982950849</v>
      </c>
      <c r="F4" s="16" cm="1">
        <f t="array" ref="F4">AvgExceedenceValueContiguous($B5:$B357,F5:F357,7)</f>
        <v>28.553758982950843</v>
      </c>
      <c r="G4" s="16" cm="1">
        <f t="array" ref="G4">AvgExceedenceValueContiguous($B5:$B357,G5:G357,7)</f>
        <v>28.479553982950844</v>
      </c>
      <c r="H4" s="16" cm="1">
        <f t="array" ref="H4">AvgExceedenceValueContiguous($B5:$B357,H5:H357,7)</f>
        <v>28.405348982950844</v>
      </c>
      <c r="I4" s="16" cm="1">
        <f t="array" ref="I4">AvgExceedenceValueContiguous($B5:$B357,I5:I357,7)</f>
        <v>28.331143982950845</v>
      </c>
      <c r="J4" s="16" cm="1">
        <f t="array" ref="J4">AvgExceedenceValueContiguous($B5:$B357,J5:J357,7)</f>
        <v>28.256938982950846</v>
      </c>
      <c r="K4" s="16" cm="1">
        <f t="array" ref="K4">AvgExceedenceValueContiguous($B5:$B357,K5:K357,7)</f>
        <v>28.182733982950847</v>
      </c>
      <c r="L4" s="16" cm="1">
        <f t="array" ref="L4">AvgExceedenceValueContiguous($B5:$B357,L5:L357,7)</f>
        <v>28.108528982950848</v>
      </c>
      <c r="M4" s="16" cm="1">
        <f t="array" ref="M4">AvgExceedenceValueContiguous($B5:$B357,M5:M357,7)</f>
        <v>28.034323982950848</v>
      </c>
      <c r="N4" s="16" cm="1">
        <f t="array" ref="N4">AvgExceedenceValueContiguous($B5:$B357,N5:N357,7)</f>
        <v>27.960118982950849</v>
      </c>
      <c r="O4" s="16" cm="1">
        <f t="array" ref="O4">AvgExceedenceValueContiguous($B5:$B357,O5:O357,7)</f>
        <v>27.885913982950843</v>
      </c>
      <c r="P4" s="16" cm="1">
        <f t="array" ref="P4">AvgExceedenceValueContiguous($B5:$B357,P5:P357,7)</f>
        <v>27.811708982950844</v>
      </c>
      <c r="Q4" s="16" cm="1">
        <f t="array" ref="Q4">AvgExceedenceValueContiguous($B5:$B357,Q5:Q357,7)</f>
        <v>27.737503982950845</v>
      </c>
      <c r="R4" s="16" cm="1">
        <f t="array" ref="R4">AvgExceedenceValueContiguous($B5:$B357,R5:R357,7)</f>
        <v>27.663298982950845</v>
      </c>
      <c r="S4" s="16" cm="1">
        <f t="array" ref="S4">AvgExceedenceValueContiguous($B5:$B357,S5:S357,7)</f>
        <v>27.589093982950846</v>
      </c>
      <c r="T4" s="16" cm="1">
        <f t="array" ref="T4">AvgExceedenceValueContiguous($B5:$B357,T5:T357,7)</f>
        <v>27.514888982950847</v>
      </c>
      <c r="U4" s="16" cm="1">
        <f t="array" ref="U4">AvgExceedenceValueContiguous($B5:$B357,U5:U357,7)</f>
        <v>27.440683982950848</v>
      </c>
      <c r="V4" s="16" cm="1">
        <f t="array" ref="V4">AvgExceedenceValueContiguous($B5:$B357,V5:V357,7)</f>
        <v>27.366478982950849</v>
      </c>
      <c r="W4" s="16" cm="1">
        <f t="array" ref="W4">AvgExceedenceValueContiguous($B5:$B357,W5:W357,7)</f>
        <v>27.292273982950849</v>
      </c>
      <c r="X4" s="16" cm="1">
        <f t="array" ref="X4">AvgExceedenceValueContiguous($B5:$B357,X5:X357,7)</f>
        <v>27.218068982950843</v>
      </c>
      <c r="Y4" s="16" cm="1">
        <f t="array" ref="Y4">AvgExceedenceValueContiguous($B5:$B357,Y5:Y357,7)</f>
        <v>27.143863982950844</v>
      </c>
      <c r="Z4" s="16" cm="1">
        <f t="array" ref="Z4">AvgExceedenceValueContiguous($B5:$B357,Z5:Z357,7)</f>
        <v>27.069658982950845</v>
      </c>
      <c r="AA4" s="16" cm="1">
        <f t="array" ref="AA4">AvgExceedenceValueContiguous($B5:$B357,AA5:AA357,7)</f>
        <v>26.995453982950846</v>
      </c>
      <c r="AB4" s="16" cm="1">
        <f t="array" ref="AB4">AvgExceedenceValueContiguous($B5:$B357,AB5:AB357,7)</f>
        <v>26.921248982950846</v>
      </c>
      <c r="AC4" s="16" cm="1">
        <f t="array" ref="AC4">AvgExceedenceValueContiguous($B5:$B357,AC5:AC357,7)</f>
        <v>26.847043982950847</v>
      </c>
    </row>
    <row r="5" spans="2:30" x14ac:dyDescent="0.2">
      <c r="B5" s="7">
        <v>44573</v>
      </c>
      <c r="C5" s="8">
        <v>7.4145038167938928</v>
      </c>
      <c r="D5">
        <f>(-1.4841*D$3+3.6472)+$C5</f>
        <v>10.690678816793893</v>
      </c>
      <c r="E5">
        <f t="shared" ref="E5:T20" si="0">(-1.4841*E$3+3.6472)+$C5</f>
        <v>10.616473816793892</v>
      </c>
      <c r="F5">
        <f t="shared" si="0"/>
        <v>10.542268816793893</v>
      </c>
      <c r="G5">
        <f t="shared" si="0"/>
        <v>10.468063816793894</v>
      </c>
      <c r="H5">
        <f t="shared" si="0"/>
        <v>10.393858816793893</v>
      </c>
      <c r="I5">
        <f t="shared" si="0"/>
        <v>10.319653816793894</v>
      </c>
      <c r="J5">
        <f t="shared" si="0"/>
        <v>10.245448816793893</v>
      </c>
      <c r="K5">
        <f t="shared" si="0"/>
        <v>10.171243816793893</v>
      </c>
      <c r="L5">
        <f t="shared" si="0"/>
        <v>10.097038816793892</v>
      </c>
      <c r="M5">
        <f t="shared" si="0"/>
        <v>10.022833816793893</v>
      </c>
      <c r="N5">
        <f t="shared" si="0"/>
        <v>9.9486288167938923</v>
      </c>
      <c r="O5">
        <f t="shared" si="0"/>
        <v>9.8744238167938931</v>
      </c>
      <c r="P5">
        <f t="shared" si="0"/>
        <v>9.800218816793894</v>
      </c>
      <c r="Q5">
        <f t="shared" si="0"/>
        <v>9.726013816793893</v>
      </c>
      <c r="R5">
        <f t="shared" si="0"/>
        <v>9.651808816793892</v>
      </c>
      <c r="S5">
        <f t="shared" si="0"/>
        <v>9.5776038167938928</v>
      </c>
      <c r="T5">
        <f t="shared" si="0"/>
        <v>9.5033988167938936</v>
      </c>
      <c r="U5">
        <f t="shared" ref="U5:AD20" si="1">(-1.4841*U$3+3.6472)+$C5</f>
        <v>9.4291938167938927</v>
      </c>
      <c r="V5">
        <f t="shared" si="1"/>
        <v>9.3549888167938917</v>
      </c>
      <c r="W5">
        <f t="shared" si="1"/>
        <v>9.2807838167938925</v>
      </c>
      <c r="X5">
        <f t="shared" si="1"/>
        <v>9.2065788167938933</v>
      </c>
      <c r="Y5">
        <f t="shared" si="1"/>
        <v>9.1323738167938924</v>
      </c>
      <c r="Z5">
        <f t="shared" si="1"/>
        <v>9.0581688167938914</v>
      </c>
      <c r="AA5">
        <f t="shared" si="1"/>
        <v>8.9839638167938922</v>
      </c>
      <c r="AB5">
        <f t="shared" si="1"/>
        <v>8.909758816793893</v>
      </c>
      <c r="AC5">
        <f t="shared" si="1"/>
        <v>8.8355538167938921</v>
      </c>
      <c r="AD5">
        <f t="shared" si="1"/>
        <v>7.4998638167938934</v>
      </c>
    </row>
    <row r="6" spans="2:30" x14ac:dyDescent="0.2">
      <c r="B6" s="7">
        <v>44574</v>
      </c>
      <c r="C6" s="8">
        <v>8.5131944444444443</v>
      </c>
      <c r="D6">
        <f t="shared" ref="D6:D69" si="2">(-1.4841*D$3+3.6472)+C6</f>
        <v>11.789369444444445</v>
      </c>
      <c r="E6">
        <f t="shared" si="0"/>
        <v>11.715164444444444</v>
      </c>
      <c r="F6">
        <f t="shared" si="0"/>
        <v>11.640959444444444</v>
      </c>
      <c r="G6">
        <f t="shared" si="0"/>
        <v>11.566754444444445</v>
      </c>
      <c r="H6">
        <f t="shared" si="0"/>
        <v>11.492549444444444</v>
      </c>
      <c r="I6">
        <f t="shared" si="0"/>
        <v>11.418344444444445</v>
      </c>
      <c r="J6">
        <f t="shared" si="0"/>
        <v>11.344139444444444</v>
      </c>
      <c r="K6">
        <f t="shared" si="0"/>
        <v>11.269934444444445</v>
      </c>
      <c r="L6">
        <f t="shared" si="0"/>
        <v>11.195729444444444</v>
      </c>
      <c r="M6">
        <f t="shared" si="0"/>
        <v>11.121524444444445</v>
      </c>
      <c r="N6">
        <f t="shared" si="0"/>
        <v>11.047319444444444</v>
      </c>
      <c r="O6">
        <f t="shared" si="0"/>
        <v>10.973114444444445</v>
      </c>
      <c r="P6">
        <f t="shared" si="0"/>
        <v>10.898909444444445</v>
      </c>
      <c r="Q6">
        <f t="shared" si="0"/>
        <v>10.824704444444444</v>
      </c>
      <c r="R6">
        <f t="shared" si="0"/>
        <v>10.750499444444443</v>
      </c>
      <c r="S6">
        <f t="shared" si="0"/>
        <v>10.676294444444444</v>
      </c>
      <c r="T6">
        <f t="shared" si="0"/>
        <v>10.602089444444445</v>
      </c>
      <c r="U6">
        <f t="shared" si="1"/>
        <v>10.527884444444444</v>
      </c>
      <c r="V6">
        <f t="shared" si="1"/>
        <v>10.453679444444443</v>
      </c>
      <c r="W6">
        <f t="shared" si="1"/>
        <v>10.379474444444444</v>
      </c>
      <c r="X6">
        <f t="shared" si="1"/>
        <v>10.305269444444445</v>
      </c>
      <c r="Y6">
        <f t="shared" si="1"/>
        <v>10.231064444444444</v>
      </c>
      <c r="Z6">
        <f t="shared" si="1"/>
        <v>10.156859444444443</v>
      </c>
      <c r="AA6">
        <f t="shared" si="1"/>
        <v>10.082654444444444</v>
      </c>
      <c r="AB6">
        <f t="shared" si="1"/>
        <v>10.008449444444445</v>
      </c>
      <c r="AC6">
        <f t="shared" si="1"/>
        <v>9.9342444444444435</v>
      </c>
      <c r="AD6">
        <f t="shared" si="1"/>
        <v>8.5985544444444457</v>
      </c>
    </row>
    <row r="7" spans="2:30" x14ac:dyDescent="0.2">
      <c r="B7" s="7">
        <v>44575</v>
      </c>
      <c r="C7" s="8">
        <v>7.8770833333333306</v>
      </c>
      <c r="D7">
        <f t="shared" si="2"/>
        <v>11.15325833333333</v>
      </c>
      <c r="E7">
        <f t="shared" si="0"/>
        <v>11.079053333333331</v>
      </c>
      <c r="F7">
        <f t="shared" si="0"/>
        <v>11.004848333333332</v>
      </c>
      <c r="G7">
        <f t="shared" si="0"/>
        <v>10.930643333333331</v>
      </c>
      <c r="H7">
        <f t="shared" si="0"/>
        <v>10.856438333333331</v>
      </c>
      <c r="I7">
        <f t="shared" si="0"/>
        <v>10.78223333333333</v>
      </c>
      <c r="J7">
        <f t="shared" si="0"/>
        <v>10.708028333333331</v>
      </c>
      <c r="K7">
        <f t="shared" si="0"/>
        <v>10.63382333333333</v>
      </c>
      <c r="L7">
        <f t="shared" si="0"/>
        <v>10.559618333333331</v>
      </c>
      <c r="M7">
        <f t="shared" si="0"/>
        <v>10.48541333333333</v>
      </c>
      <c r="N7">
        <f t="shared" si="0"/>
        <v>10.411208333333331</v>
      </c>
      <c r="O7">
        <f t="shared" si="0"/>
        <v>10.337003333333332</v>
      </c>
      <c r="P7">
        <f t="shared" si="0"/>
        <v>10.262798333333331</v>
      </c>
      <c r="Q7">
        <f t="shared" si="0"/>
        <v>10.18859333333333</v>
      </c>
      <c r="R7">
        <f t="shared" si="0"/>
        <v>10.114388333333331</v>
      </c>
      <c r="S7">
        <f t="shared" si="0"/>
        <v>10.040183333333331</v>
      </c>
      <c r="T7">
        <f t="shared" si="0"/>
        <v>9.9659783333333305</v>
      </c>
      <c r="U7">
        <f t="shared" si="1"/>
        <v>9.8917733333333295</v>
      </c>
      <c r="V7">
        <f t="shared" si="1"/>
        <v>9.8175683333333303</v>
      </c>
      <c r="W7">
        <f t="shared" si="1"/>
        <v>9.7433633333333312</v>
      </c>
      <c r="X7">
        <f t="shared" si="1"/>
        <v>9.6691583333333302</v>
      </c>
      <c r="Y7">
        <f t="shared" si="1"/>
        <v>9.5949533333333292</v>
      </c>
      <c r="Z7">
        <f t="shared" si="1"/>
        <v>9.52074833333333</v>
      </c>
      <c r="AA7">
        <f t="shared" si="1"/>
        <v>9.4465433333333308</v>
      </c>
      <c r="AB7">
        <f t="shared" si="1"/>
        <v>9.3723383333333299</v>
      </c>
      <c r="AC7">
        <f t="shared" si="1"/>
        <v>9.2981333333333289</v>
      </c>
      <c r="AD7">
        <f t="shared" si="1"/>
        <v>7.9624433333333311</v>
      </c>
    </row>
    <row r="8" spans="2:30" x14ac:dyDescent="0.2">
      <c r="B8" s="7">
        <v>44576</v>
      </c>
      <c r="C8" s="8">
        <v>7.773611111111113</v>
      </c>
      <c r="D8">
        <f t="shared" si="2"/>
        <v>11.049786111111114</v>
      </c>
      <c r="E8">
        <f t="shared" si="0"/>
        <v>10.975581111111113</v>
      </c>
      <c r="F8">
        <f t="shared" si="0"/>
        <v>10.901376111111112</v>
      </c>
      <c r="G8">
        <f t="shared" si="0"/>
        <v>10.827171111111113</v>
      </c>
      <c r="H8">
        <f t="shared" si="0"/>
        <v>10.752966111111114</v>
      </c>
      <c r="I8">
        <f t="shared" si="0"/>
        <v>10.678761111111113</v>
      </c>
      <c r="J8">
        <f t="shared" si="0"/>
        <v>10.604556111111114</v>
      </c>
      <c r="K8">
        <f t="shared" si="0"/>
        <v>10.530351111111113</v>
      </c>
      <c r="L8">
        <f t="shared" si="0"/>
        <v>10.456146111111114</v>
      </c>
      <c r="M8">
        <f t="shared" si="0"/>
        <v>10.381941111111113</v>
      </c>
      <c r="N8">
        <f t="shared" si="0"/>
        <v>10.307736111111113</v>
      </c>
      <c r="O8">
        <f t="shared" si="0"/>
        <v>10.233531111111112</v>
      </c>
      <c r="P8">
        <f t="shared" si="0"/>
        <v>10.159326111111113</v>
      </c>
      <c r="Q8">
        <f t="shared" si="0"/>
        <v>10.085121111111114</v>
      </c>
      <c r="R8">
        <f t="shared" si="0"/>
        <v>10.010916111111113</v>
      </c>
      <c r="S8">
        <f t="shared" si="0"/>
        <v>9.9367111111111122</v>
      </c>
      <c r="T8">
        <f t="shared" si="0"/>
        <v>9.862506111111113</v>
      </c>
      <c r="U8">
        <f t="shared" si="1"/>
        <v>9.7883011111111138</v>
      </c>
      <c r="V8">
        <f t="shared" si="1"/>
        <v>9.7140961111111128</v>
      </c>
      <c r="W8">
        <f t="shared" si="1"/>
        <v>9.6398911111111119</v>
      </c>
      <c r="X8">
        <f t="shared" si="1"/>
        <v>9.5656861111111127</v>
      </c>
      <c r="Y8">
        <f t="shared" si="1"/>
        <v>9.4914811111111135</v>
      </c>
      <c r="Z8">
        <f t="shared" si="1"/>
        <v>9.4172761111111125</v>
      </c>
      <c r="AA8">
        <f t="shared" si="1"/>
        <v>9.3430711111111115</v>
      </c>
      <c r="AB8">
        <f t="shared" si="1"/>
        <v>9.2688661111111124</v>
      </c>
      <c r="AC8">
        <f t="shared" si="1"/>
        <v>9.1946611111111132</v>
      </c>
      <c r="AD8">
        <f t="shared" si="1"/>
        <v>7.8589711111111136</v>
      </c>
    </row>
    <row r="9" spans="2:30" x14ac:dyDescent="0.2">
      <c r="B9" s="7">
        <v>44577</v>
      </c>
      <c r="C9" s="8">
        <v>7.9298611111111068</v>
      </c>
      <c r="D9">
        <f t="shared" si="2"/>
        <v>11.206036111111107</v>
      </c>
      <c r="E9">
        <f t="shared" si="0"/>
        <v>11.131831111111108</v>
      </c>
      <c r="F9">
        <f t="shared" si="0"/>
        <v>11.057626111111107</v>
      </c>
      <c r="G9">
        <f t="shared" si="0"/>
        <v>10.983421111111106</v>
      </c>
      <c r="H9">
        <f t="shared" si="0"/>
        <v>10.909216111111107</v>
      </c>
      <c r="I9">
        <f t="shared" si="0"/>
        <v>10.835011111111108</v>
      </c>
      <c r="J9">
        <f t="shared" si="0"/>
        <v>10.760806111111107</v>
      </c>
      <c r="K9">
        <f t="shared" si="0"/>
        <v>10.686601111111107</v>
      </c>
      <c r="L9">
        <f t="shared" si="0"/>
        <v>10.612396111111106</v>
      </c>
      <c r="M9">
        <f t="shared" si="0"/>
        <v>10.538191111111107</v>
      </c>
      <c r="N9">
        <f t="shared" si="0"/>
        <v>10.463986111111108</v>
      </c>
      <c r="O9">
        <f t="shared" si="0"/>
        <v>10.389781111111107</v>
      </c>
      <c r="P9">
        <f t="shared" si="0"/>
        <v>10.315576111111106</v>
      </c>
      <c r="Q9">
        <f t="shared" si="0"/>
        <v>10.241371111111107</v>
      </c>
      <c r="R9">
        <f t="shared" si="0"/>
        <v>10.167166111111108</v>
      </c>
      <c r="S9">
        <f t="shared" si="0"/>
        <v>10.092961111111107</v>
      </c>
      <c r="T9">
        <f t="shared" si="0"/>
        <v>10.018756111111106</v>
      </c>
      <c r="U9">
        <f t="shared" si="1"/>
        <v>9.9445511111111067</v>
      </c>
      <c r="V9">
        <f t="shared" si="1"/>
        <v>9.8703461111111075</v>
      </c>
      <c r="W9">
        <f t="shared" si="1"/>
        <v>9.7961411111111065</v>
      </c>
      <c r="X9">
        <f t="shared" si="1"/>
        <v>9.7219361111111056</v>
      </c>
      <c r="Y9">
        <f t="shared" si="1"/>
        <v>9.6477311111111064</v>
      </c>
      <c r="Z9">
        <f t="shared" si="1"/>
        <v>9.5735261111111072</v>
      </c>
      <c r="AA9">
        <f t="shared" si="1"/>
        <v>9.4993211111111062</v>
      </c>
      <c r="AB9">
        <f t="shared" si="1"/>
        <v>9.4251161111111053</v>
      </c>
      <c r="AC9">
        <f t="shared" si="1"/>
        <v>9.3509111111111061</v>
      </c>
      <c r="AD9">
        <f t="shared" si="1"/>
        <v>8.0152211111111065</v>
      </c>
    </row>
    <row r="10" spans="2:30" x14ac:dyDescent="0.2">
      <c r="B10" s="7">
        <v>44578</v>
      </c>
      <c r="C10" s="8">
        <v>8.8479166666666664</v>
      </c>
      <c r="D10">
        <f t="shared" si="2"/>
        <v>12.124091666666667</v>
      </c>
      <c r="E10">
        <f t="shared" si="0"/>
        <v>12.049886666666666</v>
      </c>
      <c r="F10">
        <f t="shared" si="0"/>
        <v>11.975681666666667</v>
      </c>
      <c r="G10">
        <f t="shared" si="0"/>
        <v>11.901476666666667</v>
      </c>
      <c r="H10">
        <f t="shared" si="0"/>
        <v>11.827271666666666</v>
      </c>
      <c r="I10">
        <f t="shared" si="0"/>
        <v>11.753066666666667</v>
      </c>
      <c r="J10">
        <f t="shared" si="0"/>
        <v>11.678861666666666</v>
      </c>
      <c r="K10">
        <f t="shared" si="0"/>
        <v>11.604656666666667</v>
      </c>
      <c r="L10">
        <f t="shared" si="0"/>
        <v>11.530451666666666</v>
      </c>
      <c r="M10">
        <f t="shared" si="0"/>
        <v>11.456246666666667</v>
      </c>
      <c r="N10">
        <f t="shared" si="0"/>
        <v>11.382041666666666</v>
      </c>
      <c r="O10">
        <f t="shared" si="0"/>
        <v>11.307836666666667</v>
      </c>
      <c r="P10">
        <f t="shared" si="0"/>
        <v>11.233631666666668</v>
      </c>
      <c r="Q10">
        <f t="shared" si="0"/>
        <v>11.159426666666667</v>
      </c>
      <c r="R10">
        <f t="shared" si="0"/>
        <v>11.085221666666666</v>
      </c>
      <c r="S10">
        <f t="shared" si="0"/>
        <v>11.011016666666666</v>
      </c>
      <c r="T10">
        <f t="shared" si="0"/>
        <v>10.936811666666667</v>
      </c>
      <c r="U10">
        <f t="shared" si="1"/>
        <v>10.862606666666666</v>
      </c>
      <c r="V10">
        <f t="shared" si="1"/>
        <v>10.788401666666665</v>
      </c>
      <c r="W10">
        <f t="shared" si="1"/>
        <v>10.714196666666666</v>
      </c>
      <c r="X10">
        <f t="shared" si="1"/>
        <v>10.639991666666667</v>
      </c>
      <c r="Y10">
        <f t="shared" si="1"/>
        <v>10.565786666666666</v>
      </c>
      <c r="Z10">
        <f t="shared" si="1"/>
        <v>10.491581666666665</v>
      </c>
      <c r="AA10">
        <f t="shared" si="1"/>
        <v>10.417376666666666</v>
      </c>
      <c r="AB10">
        <f t="shared" si="1"/>
        <v>10.343171666666667</v>
      </c>
      <c r="AC10">
        <f t="shared" si="1"/>
        <v>10.268966666666666</v>
      </c>
      <c r="AD10">
        <f t="shared" si="1"/>
        <v>8.9332766666666679</v>
      </c>
    </row>
    <row r="11" spans="2:30" x14ac:dyDescent="0.2">
      <c r="B11" s="7">
        <v>44579</v>
      </c>
      <c r="C11" s="8">
        <v>7.3472222222222232</v>
      </c>
      <c r="D11">
        <f t="shared" si="2"/>
        <v>10.623397222222223</v>
      </c>
      <c r="E11">
        <f t="shared" si="0"/>
        <v>10.549192222222224</v>
      </c>
      <c r="F11">
        <f t="shared" si="0"/>
        <v>10.474987222222223</v>
      </c>
      <c r="G11">
        <f t="shared" si="0"/>
        <v>10.400782222222222</v>
      </c>
      <c r="H11">
        <f t="shared" si="0"/>
        <v>10.326577222222223</v>
      </c>
      <c r="I11">
        <f t="shared" si="0"/>
        <v>10.252372222222224</v>
      </c>
      <c r="J11">
        <f t="shared" si="0"/>
        <v>10.178167222222223</v>
      </c>
      <c r="K11">
        <f t="shared" si="0"/>
        <v>10.103962222222224</v>
      </c>
      <c r="L11">
        <f t="shared" si="0"/>
        <v>10.029757222222223</v>
      </c>
      <c r="M11">
        <f t="shared" si="0"/>
        <v>9.9555522222222237</v>
      </c>
      <c r="N11">
        <f t="shared" si="0"/>
        <v>9.8813472222222245</v>
      </c>
      <c r="O11">
        <f t="shared" si="0"/>
        <v>9.8071422222222235</v>
      </c>
      <c r="P11">
        <f t="shared" si="0"/>
        <v>9.7329372222222226</v>
      </c>
      <c r="Q11">
        <f t="shared" si="0"/>
        <v>9.6587322222222234</v>
      </c>
      <c r="R11">
        <f t="shared" si="0"/>
        <v>9.5845272222222242</v>
      </c>
      <c r="S11">
        <f t="shared" si="0"/>
        <v>9.5103222222222232</v>
      </c>
      <c r="T11">
        <f t="shared" si="0"/>
        <v>9.4361172222222223</v>
      </c>
      <c r="U11">
        <f t="shared" si="1"/>
        <v>9.3619122222222231</v>
      </c>
      <c r="V11">
        <f t="shared" si="1"/>
        <v>9.2877072222222239</v>
      </c>
      <c r="W11">
        <f t="shared" si="1"/>
        <v>9.2135022222222229</v>
      </c>
      <c r="X11">
        <f t="shared" si="1"/>
        <v>9.139297222222222</v>
      </c>
      <c r="Y11">
        <f t="shared" si="1"/>
        <v>9.0650922222222228</v>
      </c>
      <c r="Z11">
        <f t="shared" si="1"/>
        <v>8.9908872222222236</v>
      </c>
      <c r="AA11">
        <f t="shared" si="1"/>
        <v>8.9166822222222226</v>
      </c>
      <c r="AB11">
        <f t="shared" si="1"/>
        <v>8.8424772222222217</v>
      </c>
      <c r="AC11">
        <f t="shared" si="1"/>
        <v>8.7682722222222225</v>
      </c>
      <c r="AD11">
        <f t="shared" si="1"/>
        <v>7.4325822222222238</v>
      </c>
    </row>
    <row r="12" spans="2:30" x14ac:dyDescent="0.2">
      <c r="B12" s="7">
        <v>44580</v>
      </c>
      <c r="C12" s="8">
        <v>7.8791666666666691</v>
      </c>
      <c r="D12">
        <f t="shared" si="2"/>
        <v>11.155341666666668</v>
      </c>
      <c r="E12">
        <f t="shared" si="0"/>
        <v>11.081136666666669</v>
      </c>
      <c r="F12">
        <f t="shared" si="0"/>
        <v>11.00693166666667</v>
      </c>
      <c r="G12">
        <f t="shared" si="0"/>
        <v>10.932726666666669</v>
      </c>
      <c r="H12">
        <f t="shared" si="0"/>
        <v>10.85852166666667</v>
      </c>
      <c r="I12">
        <f t="shared" si="0"/>
        <v>10.784316666666669</v>
      </c>
      <c r="J12">
        <f t="shared" si="0"/>
        <v>10.71011166666667</v>
      </c>
      <c r="K12">
        <f t="shared" si="0"/>
        <v>10.635906666666669</v>
      </c>
      <c r="L12">
        <f t="shared" si="0"/>
        <v>10.56170166666667</v>
      </c>
      <c r="M12">
        <f t="shared" si="0"/>
        <v>10.487496666666669</v>
      </c>
      <c r="N12">
        <f t="shared" si="0"/>
        <v>10.413291666666669</v>
      </c>
      <c r="O12">
        <f t="shared" si="0"/>
        <v>10.33908666666667</v>
      </c>
      <c r="P12">
        <f t="shared" si="0"/>
        <v>10.264881666666669</v>
      </c>
      <c r="Q12">
        <f t="shared" si="0"/>
        <v>10.190676666666668</v>
      </c>
      <c r="R12">
        <f t="shared" si="0"/>
        <v>10.116471666666669</v>
      </c>
      <c r="S12">
        <f t="shared" si="0"/>
        <v>10.04226666666667</v>
      </c>
      <c r="T12">
        <f t="shared" si="0"/>
        <v>9.968061666666669</v>
      </c>
      <c r="U12">
        <f t="shared" si="1"/>
        <v>9.8938566666666681</v>
      </c>
      <c r="V12">
        <f t="shared" si="1"/>
        <v>9.8196516666666689</v>
      </c>
      <c r="W12">
        <f t="shared" si="1"/>
        <v>9.7454466666666697</v>
      </c>
      <c r="X12">
        <f t="shared" si="1"/>
        <v>9.6712416666666687</v>
      </c>
      <c r="Y12">
        <f t="shared" si="1"/>
        <v>9.5970366666666678</v>
      </c>
      <c r="Z12">
        <f t="shared" si="1"/>
        <v>9.5228316666666686</v>
      </c>
      <c r="AA12">
        <f t="shared" si="1"/>
        <v>9.4486266666666694</v>
      </c>
      <c r="AB12">
        <f t="shared" si="1"/>
        <v>9.3744216666666684</v>
      </c>
      <c r="AC12">
        <f t="shared" si="1"/>
        <v>9.3002166666666675</v>
      </c>
      <c r="AD12">
        <f t="shared" si="1"/>
        <v>7.9645266666666696</v>
      </c>
    </row>
    <row r="13" spans="2:30" x14ac:dyDescent="0.2">
      <c r="B13" s="7">
        <v>44581</v>
      </c>
      <c r="C13" s="8">
        <v>6.8472222222222232</v>
      </c>
      <c r="D13">
        <f t="shared" si="2"/>
        <v>10.123397222222223</v>
      </c>
      <c r="E13">
        <f t="shared" si="0"/>
        <v>10.049192222222224</v>
      </c>
      <c r="F13">
        <f t="shared" si="0"/>
        <v>9.9749872222222233</v>
      </c>
      <c r="G13">
        <f t="shared" si="0"/>
        <v>9.9007822222222224</v>
      </c>
      <c r="H13">
        <f t="shared" si="0"/>
        <v>9.8265772222222232</v>
      </c>
      <c r="I13">
        <f t="shared" si="0"/>
        <v>9.752372222222224</v>
      </c>
      <c r="J13">
        <f t="shared" si="0"/>
        <v>9.678167222222223</v>
      </c>
      <c r="K13">
        <f t="shared" si="0"/>
        <v>9.6039622222222238</v>
      </c>
      <c r="L13">
        <f t="shared" si="0"/>
        <v>9.5297572222222229</v>
      </c>
      <c r="M13">
        <f t="shared" si="0"/>
        <v>9.4555522222222237</v>
      </c>
      <c r="N13">
        <f t="shared" si="0"/>
        <v>9.3813472222222245</v>
      </c>
      <c r="O13">
        <f t="shared" si="0"/>
        <v>9.3071422222222235</v>
      </c>
      <c r="P13">
        <f t="shared" si="0"/>
        <v>9.2329372222222226</v>
      </c>
      <c r="Q13">
        <f t="shared" si="0"/>
        <v>9.1587322222222234</v>
      </c>
      <c r="R13">
        <f t="shared" si="0"/>
        <v>9.0845272222222242</v>
      </c>
      <c r="S13">
        <f t="shared" si="0"/>
        <v>9.0103222222222232</v>
      </c>
      <c r="T13">
        <f t="shared" si="0"/>
        <v>8.9361172222222223</v>
      </c>
      <c r="U13">
        <f t="shared" si="1"/>
        <v>8.8619122222222231</v>
      </c>
      <c r="V13">
        <f t="shared" si="1"/>
        <v>8.7877072222222239</v>
      </c>
      <c r="W13">
        <f t="shared" si="1"/>
        <v>8.7135022222222229</v>
      </c>
      <c r="X13">
        <f t="shared" si="1"/>
        <v>8.639297222222222</v>
      </c>
      <c r="Y13">
        <f t="shared" si="1"/>
        <v>8.5650922222222228</v>
      </c>
      <c r="Z13">
        <f t="shared" si="1"/>
        <v>8.4908872222222236</v>
      </c>
      <c r="AA13">
        <f t="shared" si="1"/>
        <v>8.4166822222222226</v>
      </c>
      <c r="AB13">
        <f t="shared" si="1"/>
        <v>8.3424772222222217</v>
      </c>
      <c r="AC13">
        <f t="shared" si="1"/>
        <v>8.2682722222222225</v>
      </c>
      <c r="AD13">
        <f t="shared" si="1"/>
        <v>6.9325822222222238</v>
      </c>
    </row>
    <row r="14" spans="2:30" x14ac:dyDescent="0.2">
      <c r="B14" s="7">
        <v>44582</v>
      </c>
      <c r="C14" s="8">
        <v>6.4368055555555568</v>
      </c>
      <c r="D14">
        <f t="shared" si="2"/>
        <v>9.7129805555555571</v>
      </c>
      <c r="E14">
        <f t="shared" si="0"/>
        <v>9.6387755555555579</v>
      </c>
      <c r="F14">
        <f t="shared" si="0"/>
        <v>9.5645705555555569</v>
      </c>
      <c r="G14">
        <f t="shared" si="0"/>
        <v>9.4903655555555559</v>
      </c>
      <c r="H14">
        <f t="shared" si="0"/>
        <v>9.4161605555555568</v>
      </c>
      <c r="I14">
        <f t="shared" si="0"/>
        <v>9.3419555555555576</v>
      </c>
      <c r="J14">
        <f t="shared" si="0"/>
        <v>9.2677505555555566</v>
      </c>
      <c r="K14">
        <f t="shared" si="0"/>
        <v>9.1935455555555574</v>
      </c>
      <c r="L14">
        <f t="shared" si="0"/>
        <v>9.1193405555555564</v>
      </c>
      <c r="M14">
        <f t="shared" si="0"/>
        <v>9.0451355555555573</v>
      </c>
      <c r="N14">
        <f t="shared" si="0"/>
        <v>8.9709305555555581</v>
      </c>
      <c r="O14">
        <f t="shared" si="0"/>
        <v>8.8967255555555571</v>
      </c>
      <c r="P14">
        <f t="shared" si="0"/>
        <v>8.8225205555555561</v>
      </c>
      <c r="Q14">
        <f t="shared" si="0"/>
        <v>8.748315555555557</v>
      </c>
      <c r="R14">
        <f t="shared" si="0"/>
        <v>8.6741105555555578</v>
      </c>
      <c r="S14">
        <f t="shared" si="0"/>
        <v>8.5999055555555568</v>
      </c>
      <c r="T14">
        <f t="shared" si="0"/>
        <v>8.5257005555555558</v>
      </c>
      <c r="U14">
        <f t="shared" si="1"/>
        <v>8.4514955555555566</v>
      </c>
      <c r="V14">
        <f t="shared" si="1"/>
        <v>8.3772905555555575</v>
      </c>
      <c r="W14">
        <f t="shared" si="1"/>
        <v>8.3030855555555565</v>
      </c>
      <c r="X14">
        <f t="shared" si="1"/>
        <v>8.2288805555555555</v>
      </c>
      <c r="Y14">
        <f t="shared" si="1"/>
        <v>8.1546755555555563</v>
      </c>
      <c r="Z14">
        <f t="shared" si="1"/>
        <v>8.0804705555555572</v>
      </c>
      <c r="AA14">
        <f t="shared" si="1"/>
        <v>8.0062655555555562</v>
      </c>
      <c r="AB14">
        <f t="shared" si="1"/>
        <v>7.9320605555555561</v>
      </c>
      <c r="AC14">
        <f t="shared" si="1"/>
        <v>7.857855555555556</v>
      </c>
      <c r="AD14">
        <f t="shared" si="1"/>
        <v>6.5221655555555573</v>
      </c>
    </row>
    <row r="15" spans="2:30" x14ac:dyDescent="0.2">
      <c r="B15" s="7">
        <v>44583</v>
      </c>
      <c r="C15" s="8">
        <v>8.429861111111105</v>
      </c>
      <c r="D15">
        <f t="shared" si="2"/>
        <v>11.706036111111105</v>
      </c>
      <c r="E15">
        <f t="shared" si="0"/>
        <v>11.631831111111104</v>
      </c>
      <c r="F15">
        <f t="shared" si="0"/>
        <v>11.557626111111105</v>
      </c>
      <c r="G15">
        <f t="shared" si="0"/>
        <v>11.483421111111106</v>
      </c>
      <c r="H15">
        <f t="shared" si="0"/>
        <v>11.409216111111105</v>
      </c>
      <c r="I15">
        <f t="shared" si="0"/>
        <v>11.335011111111106</v>
      </c>
      <c r="J15">
        <f t="shared" si="0"/>
        <v>11.260806111111105</v>
      </c>
      <c r="K15">
        <f t="shared" si="0"/>
        <v>11.186601111111106</v>
      </c>
      <c r="L15">
        <f t="shared" si="0"/>
        <v>11.112396111111105</v>
      </c>
      <c r="M15">
        <f t="shared" si="0"/>
        <v>11.038191111111106</v>
      </c>
      <c r="N15">
        <f t="shared" si="0"/>
        <v>10.963986111111105</v>
      </c>
      <c r="O15">
        <f t="shared" si="0"/>
        <v>10.889781111111105</v>
      </c>
      <c r="P15">
        <f t="shared" si="0"/>
        <v>10.815576111111106</v>
      </c>
      <c r="Q15">
        <f t="shared" si="0"/>
        <v>10.741371111111105</v>
      </c>
      <c r="R15">
        <f t="shared" si="0"/>
        <v>10.667166111111104</v>
      </c>
      <c r="S15">
        <f t="shared" si="0"/>
        <v>10.592961111111105</v>
      </c>
      <c r="T15">
        <f t="shared" si="0"/>
        <v>10.518756111111106</v>
      </c>
      <c r="U15">
        <f t="shared" si="1"/>
        <v>10.444551111111105</v>
      </c>
      <c r="V15">
        <f t="shared" si="1"/>
        <v>10.370346111111104</v>
      </c>
      <c r="W15">
        <f t="shared" si="1"/>
        <v>10.296141111111105</v>
      </c>
      <c r="X15">
        <f t="shared" si="1"/>
        <v>10.221936111111106</v>
      </c>
      <c r="Y15">
        <f t="shared" si="1"/>
        <v>10.147731111111105</v>
      </c>
      <c r="Z15">
        <f t="shared" si="1"/>
        <v>10.073526111111104</v>
      </c>
      <c r="AA15">
        <f t="shared" si="1"/>
        <v>9.9993211111111044</v>
      </c>
      <c r="AB15">
        <f t="shared" si="1"/>
        <v>9.9251161111111053</v>
      </c>
      <c r="AC15">
        <f t="shared" si="1"/>
        <v>9.8509111111111043</v>
      </c>
      <c r="AD15">
        <f t="shared" si="1"/>
        <v>8.5152211111111065</v>
      </c>
    </row>
    <row r="16" spans="2:30" x14ac:dyDescent="0.2">
      <c r="B16" s="7">
        <v>44584</v>
      </c>
      <c r="C16" s="8">
        <v>9.0881944444444471</v>
      </c>
      <c r="D16">
        <f t="shared" si="2"/>
        <v>12.364369444444447</v>
      </c>
      <c r="E16">
        <f t="shared" si="0"/>
        <v>12.290164444444446</v>
      </c>
      <c r="F16">
        <f t="shared" si="0"/>
        <v>12.215959444444447</v>
      </c>
      <c r="G16">
        <f t="shared" si="0"/>
        <v>12.141754444444448</v>
      </c>
      <c r="H16">
        <f t="shared" si="0"/>
        <v>12.067549444444447</v>
      </c>
      <c r="I16">
        <f t="shared" si="0"/>
        <v>11.993344444444448</v>
      </c>
      <c r="J16">
        <f t="shared" si="0"/>
        <v>11.919139444444447</v>
      </c>
      <c r="K16">
        <f t="shared" si="0"/>
        <v>11.844934444444448</v>
      </c>
      <c r="L16">
        <f t="shared" si="0"/>
        <v>11.770729444444447</v>
      </c>
      <c r="M16">
        <f t="shared" si="0"/>
        <v>11.696524444444448</v>
      </c>
      <c r="N16">
        <f t="shared" si="0"/>
        <v>11.622319444444447</v>
      </c>
      <c r="O16">
        <f t="shared" si="0"/>
        <v>11.548114444444447</v>
      </c>
      <c r="P16">
        <f t="shared" si="0"/>
        <v>11.473909444444448</v>
      </c>
      <c r="Q16">
        <f t="shared" si="0"/>
        <v>11.399704444444447</v>
      </c>
      <c r="R16">
        <f t="shared" si="0"/>
        <v>11.325499444444446</v>
      </c>
      <c r="S16">
        <f t="shared" si="0"/>
        <v>11.251294444444447</v>
      </c>
      <c r="T16">
        <f t="shared" si="0"/>
        <v>11.177089444444448</v>
      </c>
      <c r="U16">
        <f t="shared" si="1"/>
        <v>11.102884444444447</v>
      </c>
      <c r="V16">
        <f t="shared" si="1"/>
        <v>11.028679444444446</v>
      </c>
      <c r="W16">
        <f t="shared" si="1"/>
        <v>10.954474444444447</v>
      </c>
      <c r="X16">
        <f t="shared" si="1"/>
        <v>10.880269444444448</v>
      </c>
      <c r="Y16">
        <f t="shared" si="1"/>
        <v>10.806064444444447</v>
      </c>
      <c r="Z16">
        <f t="shared" si="1"/>
        <v>10.731859444444446</v>
      </c>
      <c r="AA16">
        <f t="shared" si="1"/>
        <v>10.657654444444447</v>
      </c>
      <c r="AB16">
        <f t="shared" si="1"/>
        <v>10.583449444444447</v>
      </c>
      <c r="AC16">
        <f t="shared" si="1"/>
        <v>10.509244444444446</v>
      </c>
      <c r="AD16">
        <f t="shared" si="1"/>
        <v>9.1735544444444486</v>
      </c>
    </row>
    <row r="17" spans="2:30" x14ac:dyDescent="0.2">
      <c r="B17" s="7">
        <v>44585</v>
      </c>
      <c r="C17" s="8">
        <v>8.6805555555555642</v>
      </c>
      <c r="D17">
        <f t="shared" si="2"/>
        <v>11.956730555555565</v>
      </c>
      <c r="E17">
        <f t="shared" si="0"/>
        <v>11.882525555555564</v>
      </c>
      <c r="F17">
        <f t="shared" si="0"/>
        <v>11.808320555555564</v>
      </c>
      <c r="G17">
        <f t="shared" si="0"/>
        <v>11.734115555555565</v>
      </c>
      <c r="H17">
        <f t="shared" si="0"/>
        <v>11.659910555555564</v>
      </c>
      <c r="I17">
        <f t="shared" si="0"/>
        <v>11.585705555555565</v>
      </c>
      <c r="J17">
        <f t="shared" si="0"/>
        <v>11.511500555555564</v>
      </c>
      <c r="K17">
        <f t="shared" si="0"/>
        <v>11.437295555555565</v>
      </c>
      <c r="L17">
        <f t="shared" si="0"/>
        <v>11.363090555555564</v>
      </c>
      <c r="M17">
        <f t="shared" si="0"/>
        <v>11.288885555555565</v>
      </c>
      <c r="N17">
        <f t="shared" si="0"/>
        <v>11.214680555555564</v>
      </c>
      <c r="O17">
        <f t="shared" si="0"/>
        <v>11.140475555555565</v>
      </c>
      <c r="P17">
        <f t="shared" si="0"/>
        <v>11.066270555555565</v>
      </c>
      <c r="Q17">
        <f t="shared" si="0"/>
        <v>10.992065555555564</v>
      </c>
      <c r="R17">
        <f t="shared" si="0"/>
        <v>10.917860555555563</v>
      </c>
      <c r="S17">
        <f t="shared" si="0"/>
        <v>10.843655555555564</v>
      </c>
      <c r="T17">
        <f t="shared" si="0"/>
        <v>10.769450555555565</v>
      </c>
      <c r="U17">
        <f t="shared" si="1"/>
        <v>10.695245555555564</v>
      </c>
      <c r="V17">
        <f t="shared" si="1"/>
        <v>10.621040555555563</v>
      </c>
      <c r="W17">
        <f t="shared" si="1"/>
        <v>10.546835555555564</v>
      </c>
      <c r="X17">
        <f t="shared" si="1"/>
        <v>10.472630555555565</v>
      </c>
      <c r="Y17">
        <f t="shared" si="1"/>
        <v>10.398425555555564</v>
      </c>
      <c r="Z17">
        <f t="shared" si="1"/>
        <v>10.324220555555563</v>
      </c>
      <c r="AA17">
        <f t="shared" si="1"/>
        <v>10.250015555555564</v>
      </c>
      <c r="AB17">
        <f t="shared" si="1"/>
        <v>10.175810555555564</v>
      </c>
      <c r="AC17">
        <f t="shared" si="1"/>
        <v>10.101605555555563</v>
      </c>
      <c r="AD17">
        <f t="shared" si="1"/>
        <v>8.7659155555555657</v>
      </c>
    </row>
    <row r="18" spans="2:30" x14ac:dyDescent="0.2">
      <c r="B18" s="7">
        <v>44586</v>
      </c>
      <c r="C18" s="8">
        <v>7.6881944444444397</v>
      </c>
      <c r="D18">
        <f t="shared" si="2"/>
        <v>10.96436944444444</v>
      </c>
      <c r="E18">
        <f t="shared" si="0"/>
        <v>10.890164444444441</v>
      </c>
      <c r="F18">
        <f t="shared" si="0"/>
        <v>10.81595944444444</v>
      </c>
      <c r="G18">
        <f t="shared" si="0"/>
        <v>10.741754444444439</v>
      </c>
      <c r="H18">
        <f t="shared" si="0"/>
        <v>10.66754944444444</v>
      </c>
      <c r="I18">
        <f t="shared" si="0"/>
        <v>10.59334444444444</v>
      </c>
      <c r="J18">
        <f t="shared" si="0"/>
        <v>10.519139444444439</v>
      </c>
      <c r="K18">
        <f t="shared" si="0"/>
        <v>10.44493444444444</v>
      </c>
      <c r="L18">
        <f t="shared" si="0"/>
        <v>10.370729444444439</v>
      </c>
      <c r="M18">
        <f t="shared" si="0"/>
        <v>10.29652444444444</v>
      </c>
      <c r="N18">
        <f t="shared" si="0"/>
        <v>10.222319444444441</v>
      </c>
      <c r="O18">
        <f t="shared" si="0"/>
        <v>10.14811444444444</v>
      </c>
      <c r="P18">
        <f t="shared" si="0"/>
        <v>10.073909444444439</v>
      </c>
      <c r="Q18">
        <f t="shared" si="0"/>
        <v>9.9997044444444398</v>
      </c>
      <c r="R18">
        <f t="shared" si="0"/>
        <v>9.9254994444444407</v>
      </c>
      <c r="S18">
        <f t="shared" si="0"/>
        <v>9.8512944444444397</v>
      </c>
      <c r="T18">
        <f t="shared" si="0"/>
        <v>9.7770894444444387</v>
      </c>
      <c r="U18">
        <f t="shared" si="1"/>
        <v>9.7028844444444395</v>
      </c>
      <c r="V18">
        <f t="shared" si="1"/>
        <v>9.6286794444444403</v>
      </c>
      <c r="W18">
        <f t="shared" si="1"/>
        <v>9.5544744444444394</v>
      </c>
      <c r="X18">
        <f t="shared" si="1"/>
        <v>9.4802694444444384</v>
      </c>
      <c r="Y18">
        <f t="shared" si="1"/>
        <v>9.4060644444444392</v>
      </c>
      <c r="Z18">
        <f t="shared" si="1"/>
        <v>9.33185944444444</v>
      </c>
      <c r="AA18">
        <f t="shared" si="1"/>
        <v>9.2576544444444391</v>
      </c>
      <c r="AB18">
        <f t="shared" si="1"/>
        <v>9.1834494444444381</v>
      </c>
      <c r="AC18">
        <f t="shared" si="1"/>
        <v>9.1092444444444389</v>
      </c>
      <c r="AD18">
        <f t="shared" si="1"/>
        <v>7.7735544444444402</v>
      </c>
    </row>
    <row r="19" spans="2:30" x14ac:dyDescent="0.2">
      <c r="B19" s="7">
        <v>44587</v>
      </c>
      <c r="C19" s="8">
        <v>7.4076388888888882</v>
      </c>
      <c r="D19">
        <f t="shared" si="2"/>
        <v>10.683813888888888</v>
      </c>
      <c r="E19">
        <f t="shared" si="0"/>
        <v>10.609608888888889</v>
      </c>
      <c r="F19">
        <f t="shared" si="0"/>
        <v>10.535403888888888</v>
      </c>
      <c r="G19">
        <f t="shared" si="0"/>
        <v>10.461198888888887</v>
      </c>
      <c r="H19">
        <f t="shared" si="0"/>
        <v>10.386993888888888</v>
      </c>
      <c r="I19">
        <f t="shared" si="0"/>
        <v>10.312788888888889</v>
      </c>
      <c r="J19">
        <f t="shared" si="0"/>
        <v>10.238583888888888</v>
      </c>
      <c r="K19">
        <f t="shared" si="0"/>
        <v>10.164378888888889</v>
      </c>
      <c r="L19">
        <f t="shared" si="0"/>
        <v>10.090173888888888</v>
      </c>
      <c r="M19">
        <f t="shared" si="0"/>
        <v>10.015968888888889</v>
      </c>
      <c r="N19">
        <f t="shared" si="0"/>
        <v>9.9417638888888895</v>
      </c>
      <c r="O19">
        <f t="shared" si="0"/>
        <v>9.8675588888888885</v>
      </c>
      <c r="P19">
        <f t="shared" si="0"/>
        <v>9.7933538888888876</v>
      </c>
      <c r="Q19">
        <f t="shared" si="0"/>
        <v>9.7191488888888884</v>
      </c>
      <c r="R19">
        <f t="shared" si="0"/>
        <v>9.6449438888888892</v>
      </c>
      <c r="S19">
        <f t="shared" si="0"/>
        <v>9.5707388888888882</v>
      </c>
      <c r="T19">
        <f t="shared" si="0"/>
        <v>9.4965338888888873</v>
      </c>
      <c r="U19">
        <f t="shared" si="1"/>
        <v>9.4223288888888881</v>
      </c>
      <c r="V19">
        <f t="shared" si="1"/>
        <v>9.3481238888888889</v>
      </c>
      <c r="W19">
        <f t="shared" si="1"/>
        <v>9.2739188888888879</v>
      </c>
      <c r="X19">
        <f t="shared" si="1"/>
        <v>9.199713888888887</v>
      </c>
      <c r="Y19">
        <f t="shared" si="1"/>
        <v>9.1255088888888878</v>
      </c>
      <c r="Z19">
        <f t="shared" si="1"/>
        <v>9.0513038888888886</v>
      </c>
      <c r="AA19">
        <f t="shared" si="1"/>
        <v>8.9770988888888876</v>
      </c>
      <c r="AB19">
        <f t="shared" si="1"/>
        <v>8.9028938888888867</v>
      </c>
      <c r="AC19">
        <f t="shared" si="1"/>
        <v>8.8286888888888875</v>
      </c>
      <c r="AD19">
        <f t="shared" si="1"/>
        <v>7.4929988888888888</v>
      </c>
    </row>
    <row r="20" spans="2:30" x14ac:dyDescent="0.2">
      <c r="B20" s="7">
        <v>44588</v>
      </c>
      <c r="C20" s="8">
        <v>9.0423611111111111</v>
      </c>
      <c r="D20">
        <f t="shared" si="2"/>
        <v>12.318536111111111</v>
      </c>
      <c r="E20">
        <f t="shared" si="0"/>
        <v>12.244331111111112</v>
      </c>
      <c r="F20">
        <f t="shared" si="0"/>
        <v>12.170126111111111</v>
      </c>
      <c r="G20">
        <f t="shared" si="0"/>
        <v>12.09592111111111</v>
      </c>
      <c r="H20">
        <f t="shared" si="0"/>
        <v>12.021716111111111</v>
      </c>
      <c r="I20">
        <f t="shared" si="0"/>
        <v>11.947511111111112</v>
      </c>
      <c r="J20">
        <f t="shared" si="0"/>
        <v>11.873306111111111</v>
      </c>
      <c r="K20">
        <f t="shared" si="0"/>
        <v>11.799101111111112</v>
      </c>
      <c r="L20">
        <f t="shared" si="0"/>
        <v>11.724896111111111</v>
      </c>
      <c r="M20">
        <f t="shared" si="0"/>
        <v>11.650691111111112</v>
      </c>
      <c r="N20">
        <f t="shared" si="0"/>
        <v>11.576486111111112</v>
      </c>
      <c r="O20">
        <f t="shared" si="0"/>
        <v>11.502281111111111</v>
      </c>
      <c r="P20">
        <f t="shared" si="0"/>
        <v>11.42807611111111</v>
      </c>
      <c r="Q20">
        <f t="shared" si="0"/>
        <v>11.353871111111111</v>
      </c>
      <c r="R20">
        <f t="shared" si="0"/>
        <v>11.279666111111112</v>
      </c>
      <c r="S20">
        <f t="shared" si="0"/>
        <v>11.205461111111111</v>
      </c>
      <c r="T20">
        <f t="shared" ref="T20" si="3">(-1.4841*T$3+3.6472)+$C20</f>
        <v>11.13125611111111</v>
      </c>
      <c r="U20">
        <f t="shared" si="1"/>
        <v>11.057051111111111</v>
      </c>
      <c r="V20">
        <f t="shared" si="1"/>
        <v>10.982846111111112</v>
      </c>
      <c r="W20">
        <f t="shared" si="1"/>
        <v>10.908641111111111</v>
      </c>
      <c r="X20">
        <f t="shared" si="1"/>
        <v>10.83443611111111</v>
      </c>
      <c r="Y20">
        <f t="shared" si="1"/>
        <v>10.760231111111111</v>
      </c>
      <c r="Z20">
        <f t="shared" si="1"/>
        <v>10.686026111111111</v>
      </c>
      <c r="AA20">
        <f t="shared" si="1"/>
        <v>10.61182111111111</v>
      </c>
      <c r="AB20">
        <f t="shared" si="1"/>
        <v>10.53761611111111</v>
      </c>
      <c r="AC20">
        <f t="shared" si="1"/>
        <v>10.46341111111111</v>
      </c>
      <c r="AD20">
        <f t="shared" si="1"/>
        <v>9.1277211111111107</v>
      </c>
    </row>
    <row r="21" spans="2:30" x14ac:dyDescent="0.2">
      <c r="B21" s="7">
        <v>44589</v>
      </c>
      <c r="C21" s="8">
        <v>8.2607638888888921</v>
      </c>
      <c r="D21">
        <f t="shared" si="2"/>
        <v>11.536938888888892</v>
      </c>
      <c r="E21">
        <f t="shared" ref="E21:T36" si="4">(-1.4841*E$3+3.6472)+$C21</f>
        <v>11.462733888888891</v>
      </c>
      <c r="F21">
        <f t="shared" si="4"/>
        <v>11.388528888888892</v>
      </c>
      <c r="G21">
        <f t="shared" si="4"/>
        <v>11.314323888888893</v>
      </c>
      <c r="H21">
        <f t="shared" si="4"/>
        <v>11.240118888888892</v>
      </c>
      <c r="I21">
        <f t="shared" si="4"/>
        <v>11.165913888888893</v>
      </c>
      <c r="J21">
        <f t="shared" si="4"/>
        <v>11.091708888888892</v>
      </c>
      <c r="K21">
        <f t="shared" si="4"/>
        <v>11.017503888888893</v>
      </c>
      <c r="L21">
        <f t="shared" si="4"/>
        <v>10.943298888888892</v>
      </c>
      <c r="M21">
        <f t="shared" si="4"/>
        <v>10.869093888888893</v>
      </c>
      <c r="N21">
        <f t="shared" si="4"/>
        <v>10.794888888888892</v>
      </c>
      <c r="O21">
        <f t="shared" si="4"/>
        <v>10.720683888888892</v>
      </c>
      <c r="P21">
        <f t="shared" si="4"/>
        <v>10.646478888888893</v>
      </c>
      <c r="Q21">
        <f t="shared" si="4"/>
        <v>10.572273888888892</v>
      </c>
      <c r="R21">
        <f t="shared" si="4"/>
        <v>10.498068888888891</v>
      </c>
      <c r="S21">
        <f t="shared" si="4"/>
        <v>10.423863888888892</v>
      </c>
      <c r="T21">
        <f t="shared" si="4"/>
        <v>10.349658888888893</v>
      </c>
      <c r="U21">
        <f t="shared" ref="U21:AD39" si="5">(-1.4841*U$3+3.6472)+$C21</f>
        <v>10.275453888888892</v>
      </c>
      <c r="V21">
        <f t="shared" si="5"/>
        <v>10.201248888888891</v>
      </c>
      <c r="W21">
        <f t="shared" si="5"/>
        <v>10.127043888888892</v>
      </c>
      <c r="X21">
        <f t="shared" si="5"/>
        <v>10.052838888888893</v>
      </c>
      <c r="Y21">
        <f t="shared" si="5"/>
        <v>9.9786338888888917</v>
      </c>
      <c r="Z21">
        <f t="shared" si="5"/>
        <v>9.9044288888888907</v>
      </c>
      <c r="AA21">
        <f t="shared" si="5"/>
        <v>9.8302238888888915</v>
      </c>
      <c r="AB21">
        <f t="shared" si="5"/>
        <v>9.7560188888888923</v>
      </c>
      <c r="AC21">
        <f t="shared" si="5"/>
        <v>9.6818138888888914</v>
      </c>
      <c r="AD21">
        <f t="shared" si="5"/>
        <v>8.3461238888888936</v>
      </c>
    </row>
    <row r="22" spans="2:30" x14ac:dyDescent="0.2">
      <c r="B22" s="7">
        <v>44590</v>
      </c>
      <c r="C22" s="8">
        <v>10.699305555555553</v>
      </c>
      <c r="D22">
        <f t="shared" si="2"/>
        <v>13.975480555555553</v>
      </c>
      <c r="E22">
        <f t="shared" si="4"/>
        <v>13.901275555555554</v>
      </c>
      <c r="F22">
        <f t="shared" si="4"/>
        <v>13.827070555555553</v>
      </c>
      <c r="G22">
        <f t="shared" si="4"/>
        <v>13.752865555555552</v>
      </c>
      <c r="H22">
        <f t="shared" si="4"/>
        <v>13.678660555555552</v>
      </c>
      <c r="I22">
        <f t="shared" si="4"/>
        <v>13.604455555555553</v>
      </c>
      <c r="J22">
        <f t="shared" si="4"/>
        <v>13.530250555555552</v>
      </c>
      <c r="K22">
        <f t="shared" si="4"/>
        <v>13.456045555555553</v>
      </c>
      <c r="L22">
        <f t="shared" si="4"/>
        <v>13.381840555555552</v>
      </c>
      <c r="M22">
        <f t="shared" si="4"/>
        <v>13.307635555555553</v>
      </c>
      <c r="N22">
        <f t="shared" si="4"/>
        <v>13.233430555555554</v>
      </c>
      <c r="O22">
        <f t="shared" si="4"/>
        <v>13.159225555555553</v>
      </c>
      <c r="P22">
        <f t="shared" si="4"/>
        <v>13.085020555555552</v>
      </c>
      <c r="Q22">
        <f t="shared" si="4"/>
        <v>13.010815555555553</v>
      </c>
      <c r="R22">
        <f t="shared" si="4"/>
        <v>12.936610555555554</v>
      </c>
      <c r="S22">
        <f t="shared" si="4"/>
        <v>12.862405555555553</v>
      </c>
      <c r="T22">
        <f t="shared" si="4"/>
        <v>12.788200555555552</v>
      </c>
      <c r="U22">
        <f t="shared" si="5"/>
        <v>12.713995555555552</v>
      </c>
      <c r="V22">
        <f t="shared" si="5"/>
        <v>12.639790555555553</v>
      </c>
      <c r="W22">
        <f t="shared" si="5"/>
        <v>12.565585555555552</v>
      </c>
      <c r="X22">
        <f t="shared" si="5"/>
        <v>12.491380555555551</v>
      </c>
      <c r="Y22">
        <f t="shared" si="5"/>
        <v>12.417175555555552</v>
      </c>
      <c r="Z22">
        <f t="shared" si="5"/>
        <v>12.342970555555553</v>
      </c>
      <c r="AA22">
        <f t="shared" si="5"/>
        <v>12.268765555555552</v>
      </c>
      <c r="AB22">
        <f t="shared" si="5"/>
        <v>12.194560555555551</v>
      </c>
      <c r="AC22">
        <f t="shared" si="5"/>
        <v>12.120355555555552</v>
      </c>
      <c r="AD22">
        <f t="shared" si="5"/>
        <v>10.784665555555552</v>
      </c>
    </row>
    <row r="23" spans="2:30" x14ac:dyDescent="0.2">
      <c r="B23" s="7">
        <v>44591</v>
      </c>
      <c r="C23" s="8">
        <v>8.4454861111111121</v>
      </c>
      <c r="D23">
        <f t="shared" si="2"/>
        <v>11.721661111111112</v>
      </c>
      <c r="E23">
        <f t="shared" si="4"/>
        <v>11.647456111111111</v>
      </c>
      <c r="F23">
        <f t="shared" si="4"/>
        <v>11.573251111111112</v>
      </c>
      <c r="G23">
        <f t="shared" si="4"/>
        <v>11.499046111111113</v>
      </c>
      <c r="H23">
        <f t="shared" si="4"/>
        <v>11.424841111111112</v>
      </c>
      <c r="I23">
        <f t="shared" si="4"/>
        <v>11.350636111111113</v>
      </c>
      <c r="J23">
        <f t="shared" si="4"/>
        <v>11.276431111111112</v>
      </c>
      <c r="K23">
        <f t="shared" si="4"/>
        <v>11.202226111111113</v>
      </c>
      <c r="L23">
        <f t="shared" si="4"/>
        <v>11.128021111111112</v>
      </c>
      <c r="M23">
        <f t="shared" si="4"/>
        <v>11.053816111111113</v>
      </c>
      <c r="N23">
        <f t="shared" si="4"/>
        <v>10.979611111111112</v>
      </c>
      <c r="O23">
        <f t="shared" si="4"/>
        <v>10.905406111111112</v>
      </c>
      <c r="P23">
        <f t="shared" si="4"/>
        <v>10.831201111111113</v>
      </c>
      <c r="Q23">
        <f t="shared" si="4"/>
        <v>10.756996111111112</v>
      </c>
      <c r="R23">
        <f t="shared" si="4"/>
        <v>10.682791111111111</v>
      </c>
      <c r="S23">
        <f t="shared" si="4"/>
        <v>10.608586111111112</v>
      </c>
      <c r="T23">
        <f t="shared" si="4"/>
        <v>10.534381111111113</v>
      </c>
      <c r="U23">
        <f t="shared" si="5"/>
        <v>10.460176111111112</v>
      </c>
      <c r="V23">
        <f t="shared" si="5"/>
        <v>10.385971111111111</v>
      </c>
      <c r="W23">
        <f t="shared" si="5"/>
        <v>10.311766111111112</v>
      </c>
      <c r="X23">
        <f t="shared" si="5"/>
        <v>10.237561111111113</v>
      </c>
      <c r="Y23">
        <f t="shared" si="5"/>
        <v>10.163356111111112</v>
      </c>
      <c r="Z23">
        <f t="shared" si="5"/>
        <v>10.089151111111111</v>
      </c>
      <c r="AA23">
        <f t="shared" si="5"/>
        <v>10.014946111111112</v>
      </c>
      <c r="AB23">
        <f t="shared" si="5"/>
        <v>9.9407411111111124</v>
      </c>
      <c r="AC23">
        <f t="shared" si="5"/>
        <v>9.8665361111111114</v>
      </c>
      <c r="AD23">
        <f t="shared" si="5"/>
        <v>8.5308461111111136</v>
      </c>
    </row>
    <row r="24" spans="2:30" x14ac:dyDescent="0.2">
      <c r="B24" s="7">
        <v>44592</v>
      </c>
      <c r="C24" s="8">
        <v>8.0722222222222229</v>
      </c>
      <c r="D24">
        <f t="shared" si="2"/>
        <v>11.348397222222223</v>
      </c>
      <c r="E24">
        <f t="shared" si="4"/>
        <v>11.274192222222222</v>
      </c>
      <c r="F24">
        <f t="shared" si="4"/>
        <v>11.199987222222223</v>
      </c>
      <c r="G24">
        <f t="shared" si="4"/>
        <v>11.125782222222224</v>
      </c>
      <c r="H24">
        <f t="shared" si="4"/>
        <v>11.051577222222223</v>
      </c>
      <c r="I24">
        <f t="shared" si="4"/>
        <v>10.977372222222224</v>
      </c>
      <c r="J24">
        <f t="shared" si="4"/>
        <v>10.903167222222223</v>
      </c>
      <c r="K24">
        <f t="shared" si="4"/>
        <v>10.828962222222223</v>
      </c>
      <c r="L24">
        <f t="shared" si="4"/>
        <v>10.754757222222223</v>
      </c>
      <c r="M24">
        <f t="shared" si="4"/>
        <v>10.680552222222223</v>
      </c>
      <c r="N24">
        <f t="shared" si="4"/>
        <v>10.606347222222222</v>
      </c>
      <c r="O24">
        <f t="shared" si="4"/>
        <v>10.532142222222223</v>
      </c>
      <c r="P24">
        <f t="shared" si="4"/>
        <v>10.457937222222224</v>
      </c>
      <c r="Q24">
        <f t="shared" si="4"/>
        <v>10.383732222222223</v>
      </c>
      <c r="R24">
        <f t="shared" si="4"/>
        <v>10.309527222222222</v>
      </c>
      <c r="S24">
        <f t="shared" si="4"/>
        <v>10.235322222222223</v>
      </c>
      <c r="T24">
        <f t="shared" si="4"/>
        <v>10.161117222222224</v>
      </c>
      <c r="U24">
        <f t="shared" si="5"/>
        <v>10.086912222222223</v>
      </c>
      <c r="V24">
        <f t="shared" si="5"/>
        <v>10.012707222222222</v>
      </c>
      <c r="W24">
        <f t="shared" si="5"/>
        <v>9.9385022222222226</v>
      </c>
      <c r="X24">
        <f t="shared" si="5"/>
        <v>9.8642972222222234</v>
      </c>
      <c r="Y24">
        <f t="shared" si="5"/>
        <v>9.7900922222222224</v>
      </c>
      <c r="Z24">
        <f t="shared" si="5"/>
        <v>9.7158872222222215</v>
      </c>
      <c r="AA24">
        <f t="shared" si="5"/>
        <v>9.6416822222222223</v>
      </c>
      <c r="AB24">
        <f t="shared" si="5"/>
        <v>9.5674772222222231</v>
      </c>
      <c r="AC24">
        <f t="shared" si="5"/>
        <v>9.4932722222222221</v>
      </c>
      <c r="AD24">
        <f t="shared" si="5"/>
        <v>8.1575822222222243</v>
      </c>
    </row>
    <row r="25" spans="2:30" x14ac:dyDescent="0.2">
      <c r="B25" s="7">
        <v>44593</v>
      </c>
      <c r="C25" s="8">
        <v>8.52847222222222</v>
      </c>
      <c r="D25">
        <f t="shared" si="2"/>
        <v>11.80464722222222</v>
      </c>
      <c r="E25">
        <f t="shared" si="4"/>
        <v>11.730442222222219</v>
      </c>
      <c r="F25">
        <f t="shared" si="4"/>
        <v>11.65623722222222</v>
      </c>
      <c r="G25">
        <f t="shared" si="4"/>
        <v>11.582032222222221</v>
      </c>
      <c r="H25">
        <f t="shared" si="4"/>
        <v>11.50782722222222</v>
      </c>
      <c r="I25">
        <f t="shared" si="4"/>
        <v>11.433622222222221</v>
      </c>
      <c r="J25">
        <f t="shared" si="4"/>
        <v>11.35941722222222</v>
      </c>
      <c r="K25">
        <f t="shared" si="4"/>
        <v>11.285212222222221</v>
      </c>
      <c r="L25">
        <f t="shared" si="4"/>
        <v>11.21100722222222</v>
      </c>
      <c r="M25">
        <f t="shared" si="4"/>
        <v>11.13680222222222</v>
      </c>
      <c r="N25">
        <f t="shared" si="4"/>
        <v>11.06259722222222</v>
      </c>
      <c r="O25">
        <f t="shared" si="4"/>
        <v>10.98839222222222</v>
      </c>
      <c r="P25">
        <f t="shared" si="4"/>
        <v>10.914187222222221</v>
      </c>
      <c r="Q25">
        <f t="shared" si="4"/>
        <v>10.83998222222222</v>
      </c>
      <c r="R25">
        <f t="shared" si="4"/>
        <v>10.765777222222219</v>
      </c>
      <c r="S25">
        <f t="shared" si="4"/>
        <v>10.69157222222222</v>
      </c>
      <c r="T25">
        <f t="shared" si="4"/>
        <v>10.617367222222221</v>
      </c>
      <c r="U25">
        <f t="shared" si="5"/>
        <v>10.54316222222222</v>
      </c>
      <c r="V25">
        <f t="shared" si="5"/>
        <v>10.468957222222219</v>
      </c>
      <c r="W25">
        <f t="shared" si="5"/>
        <v>10.39475222222222</v>
      </c>
      <c r="X25">
        <f t="shared" si="5"/>
        <v>10.320547222222221</v>
      </c>
      <c r="Y25">
        <f t="shared" si="5"/>
        <v>10.24634222222222</v>
      </c>
      <c r="Z25">
        <f t="shared" si="5"/>
        <v>10.172137222222219</v>
      </c>
      <c r="AA25">
        <f t="shared" si="5"/>
        <v>10.097932222222219</v>
      </c>
      <c r="AB25">
        <f t="shared" si="5"/>
        <v>10.02372722222222</v>
      </c>
      <c r="AC25">
        <f t="shared" si="5"/>
        <v>9.9495222222222193</v>
      </c>
      <c r="AD25">
        <f t="shared" si="5"/>
        <v>8.6138322222222214</v>
      </c>
    </row>
    <row r="26" spans="2:30" x14ac:dyDescent="0.2">
      <c r="B26" s="7">
        <v>44594</v>
      </c>
      <c r="C26" s="8">
        <v>10.369444444444444</v>
      </c>
      <c r="D26">
        <f t="shared" si="2"/>
        <v>13.645619444444444</v>
      </c>
      <c r="E26">
        <f t="shared" si="4"/>
        <v>13.571414444444443</v>
      </c>
      <c r="F26">
        <f t="shared" si="4"/>
        <v>13.497209444444444</v>
      </c>
      <c r="G26">
        <f t="shared" si="4"/>
        <v>13.423004444444445</v>
      </c>
      <c r="H26">
        <f t="shared" si="4"/>
        <v>13.348799444444444</v>
      </c>
      <c r="I26">
        <f t="shared" si="4"/>
        <v>13.274594444444444</v>
      </c>
      <c r="J26">
        <f t="shared" si="4"/>
        <v>13.200389444444443</v>
      </c>
      <c r="K26">
        <f t="shared" si="4"/>
        <v>13.126184444444444</v>
      </c>
      <c r="L26">
        <f t="shared" si="4"/>
        <v>13.051979444444443</v>
      </c>
      <c r="M26">
        <f t="shared" si="4"/>
        <v>12.977774444444444</v>
      </c>
      <c r="N26">
        <f t="shared" si="4"/>
        <v>12.903569444444443</v>
      </c>
      <c r="O26">
        <f t="shared" si="4"/>
        <v>12.829364444444444</v>
      </c>
      <c r="P26">
        <f t="shared" si="4"/>
        <v>12.755159444444445</v>
      </c>
      <c r="Q26">
        <f t="shared" si="4"/>
        <v>12.680954444444444</v>
      </c>
      <c r="R26">
        <f t="shared" si="4"/>
        <v>12.606749444444443</v>
      </c>
      <c r="S26">
        <f t="shared" si="4"/>
        <v>12.532544444444444</v>
      </c>
      <c r="T26">
        <f t="shared" si="4"/>
        <v>12.458339444444444</v>
      </c>
      <c r="U26">
        <f t="shared" si="5"/>
        <v>12.384134444444443</v>
      </c>
      <c r="V26">
        <f t="shared" si="5"/>
        <v>12.309929444444442</v>
      </c>
      <c r="W26">
        <f t="shared" si="5"/>
        <v>12.235724444444443</v>
      </c>
      <c r="X26">
        <f t="shared" si="5"/>
        <v>12.161519444444444</v>
      </c>
      <c r="Y26">
        <f t="shared" si="5"/>
        <v>12.087314444444443</v>
      </c>
      <c r="Z26">
        <f t="shared" si="5"/>
        <v>12.013109444444442</v>
      </c>
      <c r="AA26">
        <f t="shared" si="5"/>
        <v>11.938904444444443</v>
      </c>
      <c r="AB26">
        <f t="shared" si="5"/>
        <v>11.864699444444444</v>
      </c>
      <c r="AC26">
        <f t="shared" si="5"/>
        <v>11.790494444444443</v>
      </c>
      <c r="AD26">
        <f t="shared" si="5"/>
        <v>10.454804444444445</v>
      </c>
    </row>
    <row r="27" spans="2:30" x14ac:dyDescent="0.2">
      <c r="B27" s="7">
        <v>44595</v>
      </c>
      <c r="C27" s="8">
        <v>10.805555555555552</v>
      </c>
      <c r="D27">
        <f t="shared" si="2"/>
        <v>14.081730555555552</v>
      </c>
      <c r="E27">
        <f t="shared" si="4"/>
        <v>14.007525555555553</v>
      </c>
      <c r="F27">
        <f t="shared" si="4"/>
        <v>13.933320555555552</v>
      </c>
      <c r="G27">
        <f t="shared" si="4"/>
        <v>13.859115555555551</v>
      </c>
      <c r="H27">
        <f t="shared" si="4"/>
        <v>13.784910555555552</v>
      </c>
      <c r="I27">
        <f t="shared" si="4"/>
        <v>13.710705555555553</v>
      </c>
      <c r="J27">
        <f t="shared" si="4"/>
        <v>13.636500555555552</v>
      </c>
      <c r="K27">
        <f t="shared" si="4"/>
        <v>13.562295555555552</v>
      </c>
      <c r="L27">
        <f t="shared" si="4"/>
        <v>13.488090555555551</v>
      </c>
      <c r="M27">
        <f t="shared" si="4"/>
        <v>13.413885555555552</v>
      </c>
      <c r="N27">
        <f t="shared" si="4"/>
        <v>13.339680555555553</v>
      </c>
      <c r="O27">
        <f t="shared" si="4"/>
        <v>13.265475555555552</v>
      </c>
      <c r="P27">
        <f t="shared" si="4"/>
        <v>13.191270555555551</v>
      </c>
      <c r="Q27">
        <f t="shared" si="4"/>
        <v>13.117065555555552</v>
      </c>
      <c r="R27">
        <f t="shared" si="4"/>
        <v>13.042860555555553</v>
      </c>
      <c r="S27">
        <f t="shared" si="4"/>
        <v>12.968655555555552</v>
      </c>
      <c r="T27">
        <f t="shared" si="4"/>
        <v>12.894450555555551</v>
      </c>
      <c r="U27">
        <f t="shared" si="5"/>
        <v>12.820245555555552</v>
      </c>
      <c r="V27">
        <f t="shared" si="5"/>
        <v>12.746040555555552</v>
      </c>
      <c r="W27">
        <f t="shared" si="5"/>
        <v>12.671835555555552</v>
      </c>
      <c r="X27">
        <f t="shared" si="5"/>
        <v>12.597630555555551</v>
      </c>
      <c r="Y27">
        <f t="shared" si="5"/>
        <v>12.523425555555551</v>
      </c>
      <c r="Z27">
        <f t="shared" si="5"/>
        <v>12.449220555555552</v>
      </c>
      <c r="AA27">
        <f t="shared" si="5"/>
        <v>12.375015555555551</v>
      </c>
      <c r="AB27">
        <f t="shared" si="5"/>
        <v>12.30081055555555</v>
      </c>
      <c r="AC27">
        <f t="shared" si="5"/>
        <v>12.226605555555551</v>
      </c>
      <c r="AD27">
        <f t="shared" si="5"/>
        <v>10.890915555555551</v>
      </c>
    </row>
    <row r="28" spans="2:30" x14ac:dyDescent="0.2">
      <c r="B28" s="7">
        <v>44596</v>
      </c>
      <c r="C28" s="8">
        <v>9.6819444444444436</v>
      </c>
      <c r="D28">
        <f t="shared" si="2"/>
        <v>12.958119444444444</v>
      </c>
      <c r="E28">
        <f t="shared" si="4"/>
        <v>12.883914444444443</v>
      </c>
      <c r="F28">
        <f t="shared" si="4"/>
        <v>12.809709444444444</v>
      </c>
      <c r="G28">
        <f t="shared" si="4"/>
        <v>12.735504444444445</v>
      </c>
      <c r="H28">
        <f t="shared" si="4"/>
        <v>12.661299444444444</v>
      </c>
      <c r="I28">
        <f t="shared" si="4"/>
        <v>12.587094444444444</v>
      </c>
      <c r="J28">
        <f t="shared" si="4"/>
        <v>12.512889444444443</v>
      </c>
      <c r="K28">
        <f t="shared" si="4"/>
        <v>12.438684444444444</v>
      </c>
      <c r="L28">
        <f t="shared" si="4"/>
        <v>12.364479444444443</v>
      </c>
      <c r="M28">
        <f t="shared" si="4"/>
        <v>12.290274444444444</v>
      </c>
      <c r="N28">
        <f t="shared" si="4"/>
        <v>12.216069444444443</v>
      </c>
      <c r="O28">
        <f t="shared" si="4"/>
        <v>12.141864444444444</v>
      </c>
      <c r="P28">
        <f t="shared" si="4"/>
        <v>12.067659444444445</v>
      </c>
      <c r="Q28">
        <f t="shared" si="4"/>
        <v>11.993454444444444</v>
      </c>
      <c r="R28">
        <f t="shared" si="4"/>
        <v>11.919249444444443</v>
      </c>
      <c r="S28">
        <f t="shared" si="4"/>
        <v>11.845044444444444</v>
      </c>
      <c r="T28">
        <f t="shared" si="4"/>
        <v>11.770839444444444</v>
      </c>
      <c r="U28">
        <f t="shared" si="5"/>
        <v>11.696634444444443</v>
      </c>
      <c r="V28">
        <f t="shared" si="5"/>
        <v>11.622429444444442</v>
      </c>
      <c r="W28">
        <f t="shared" si="5"/>
        <v>11.548224444444443</v>
      </c>
      <c r="X28">
        <f t="shared" si="5"/>
        <v>11.474019444444444</v>
      </c>
      <c r="Y28">
        <f t="shared" si="5"/>
        <v>11.399814444444443</v>
      </c>
      <c r="Z28">
        <f t="shared" si="5"/>
        <v>11.325609444444442</v>
      </c>
      <c r="AA28">
        <f t="shared" si="5"/>
        <v>11.251404444444443</v>
      </c>
      <c r="AB28">
        <f t="shared" si="5"/>
        <v>11.177199444444444</v>
      </c>
      <c r="AC28">
        <f t="shared" si="5"/>
        <v>11.102994444444443</v>
      </c>
      <c r="AD28">
        <f t="shared" si="5"/>
        <v>9.767304444444445</v>
      </c>
    </row>
    <row r="29" spans="2:30" x14ac:dyDescent="0.2">
      <c r="B29" s="7">
        <v>44597</v>
      </c>
      <c r="C29" s="8">
        <v>8.0874999999999986</v>
      </c>
      <c r="D29">
        <f t="shared" si="2"/>
        <v>11.363674999999999</v>
      </c>
      <c r="E29">
        <f t="shared" si="4"/>
        <v>11.289469999999998</v>
      </c>
      <c r="F29">
        <f t="shared" si="4"/>
        <v>11.215264999999999</v>
      </c>
      <c r="G29">
        <f t="shared" si="4"/>
        <v>11.14106</v>
      </c>
      <c r="H29">
        <f t="shared" si="4"/>
        <v>11.066854999999999</v>
      </c>
      <c r="I29">
        <f t="shared" si="4"/>
        <v>10.992649999999999</v>
      </c>
      <c r="J29">
        <f t="shared" si="4"/>
        <v>10.918444999999998</v>
      </c>
      <c r="K29">
        <f t="shared" si="4"/>
        <v>10.844239999999999</v>
      </c>
      <c r="L29">
        <f t="shared" si="4"/>
        <v>10.770034999999998</v>
      </c>
      <c r="M29">
        <f t="shared" si="4"/>
        <v>10.695829999999999</v>
      </c>
      <c r="N29">
        <f t="shared" si="4"/>
        <v>10.621624999999998</v>
      </c>
      <c r="O29">
        <f t="shared" si="4"/>
        <v>10.547419999999999</v>
      </c>
      <c r="P29">
        <f t="shared" si="4"/>
        <v>10.473215</v>
      </c>
      <c r="Q29">
        <f t="shared" si="4"/>
        <v>10.399009999999999</v>
      </c>
      <c r="R29">
        <f t="shared" si="4"/>
        <v>10.324804999999998</v>
      </c>
      <c r="S29">
        <f t="shared" si="4"/>
        <v>10.250599999999999</v>
      </c>
      <c r="T29">
        <f t="shared" si="4"/>
        <v>10.176394999999999</v>
      </c>
      <c r="U29">
        <f t="shared" si="5"/>
        <v>10.102189999999998</v>
      </c>
      <c r="V29">
        <f t="shared" si="5"/>
        <v>10.027984999999997</v>
      </c>
      <c r="W29">
        <f t="shared" si="5"/>
        <v>9.9537799999999983</v>
      </c>
      <c r="X29">
        <f t="shared" si="5"/>
        <v>9.8795749999999991</v>
      </c>
      <c r="Y29">
        <f t="shared" si="5"/>
        <v>9.8053699999999981</v>
      </c>
      <c r="Z29">
        <f t="shared" si="5"/>
        <v>9.7311649999999972</v>
      </c>
      <c r="AA29">
        <f t="shared" si="5"/>
        <v>9.656959999999998</v>
      </c>
      <c r="AB29">
        <f t="shared" si="5"/>
        <v>9.5827549999999988</v>
      </c>
      <c r="AC29">
        <f t="shared" si="5"/>
        <v>9.5085499999999978</v>
      </c>
      <c r="AD29">
        <f t="shared" si="5"/>
        <v>8.17286</v>
      </c>
    </row>
    <row r="30" spans="2:30" x14ac:dyDescent="0.2">
      <c r="B30" s="7">
        <v>44598</v>
      </c>
      <c r="C30" s="8">
        <v>10.306944444444447</v>
      </c>
      <c r="D30">
        <f t="shared" si="2"/>
        <v>13.583119444444447</v>
      </c>
      <c r="E30">
        <f t="shared" si="4"/>
        <v>13.508914444444446</v>
      </c>
      <c r="F30">
        <f t="shared" si="4"/>
        <v>13.434709444444447</v>
      </c>
      <c r="G30">
        <f t="shared" si="4"/>
        <v>13.360504444444448</v>
      </c>
      <c r="H30">
        <f t="shared" si="4"/>
        <v>13.286299444444447</v>
      </c>
      <c r="I30">
        <f t="shared" si="4"/>
        <v>13.212094444444448</v>
      </c>
      <c r="J30">
        <f t="shared" si="4"/>
        <v>13.137889444444447</v>
      </c>
      <c r="K30">
        <f t="shared" si="4"/>
        <v>13.063684444444448</v>
      </c>
      <c r="L30">
        <f t="shared" si="4"/>
        <v>12.989479444444447</v>
      </c>
      <c r="M30">
        <f t="shared" si="4"/>
        <v>12.915274444444448</v>
      </c>
      <c r="N30">
        <f t="shared" si="4"/>
        <v>12.841069444444447</v>
      </c>
      <c r="O30">
        <f t="shared" si="4"/>
        <v>12.766864444444447</v>
      </c>
      <c r="P30">
        <f t="shared" si="4"/>
        <v>12.692659444444448</v>
      </c>
      <c r="Q30">
        <f t="shared" si="4"/>
        <v>12.618454444444447</v>
      </c>
      <c r="R30">
        <f t="shared" si="4"/>
        <v>12.544249444444446</v>
      </c>
      <c r="S30">
        <f t="shared" si="4"/>
        <v>12.470044444444447</v>
      </c>
      <c r="T30">
        <f t="shared" si="4"/>
        <v>12.395839444444448</v>
      </c>
      <c r="U30">
        <f t="shared" si="5"/>
        <v>12.321634444444447</v>
      </c>
      <c r="V30">
        <f t="shared" si="5"/>
        <v>12.247429444444446</v>
      </c>
      <c r="W30">
        <f t="shared" si="5"/>
        <v>12.173224444444447</v>
      </c>
      <c r="X30">
        <f t="shared" si="5"/>
        <v>12.099019444444448</v>
      </c>
      <c r="Y30">
        <f t="shared" si="5"/>
        <v>12.024814444444447</v>
      </c>
      <c r="Z30">
        <f t="shared" si="5"/>
        <v>11.950609444444446</v>
      </c>
      <c r="AA30">
        <f t="shared" si="5"/>
        <v>11.876404444444447</v>
      </c>
      <c r="AB30">
        <f t="shared" si="5"/>
        <v>11.802199444444447</v>
      </c>
      <c r="AC30">
        <f t="shared" si="5"/>
        <v>11.727994444444446</v>
      </c>
      <c r="AD30">
        <f t="shared" si="5"/>
        <v>10.392304444444449</v>
      </c>
    </row>
    <row r="31" spans="2:30" x14ac:dyDescent="0.2">
      <c r="B31" s="7">
        <v>44599</v>
      </c>
      <c r="C31" s="8">
        <v>8.5173611111111107</v>
      </c>
      <c r="D31">
        <f t="shared" si="2"/>
        <v>11.793536111111111</v>
      </c>
      <c r="E31">
        <f t="shared" si="4"/>
        <v>11.71933111111111</v>
      </c>
      <c r="F31">
        <f t="shared" si="4"/>
        <v>11.645126111111111</v>
      </c>
      <c r="G31">
        <f t="shared" si="4"/>
        <v>11.570921111111112</v>
      </c>
      <c r="H31">
        <f t="shared" si="4"/>
        <v>11.496716111111111</v>
      </c>
      <c r="I31">
        <f t="shared" si="4"/>
        <v>11.422511111111112</v>
      </c>
      <c r="J31">
        <f t="shared" si="4"/>
        <v>11.348306111111111</v>
      </c>
      <c r="K31">
        <f t="shared" si="4"/>
        <v>11.274101111111111</v>
      </c>
      <c r="L31">
        <f t="shared" si="4"/>
        <v>11.19989611111111</v>
      </c>
      <c r="M31">
        <f t="shared" si="4"/>
        <v>11.125691111111111</v>
      </c>
      <c r="N31">
        <f t="shared" si="4"/>
        <v>11.05148611111111</v>
      </c>
      <c r="O31">
        <f t="shared" si="4"/>
        <v>10.977281111111111</v>
      </c>
      <c r="P31">
        <f t="shared" si="4"/>
        <v>10.903076111111112</v>
      </c>
      <c r="Q31">
        <f t="shared" si="4"/>
        <v>10.828871111111111</v>
      </c>
      <c r="R31">
        <f t="shared" si="4"/>
        <v>10.75466611111111</v>
      </c>
      <c r="S31">
        <f t="shared" si="4"/>
        <v>10.680461111111111</v>
      </c>
      <c r="T31">
        <f t="shared" si="4"/>
        <v>10.606256111111112</v>
      </c>
      <c r="U31">
        <f t="shared" si="5"/>
        <v>10.532051111111111</v>
      </c>
      <c r="V31">
        <f t="shared" si="5"/>
        <v>10.45784611111111</v>
      </c>
      <c r="W31">
        <f t="shared" si="5"/>
        <v>10.38364111111111</v>
      </c>
      <c r="X31">
        <f t="shared" si="5"/>
        <v>10.309436111111111</v>
      </c>
      <c r="Y31">
        <f t="shared" si="5"/>
        <v>10.23523111111111</v>
      </c>
      <c r="Z31">
        <f t="shared" si="5"/>
        <v>10.161026111111109</v>
      </c>
      <c r="AA31">
        <f t="shared" si="5"/>
        <v>10.08682111111111</v>
      </c>
      <c r="AB31">
        <f t="shared" si="5"/>
        <v>10.012616111111111</v>
      </c>
      <c r="AC31">
        <f t="shared" si="5"/>
        <v>9.93841111111111</v>
      </c>
      <c r="AD31">
        <f t="shared" si="5"/>
        <v>8.6027211111111122</v>
      </c>
    </row>
    <row r="32" spans="2:30" x14ac:dyDescent="0.2">
      <c r="B32" s="7">
        <v>44600</v>
      </c>
      <c r="C32" s="8">
        <v>11.091666666666669</v>
      </c>
      <c r="D32">
        <f t="shared" si="2"/>
        <v>14.367841666666669</v>
      </c>
      <c r="E32">
        <f t="shared" si="4"/>
        <v>14.293636666666668</v>
      </c>
      <c r="F32">
        <f t="shared" si="4"/>
        <v>14.219431666666669</v>
      </c>
      <c r="G32">
        <f t="shared" si="4"/>
        <v>14.14522666666667</v>
      </c>
      <c r="H32">
        <f t="shared" si="4"/>
        <v>14.071021666666669</v>
      </c>
      <c r="I32">
        <f t="shared" si="4"/>
        <v>13.996816666666669</v>
      </c>
      <c r="J32">
        <f t="shared" si="4"/>
        <v>13.922611666666668</v>
      </c>
      <c r="K32">
        <f t="shared" si="4"/>
        <v>13.848406666666669</v>
      </c>
      <c r="L32">
        <f t="shared" si="4"/>
        <v>13.774201666666668</v>
      </c>
      <c r="M32">
        <f t="shared" si="4"/>
        <v>13.699996666666669</v>
      </c>
      <c r="N32">
        <f t="shared" si="4"/>
        <v>13.625791666666668</v>
      </c>
      <c r="O32">
        <f t="shared" si="4"/>
        <v>13.551586666666669</v>
      </c>
      <c r="P32">
        <f t="shared" si="4"/>
        <v>13.47738166666667</v>
      </c>
      <c r="Q32">
        <f t="shared" si="4"/>
        <v>13.403176666666669</v>
      </c>
      <c r="R32">
        <f t="shared" si="4"/>
        <v>13.328971666666668</v>
      </c>
      <c r="S32">
        <f t="shared" si="4"/>
        <v>13.254766666666669</v>
      </c>
      <c r="T32">
        <f t="shared" si="4"/>
        <v>13.180561666666669</v>
      </c>
      <c r="U32">
        <f t="shared" si="5"/>
        <v>13.106356666666668</v>
      </c>
      <c r="V32">
        <f t="shared" si="5"/>
        <v>13.032151666666667</v>
      </c>
      <c r="W32">
        <f t="shared" si="5"/>
        <v>12.957946666666668</v>
      </c>
      <c r="X32">
        <f t="shared" si="5"/>
        <v>12.883741666666669</v>
      </c>
      <c r="Y32">
        <f t="shared" si="5"/>
        <v>12.809536666666668</v>
      </c>
      <c r="Z32">
        <f t="shared" si="5"/>
        <v>12.735331666666667</v>
      </c>
      <c r="AA32">
        <f t="shared" si="5"/>
        <v>12.661126666666668</v>
      </c>
      <c r="AB32">
        <f t="shared" si="5"/>
        <v>12.586921666666669</v>
      </c>
      <c r="AC32">
        <f t="shared" si="5"/>
        <v>12.512716666666668</v>
      </c>
      <c r="AD32">
        <f t="shared" si="5"/>
        <v>11.17702666666667</v>
      </c>
    </row>
    <row r="33" spans="2:30" x14ac:dyDescent="0.2">
      <c r="B33" s="7">
        <v>44601</v>
      </c>
      <c r="C33" s="8">
        <v>11.951388888888889</v>
      </c>
      <c r="D33">
        <f t="shared" si="2"/>
        <v>15.22756388888889</v>
      </c>
      <c r="E33">
        <f t="shared" si="4"/>
        <v>15.153358888888889</v>
      </c>
      <c r="F33">
        <f t="shared" si="4"/>
        <v>15.079153888888889</v>
      </c>
      <c r="G33">
        <f t="shared" si="4"/>
        <v>15.00494888888889</v>
      </c>
      <c r="H33">
        <f t="shared" si="4"/>
        <v>14.930743888888889</v>
      </c>
      <c r="I33">
        <f t="shared" si="4"/>
        <v>14.85653888888889</v>
      </c>
      <c r="J33">
        <f t="shared" si="4"/>
        <v>14.782333888888889</v>
      </c>
      <c r="K33">
        <f t="shared" si="4"/>
        <v>14.70812888888889</v>
      </c>
      <c r="L33">
        <f t="shared" si="4"/>
        <v>14.633923888888889</v>
      </c>
      <c r="M33">
        <f t="shared" si="4"/>
        <v>14.55971888888889</v>
      </c>
      <c r="N33">
        <f t="shared" si="4"/>
        <v>14.485513888888889</v>
      </c>
      <c r="O33">
        <f t="shared" si="4"/>
        <v>14.41130888888889</v>
      </c>
      <c r="P33">
        <f t="shared" si="4"/>
        <v>14.33710388888889</v>
      </c>
      <c r="Q33">
        <f t="shared" si="4"/>
        <v>14.262898888888889</v>
      </c>
      <c r="R33">
        <f t="shared" si="4"/>
        <v>14.188693888888888</v>
      </c>
      <c r="S33">
        <f t="shared" si="4"/>
        <v>14.114488888888889</v>
      </c>
      <c r="T33">
        <f t="shared" si="4"/>
        <v>14.04028388888889</v>
      </c>
      <c r="U33">
        <f t="shared" si="5"/>
        <v>13.966078888888889</v>
      </c>
      <c r="V33">
        <f t="shared" si="5"/>
        <v>13.891873888888888</v>
      </c>
      <c r="W33">
        <f t="shared" si="5"/>
        <v>13.817668888888889</v>
      </c>
      <c r="X33">
        <f t="shared" si="5"/>
        <v>13.74346388888889</v>
      </c>
      <c r="Y33">
        <f t="shared" si="5"/>
        <v>13.669258888888889</v>
      </c>
      <c r="Z33">
        <f t="shared" si="5"/>
        <v>13.595053888888888</v>
      </c>
      <c r="AA33">
        <f t="shared" si="5"/>
        <v>13.520848888888889</v>
      </c>
      <c r="AB33">
        <f t="shared" si="5"/>
        <v>13.44664388888889</v>
      </c>
      <c r="AC33">
        <f t="shared" si="5"/>
        <v>13.372438888888889</v>
      </c>
      <c r="AD33">
        <f t="shared" si="5"/>
        <v>12.036748888888891</v>
      </c>
    </row>
    <row r="34" spans="2:30" x14ac:dyDescent="0.2">
      <c r="B34" s="7">
        <v>44602</v>
      </c>
      <c r="C34" s="8">
        <v>11.230555555555551</v>
      </c>
      <c r="D34">
        <f t="shared" si="2"/>
        <v>14.506730555555551</v>
      </c>
      <c r="E34">
        <f t="shared" si="4"/>
        <v>14.43252555555555</v>
      </c>
      <c r="F34">
        <f t="shared" si="4"/>
        <v>14.358320555555551</v>
      </c>
      <c r="G34">
        <f t="shared" si="4"/>
        <v>14.284115555555552</v>
      </c>
      <c r="H34">
        <f t="shared" si="4"/>
        <v>14.209910555555551</v>
      </c>
      <c r="I34">
        <f t="shared" si="4"/>
        <v>14.135705555555552</v>
      </c>
      <c r="J34">
        <f t="shared" si="4"/>
        <v>14.061500555555551</v>
      </c>
      <c r="K34">
        <f t="shared" si="4"/>
        <v>13.987295555555551</v>
      </c>
      <c r="L34">
        <f t="shared" si="4"/>
        <v>13.91309055555555</v>
      </c>
      <c r="M34">
        <f t="shared" si="4"/>
        <v>13.838885555555551</v>
      </c>
      <c r="N34">
        <f t="shared" si="4"/>
        <v>13.76468055555555</v>
      </c>
      <c r="O34">
        <f t="shared" si="4"/>
        <v>13.690475555555551</v>
      </c>
      <c r="P34">
        <f t="shared" si="4"/>
        <v>13.616270555555552</v>
      </c>
      <c r="Q34">
        <f t="shared" si="4"/>
        <v>13.542065555555551</v>
      </c>
      <c r="R34">
        <f t="shared" si="4"/>
        <v>13.46786055555555</v>
      </c>
      <c r="S34">
        <f t="shared" si="4"/>
        <v>13.393655555555551</v>
      </c>
      <c r="T34">
        <f t="shared" si="4"/>
        <v>13.319450555555552</v>
      </c>
      <c r="U34">
        <f t="shared" si="5"/>
        <v>13.245245555555551</v>
      </c>
      <c r="V34">
        <f t="shared" si="5"/>
        <v>13.17104055555555</v>
      </c>
      <c r="W34">
        <f t="shared" si="5"/>
        <v>13.09683555555555</v>
      </c>
      <c r="X34">
        <f t="shared" si="5"/>
        <v>13.022630555555551</v>
      </c>
      <c r="Y34">
        <f t="shared" si="5"/>
        <v>12.94842555555555</v>
      </c>
      <c r="Z34">
        <f t="shared" si="5"/>
        <v>12.874220555555549</v>
      </c>
      <c r="AA34">
        <f t="shared" si="5"/>
        <v>12.80001555555555</v>
      </c>
      <c r="AB34">
        <f t="shared" si="5"/>
        <v>12.725810555555551</v>
      </c>
      <c r="AC34">
        <f t="shared" si="5"/>
        <v>12.65160555555555</v>
      </c>
      <c r="AD34">
        <f t="shared" si="5"/>
        <v>11.315915555555552</v>
      </c>
    </row>
    <row r="35" spans="2:30" x14ac:dyDescent="0.2">
      <c r="B35" s="7">
        <v>44603</v>
      </c>
      <c r="C35" s="8">
        <v>8.6097222222222207</v>
      </c>
      <c r="D35">
        <f t="shared" si="2"/>
        <v>11.885897222222221</v>
      </c>
      <c r="E35">
        <f t="shared" si="4"/>
        <v>11.81169222222222</v>
      </c>
      <c r="F35">
        <f t="shared" si="4"/>
        <v>11.737487222222221</v>
      </c>
      <c r="G35">
        <f t="shared" si="4"/>
        <v>11.663282222222222</v>
      </c>
      <c r="H35">
        <f t="shared" si="4"/>
        <v>11.589077222222221</v>
      </c>
      <c r="I35">
        <f t="shared" si="4"/>
        <v>11.514872222222222</v>
      </c>
      <c r="J35">
        <f t="shared" si="4"/>
        <v>11.440667222222221</v>
      </c>
      <c r="K35">
        <f t="shared" si="4"/>
        <v>11.366462222222221</v>
      </c>
      <c r="L35">
        <f t="shared" si="4"/>
        <v>11.29225722222222</v>
      </c>
      <c r="M35">
        <f t="shared" si="4"/>
        <v>11.218052222222221</v>
      </c>
      <c r="N35">
        <f t="shared" si="4"/>
        <v>11.14384722222222</v>
      </c>
      <c r="O35">
        <f t="shared" si="4"/>
        <v>11.069642222222221</v>
      </c>
      <c r="P35">
        <f t="shared" si="4"/>
        <v>10.995437222222222</v>
      </c>
      <c r="Q35">
        <f t="shared" si="4"/>
        <v>10.921232222222221</v>
      </c>
      <c r="R35">
        <f t="shared" si="4"/>
        <v>10.84702722222222</v>
      </c>
      <c r="S35">
        <f t="shared" si="4"/>
        <v>10.772822222222221</v>
      </c>
      <c r="T35">
        <f t="shared" si="4"/>
        <v>10.698617222222222</v>
      </c>
      <c r="U35">
        <f t="shared" si="5"/>
        <v>10.624412222222221</v>
      </c>
      <c r="V35">
        <f t="shared" si="5"/>
        <v>10.55020722222222</v>
      </c>
      <c r="W35">
        <f t="shared" si="5"/>
        <v>10.47600222222222</v>
      </c>
      <c r="X35">
        <f t="shared" si="5"/>
        <v>10.401797222222221</v>
      </c>
      <c r="Y35">
        <f t="shared" si="5"/>
        <v>10.32759222222222</v>
      </c>
      <c r="Z35">
        <f t="shared" si="5"/>
        <v>10.253387222222219</v>
      </c>
      <c r="AA35">
        <f t="shared" si="5"/>
        <v>10.17918222222222</v>
      </c>
      <c r="AB35">
        <f t="shared" si="5"/>
        <v>10.104977222222221</v>
      </c>
      <c r="AC35">
        <f t="shared" si="5"/>
        <v>10.03077222222222</v>
      </c>
      <c r="AD35">
        <f t="shared" si="5"/>
        <v>8.6950822222222222</v>
      </c>
    </row>
    <row r="36" spans="2:30" x14ac:dyDescent="0.2">
      <c r="B36" s="7">
        <v>44604</v>
      </c>
      <c r="C36" s="8">
        <v>6.7520833333333341</v>
      </c>
      <c r="D36">
        <f t="shared" si="2"/>
        <v>10.028258333333333</v>
      </c>
      <c r="E36">
        <f t="shared" si="4"/>
        <v>9.9540533333333343</v>
      </c>
      <c r="F36">
        <f t="shared" si="4"/>
        <v>9.8798483333333351</v>
      </c>
      <c r="G36">
        <f t="shared" si="4"/>
        <v>9.8056433333333342</v>
      </c>
      <c r="H36">
        <f t="shared" si="4"/>
        <v>9.731438333333335</v>
      </c>
      <c r="I36">
        <f t="shared" si="4"/>
        <v>9.657233333333334</v>
      </c>
      <c r="J36">
        <f t="shared" si="4"/>
        <v>9.5830283333333348</v>
      </c>
      <c r="K36">
        <f t="shared" si="4"/>
        <v>9.5088233333333338</v>
      </c>
      <c r="L36">
        <f t="shared" si="4"/>
        <v>9.4346183333333347</v>
      </c>
      <c r="M36">
        <f t="shared" si="4"/>
        <v>9.3604133333333337</v>
      </c>
      <c r="N36">
        <f t="shared" si="4"/>
        <v>9.2862083333333345</v>
      </c>
      <c r="O36">
        <f t="shared" si="4"/>
        <v>9.2120033333333353</v>
      </c>
      <c r="P36">
        <f t="shared" si="4"/>
        <v>9.1377983333333344</v>
      </c>
      <c r="Q36">
        <f t="shared" si="4"/>
        <v>9.0635933333333334</v>
      </c>
      <c r="R36">
        <f t="shared" si="4"/>
        <v>8.9893883333333342</v>
      </c>
      <c r="S36">
        <f t="shared" si="4"/>
        <v>8.915183333333335</v>
      </c>
      <c r="T36">
        <f t="shared" ref="T36" si="6">(-1.4841*T$3+3.6472)+$C36</f>
        <v>8.840978333333334</v>
      </c>
      <c r="U36">
        <f t="shared" si="5"/>
        <v>8.7667733333333331</v>
      </c>
      <c r="V36">
        <f t="shared" si="5"/>
        <v>8.6925683333333339</v>
      </c>
      <c r="W36">
        <f t="shared" si="5"/>
        <v>8.6183633333333347</v>
      </c>
      <c r="X36">
        <f t="shared" si="5"/>
        <v>8.5441583333333337</v>
      </c>
      <c r="Y36">
        <f t="shared" si="5"/>
        <v>8.4699533333333328</v>
      </c>
      <c r="Z36">
        <f t="shared" si="5"/>
        <v>8.3957483333333336</v>
      </c>
      <c r="AA36">
        <f t="shared" si="5"/>
        <v>8.3215433333333344</v>
      </c>
      <c r="AB36">
        <f t="shared" si="5"/>
        <v>8.2473383333333334</v>
      </c>
      <c r="AC36">
        <f t="shared" si="5"/>
        <v>8.1731333333333325</v>
      </c>
      <c r="AD36">
        <f t="shared" si="5"/>
        <v>6.8374433333333346</v>
      </c>
    </row>
    <row r="37" spans="2:30" x14ac:dyDescent="0.2">
      <c r="B37" s="7">
        <v>44605</v>
      </c>
      <c r="C37" s="8">
        <v>6.7506944444444441</v>
      </c>
      <c r="D37">
        <f t="shared" si="2"/>
        <v>10.026869444444444</v>
      </c>
      <c r="E37">
        <f t="shared" ref="E37:T52" si="7">(-1.4841*E$3+3.6472)+$C37</f>
        <v>9.9526644444444443</v>
      </c>
      <c r="F37">
        <f t="shared" si="7"/>
        <v>9.8784594444444451</v>
      </c>
      <c r="G37">
        <f t="shared" si="7"/>
        <v>9.8042544444444442</v>
      </c>
      <c r="H37">
        <f t="shared" si="7"/>
        <v>9.730049444444445</v>
      </c>
      <c r="I37">
        <f t="shared" si="7"/>
        <v>9.655844444444444</v>
      </c>
      <c r="J37">
        <f t="shared" si="7"/>
        <v>9.5816394444444448</v>
      </c>
      <c r="K37">
        <f t="shared" si="7"/>
        <v>9.5074344444444439</v>
      </c>
      <c r="L37">
        <f t="shared" si="7"/>
        <v>9.4332294444444447</v>
      </c>
      <c r="M37">
        <f t="shared" si="7"/>
        <v>9.3590244444444437</v>
      </c>
      <c r="N37">
        <f t="shared" si="7"/>
        <v>9.2848194444444445</v>
      </c>
      <c r="O37">
        <f t="shared" si="7"/>
        <v>9.2106144444444453</v>
      </c>
      <c r="P37">
        <f t="shared" si="7"/>
        <v>9.1364094444444444</v>
      </c>
      <c r="Q37">
        <f t="shared" si="7"/>
        <v>9.0622044444444434</v>
      </c>
      <c r="R37">
        <f t="shared" si="7"/>
        <v>8.9879994444444442</v>
      </c>
      <c r="S37">
        <f t="shared" si="7"/>
        <v>8.913794444444445</v>
      </c>
      <c r="T37">
        <f t="shared" si="7"/>
        <v>8.8395894444444441</v>
      </c>
      <c r="U37">
        <f t="shared" si="5"/>
        <v>8.7653844444444431</v>
      </c>
      <c r="V37">
        <f t="shared" si="5"/>
        <v>8.6911794444444439</v>
      </c>
      <c r="W37">
        <f t="shared" si="5"/>
        <v>8.6169744444444447</v>
      </c>
      <c r="X37">
        <f t="shared" si="5"/>
        <v>8.5427694444444437</v>
      </c>
      <c r="Y37">
        <f t="shared" si="5"/>
        <v>8.4685644444444428</v>
      </c>
      <c r="Z37">
        <f t="shared" si="5"/>
        <v>8.3943594444444436</v>
      </c>
      <c r="AA37">
        <f t="shared" si="5"/>
        <v>8.3201544444444444</v>
      </c>
      <c r="AB37">
        <f t="shared" si="5"/>
        <v>8.2459494444444434</v>
      </c>
      <c r="AC37">
        <f t="shared" si="5"/>
        <v>8.1717444444444425</v>
      </c>
      <c r="AD37">
        <f t="shared" si="5"/>
        <v>6.8360544444444447</v>
      </c>
    </row>
    <row r="38" spans="2:30" x14ac:dyDescent="0.2">
      <c r="B38" s="7">
        <v>44606</v>
      </c>
      <c r="C38" s="8">
        <v>11.004166666666665</v>
      </c>
      <c r="D38">
        <f t="shared" si="2"/>
        <v>14.280341666666665</v>
      </c>
      <c r="E38">
        <f t="shared" si="7"/>
        <v>14.206136666666666</v>
      </c>
      <c r="F38">
        <f t="shared" si="7"/>
        <v>14.131931666666665</v>
      </c>
      <c r="G38">
        <f t="shared" si="7"/>
        <v>14.057726666666664</v>
      </c>
      <c r="H38">
        <f t="shared" si="7"/>
        <v>13.983521666666665</v>
      </c>
      <c r="I38">
        <f t="shared" si="7"/>
        <v>13.909316666666665</v>
      </c>
      <c r="J38">
        <f t="shared" si="7"/>
        <v>13.835111666666664</v>
      </c>
      <c r="K38">
        <f t="shared" si="7"/>
        <v>13.760906666666665</v>
      </c>
      <c r="L38">
        <f t="shared" si="7"/>
        <v>13.686701666666664</v>
      </c>
      <c r="M38">
        <f t="shared" si="7"/>
        <v>13.612496666666665</v>
      </c>
      <c r="N38">
        <f t="shared" si="7"/>
        <v>13.538291666666666</v>
      </c>
      <c r="O38">
        <f t="shared" si="7"/>
        <v>13.464086666666665</v>
      </c>
      <c r="P38">
        <f t="shared" si="7"/>
        <v>13.389881666666664</v>
      </c>
      <c r="Q38">
        <f t="shared" si="7"/>
        <v>13.315676666666665</v>
      </c>
      <c r="R38">
        <f t="shared" si="7"/>
        <v>13.241471666666666</v>
      </c>
      <c r="S38">
        <f t="shared" si="7"/>
        <v>13.167266666666665</v>
      </c>
      <c r="T38">
        <f t="shared" si="7"/>
        <v>13.093061666666664</v>
      </c>
      <c r="U38">
        <f t="shared" si="5"/>
        <v>13.018856666666665</v>
      </c>
      <c r="V38">
        <f t="shared" si="5"/>
        <v>12.944651666666665</v>
      </c>
      <c r="W38">
        <f t="shared" si="5"/>
        <v>12.870446666666664</v>
      </c>
      <c r="X38">
        <f t="shared" si="5"/>
        <v>12.796241666666663</v>
      </c>
      <c r="Y38">
        <f t="shared" si="5"/>
        <v>12.722036666666664</v>
      </c>
      <c r="Z38">
        <f t="shared" si="5"/>
        <v>12.647831666666665</v>
      </c>
      <c r="AA38">
        <f t="shared" si="5"/>
        <v>12.573626666666664</v>
      </c>
      <c r="AB38">
        <f t="shared" si="5"/>
        <v>12.499421666666663</v>
      </c>
      <c r="AC38">
        <f t="shared" si="5"/>
        <v>12.425216666666664</v>
      </c>
      <c r="AD38">
        <f t="shared" si="5"/>
        <v>11.089526666666664</v>
      </c>
    </row>
    <row r="39" spans="2:30" x14ac:dyDescent="0.2">
      <c r="B39" s="7">
        <v>44607</v>
      </c>
      <c r="C39" s="8">
        <v>10.16527777777778</v>
      </c>
      <c r="D39">
        <f t="shared" si="2"/>
        <v>13.44145277777778</v>
      </c>
      <c r="E39">
        <f t="shared" si="7"/>
        <v>13.367247777777781</v>
      </c>
      <c r="F39">
        <f t="shared" si="7"/>
        <v>13.29304277777778</v>
      </c>
      <c r="G39">
        <f t="shared" si="7"/>
        <v>13.218837777777779</v>
      </c>
      <c r="H39">
        <f t="shared" si="7"/>
        <v>13.14463277777778</v>
      </c>
      <c r="I39">
        <f t="shared" si="7"/>
        <v>13.07042777777778</v>
      </c>
      <c r="J39">
        <f t="shared" si="7"/>
        <v>12.996222777777779</v>
      </c>
      <c r="K39">
        <f t="shared" si="7"/>
        <v>12.92201777777778</v>
      </c>
      <c r="L39">
        <f t="shared" si="7"/>
        <v>12.847812777777779</v>
      </c>
      <c r="M39">
        <f t="shared" si="7"/>
        <v>12.77360777777778</v>
      </c>
      <c r="N39">
        <f t="shared" si="7"/>
        <v>12.699402777777781</v>
      </c>
      <c r="O39">
        <f t="shared" si="7"/>
        <v>12.62519777777778</v>
      </c>
      <c r="P39">
        <f t="shared" si="7"/>
        <v>12.550992777777779</v>
      </c>
      <c r="Q39">
        <f t="shared" si="7"/>
        <v>12.47678777777778</v>
      </c>
      <c r="R39">
        <f t="shared" si="7"/>
        <v>12.402582777777781</v>
      </c>
      <c r="S39">
        <f t="shared" si="7"/>
        <v>12.32837777777778</v>
      </c>
      <c r="T39">
        <f t="shared" si="7"/>
        <v>12.254172777777779</v>
      </c>
      <c r="U39">
        <f t="shared" si="5"/>
        <v>12.17996777777778</v>
      </c>
      <c r="V39">
        <f t="shared" si="5"/>
        <v>12.10576277777778</v>
      </c>
      <c r="W39">
        <f t="shared" si="5"/>
        <v>12.031557777777779</v>
      </c>
      <c r="X39">
        <f t="shared" si="5"/>
        <v>11.957352777777778</v>
      </c>
      <c r="Y39">
        <f t="shared" si="5"/>
        <v>11.883147777777779</v>
      </c>
      <c r="Z39">
        <f t="shared" si="5"/>
        <v>11.80894277777778</v>
      </c>
      <c r="AA39">
        <f t="shared" si="5"/>
        <v>11.734737777777779</v>
      </c>
      <c r="AB39">
        <f t="shared" si="5"/>
        <v>11.660532777777778</v>
      </c>
      <c r="AC39">
        <f t="shared" si="5"/>
        <v>11.586327777777779</v>
      </c>
      <c r="AD39">
        <f t="shared" si="5"/>
        <v>10.250637777777779</v>
      </c>
    </row>
    <row r="40" spans="2:30" x14ac:dyDescent="0.2">
      <c r="B40" s="7">
        <v>44608</v>
      </c>
      <c r="C40" s="8">
        <v>12.206944444444439</v>
      </c>
      <c r="D40">
        <f t="shared" si="2"/>
        <v>15.483119444444439</v>
      </c>
      <c r="E40">
        <f t="shared" si="7"/>
        <v>15.408914444444438</v>
      </c>
      <c r="F40">
        <f t="shared" si="7"/>
        <v>15.334709444444439</v>
      </c>
      <c r="G40">
        <f t="shared" si="7"/>
        <v>15.26050444444444</v>
      </c>
      <c r="H40">
        <f t="shared" si="7"/>
        <v>15.186299444444439</v>
      </c>
      <c r="I40">
        <f t="shared" si="7"/>
        <v>15.112094444444439</v>
      </c>
      <c r="J40">
        <f t="shared" si="7"/>
        <v>15.037889444444438</v>
      </c>
      <c r="K40">
        <f t="shared" si="7"/>
        <v>14.963684444444439</v>
      </c>
      <c r="L40">
        <f t="shared" si="7"/>
        <v>14.889479444444438</v>
      </c>
      <c r="M40">
        <f t="shared" si="7"/>
        <v>14.815274444444439</v>
      </c>
      <c r="N40">
        <f t="shared" si="7"/>
        <v>14.741069444444438</v>
      </c>
      <c r="O40">
        <f t="shared" si="7"/>
        <v>14.666864444444439</v>
      </c>
      <c r="P40">
        <f t="shared" si="7"/>
        <v>14.59265944444444</v>
      </c>
      <c r="Q40">
        <f t="shared" si="7"/>
        <v>14.518454444444439</v>
      </c>
      <c r="R40">
        <f t="shared" si="7"/>
        <v>14.444249444444438</v>
      </c>
      <c r="S40">
        <f t="shared" si="7"/>
        <v>14.370044444444439</v>
      </c>
      <c r="T40">
        <f t="shared" si="7"/>
        <v>14.295839444444439</v>
      </c>
      <c r="U40">
        <f t="shared" ref="U40:AD65" si="8">(-1.4841*U$3+3.6472)+$C40</f>
        <v>14.221634444444438</v>
      </c>
      <c r="V40">
        <f t="shared" si="8"/>
        <v>14.147429444444438</v>
      </c>
      <c r="W40">
        <f t="shared" si="8"/>
        <v>14.073224444444438</v>
      </c>
      <c r="X40">
        <f t="shared" si="8"/>
        <v>13.999019444444439</v>
      </c>
      <c r="Y40">
        <f t="shared" si="8"/>
        <v>13.924814444444438</v>
      </c>
      <c r="Z40">
        <f t="shared" si="8"/>
        <v>13.850609444444437</v>
      </c>
      <c r="AA40">
        <f t="shared" si="8"/>
        <v>13.776404444444438</v>
      </c>
      <c r="AB40">
        <f t="shared" si="8"/>
        <v>13.702199444444439</v>
      </c>
      <c r="AC40">
        <f t="shared" si="8"/>
        <v>13.627994444444438</v>
      </c>
      <c r="AD40">
        <f t="shared" si="8"/>
        <v>12.29230444444444</v>
      </c>
    </row>
    <row r="41" spans="2:30" x14ac:dyDescent="0.2">
      <c r="B41" s="7">
        <v>44609</v>
      </c>
      <c r="C41" s="8">
        <v>11.344444444444441</v>
      </c>
      <c r="D41">
        <f t="shared" si="2"/>
        <v>14.620619444444442</v>
      </c>
      <c r="E41">
        <f t="shared" si="7"/>
        <v>14.546414444444441</v>
      </c>
      <c r="F41">
        <f t="shared" si="7"/>
        <v>14.472209444444442</v>
      </c>
      <c r="G41">
        <f t="shared" si="7"/>
        <v>14.398004444444442</v>
      </c>
      <c r="H41">
        <f t="shared" si="7"/>
        <v>14.323799444444441</v>
      </c>
      <c r="I41">
        <f t="shared" si="7"/>
        <v>14.249594444444442</v>
      </c>
      <c r="J41">
        <f t="shared" si="7"/>
        <v>14.175389444444441</v>
      </c>
      <c r="K41">
        <f t="shared" si="7"/>
        <v>14.101184444444442</v>
      </c>
      <c r="L41">
        <f t="shared" si="7"/>
        <v>14.026979444444441</v>
      </c>
      <c r="M41">
        <f t="shared" si="7"/>
        <v>13.952774444444442</v>
      </c>
      <c r="N41">
        <f t="shared" si="7"/>
        <v>13.878569444444441</v>
      </c>
      <c r="O41">
        <f t="shared" si="7"/>
        <v>13.804364444444442</v>
      </c>
      <c r="P41">
        <f t="shared" si="7"/>
        <v>13.730159444444443</v>
      </c>
      <c r="Q41">
        <f t="shared" si="7"/>
        <v>13.655954444444442</v>
      </c>
      <c r="R41">
        <f t="shared" si="7"/>
        <v>13.581749444444441</v>
      </c>
      <c r="S41">
        <f t="shared" si="7"/>
        <v>13.507544444444441</v>
      </c>
      <c r="T41">
        <f t="shared" si="7"/>
        <v>13.433339444444442</v>
      </c>
      <c r="U41">
        <f t="shared" si="8"/>
        <v>13.359134444444441</v>
      </c>
      <c r="V41">
        <f t="shared" si="8"/>
        <v>13.28492944444444</v>
      </c>
      <c r="W41">
        <f t="shared" si="8"/>
        <v>13.210724444444441</v>
      </c>
      <c r="X41">
        <f t="shared" si="8"/>
        <v>13.136519444444442</v>
      </c>
      <c r="Y41">
        <f t="shared" si="8"/>
        <v>13.062314444444441</v>
      </c>
      <c r="Z41">
        <f t="shared" si="8"/>
        <v>12.98810944444444</v>
      </c>
      <c r="AA41">
        <f t="shared" si="8"/>
        <v>12.913904444444441</v>
      </c>
      <c r="AB41">
        <f t="shared" si="8"/>
        <v>12.839699444444442</v>
      </c>
      <c r="AC41">
        <f t="shared" si="8"/>
        <v>12.765494444444441</v>
      </c>
      <c r="AD41">
        <f t="shared" si="8"/>
        <v>11.429804444444443</v>
      </c>
    </row>
    <row r="42" spans="2:30" x14ac:dyDescent="0.2">
      <c r="B42" s="7">
        <v>44610</v>
      </c>
      <c r="C42" s="8">
        <v>9.9368055555555532</v>
      </c>
      <c r="D42">
        <f t="shared" si="2"/>
        <v>13.212980555555554</v>
      </c>
      <c r="E42">
        <f t="shared" si="7"/>
        <v>13.138775555555554</v>
      </c>
      <c r="F42">
        <f t="shared" si="7"/>
        <v>13.064570555555553</v>
      </c>
      <c r="G42">
        <f t="shared" si="7"/>
        <v>12.990365555555552</v>
      </c>
      <c r="H42">
        <f t="shared" si="7"/>
        <v>12.916160555555553</v>
      </c>
      <c r="I42">
        <f t="shared" si="7"/>
        <v>12.841955555555554</v>
      </c>
      <c r="J42">
        <f t="shared" si="7"/>
        <v>12.767750555555553</v>
      </c>
      <c r="K42">
        <f t="shared" si="7"/>
        <v>12.693545555555554</v>
      </c>
      <c r="L42">
        <f t="shared" si="7"/>
        <v>12.619340555555553</v>
      </c>
      <c r="M42">
        <f t="shared" si="7"/>
        <v>12.545135555555554</v>
      </c>
      <c r="N42">
        <f t="shared" si="7"/>
        <v>12.470930555555555</v>
      </c>
      <c r="O42">
        <f t="shared" si="7"/>
        <v>12.396725555555554</v>
      </c>
      <c r="P42">
        <f t="shared" si="7"/>
        <v>12.322520555555553</v>
      </c>
      <c r="Q42">
        <f t="shared" si="7"/>
        <v>12.248315555555553</v>
      </c>
      <c r="R42">
        <f t="shared" si="7"/>
        <v>12.174110555555554</v>
      </c>
      <c r="S42">
        <f t="shared" si="7"/>
        <v>12.099905555555553</v>
      </c>
      <c r="T42">
        <f t="shared" si="7"/>
        <v>12.025700555555552</v>
      </c>
      <c r="U42">
        <f t="shared" si="8"/>
        <v>11.951495555555553</v>
      </c>
      <c r="V42">
        <f t="shared" si="8"/>
        <v>11.877290555555554</v>
      </c>
      <c r="W42">
        <f t="shared" si="8"/>
        <v>11.803085555555553</v>
      </c>
      <c r="X42">
        <f t="shared" si="8"/>
        <v>11.728880555555552</v>
      </c>
      <c r="Y42">
        <f t="shared" si="8"/>
        <v>11.654675555555553</v>
      </c>
      <c r="Z42">
        <f t="shared" si="8"/>
        <v>11.580470555555554</v>
      </c>
      <c r="AA42">
        <f t="shared" si="8"/>
        <v>11.506265555555553</v>
      </c>
      <c r="AB42">
        <f t="shared" si="8"/>
        <v>11.432060555555552</v>
      </c>
      <c r="AC42">
        <f t="shared" si="8"/>
        <v>11.357855555555552</v>
      </c>
      <c r="AD42">
        <f t="shared" si="8"/>
        <v>10.022165555555553</v>
      </c>
    </row>
    <row r="43" spans="2:30" x14ac:dyDescent="0.2">
      <c r="B43" s="7">
        <v>44611</v>
      </c>
      <c r="C43" s="8">
        <v>7.9375000000000009</v>
      </c>
      <c r="D43">
        <f t="shared" si="2"/>
        <v>11.213675000000002</v>
      </c>
      <c r="E43">
        <f t="shared" si="7"/>
        <v>11.139470000000001</v>
      </c>
      <c r="F43">
        <f t="shared" si="7"/>
        <v>11.065265</v>
      </c>
      <c r="G43">
        <f t="shared" si="7"/>
        <v>10.991060000000001</v>
      </c>
      <c r="H43">
        <f t="shared" si="7"/>
        <v>10.916855000000002</v>
      </c>
      <c r="I43">
        <f t="shared" si="7"/>
        <v>10.842650000000001</v>
      </c>
      <c r="J43">
        <f t="shared" si="7"/>
        <v>10.768445000000002</v>
      </c>
      <c r="K43">
        <f t="shared" si="7"/>
        <v>10.694240000000001</v>
      </c>
      <c r="L43">
        <f t="shared" si="7"/>
        <v>10.620035000000001</v>
      </c>
      <c r="M43">
        <f t="shared" si="7"/>
        <v>10.54583</v>
      </c>
      <c r="N43">
        <f t="shared" si="7"/>
        <v>10.471625000000001</v>
      </c>
      <c r="O43">
        <f t="shared" si="7"/>
        <v>10.39742</v>
      </c>
      <c r="P43">
        <f t="shared" si="7"/>
        <v>10.323215000000001</v>
      </c>
      <c r="Q43">
        <f t="shared" si="7"/>
        <v>10.249010000000002</v>
      </c>
      <c r="R43">
        <f t="shared" si="7"/>
        <v>10.174805000000001</v>
      </c>
      <c r="S43">
        <f t="shared" si="7"/>
        <v>10.1006</v>
      </c>
      <c r="T43">
        <f t="shared" si="7"/>
        <v>10.026395000000001</v>
      </c>
      <c r="U43">
        <f t="shared" si="8"/>
        <v>9.9521900000000016</v>
      </c>
      <c r="V43">
        <f t="shared" si="8"/>
        <v>9.8779850000000007</v>
      </c>
      <c r="W43">
        <f t="shared" si="8"/>
        <v>9.8037799999999997</v>
      </c>
      <c r="X43">
        <f t="shared" si="8"/>
        <v>9.7295750000000005</v>
      </c>
      <c r="Y43">
        <f t="shared" si="8"/>
        <v>9.6553700000000013</v>
      </c>
      <c r="Z43">
        <f t="shared" si="8"/>
        <v>9.5811650000000004</v>
      </c>
      <c r="AA43">
        <f t="shared" si="8"/>
        <v>9.5069599999999994</v>
      </c>
      <c r="AB43">
        <f t="shared" si="8"/>
        <v>9.4327550000000002</v>
      </c>
      <c r="AC43">
        <f t="shared" si="8"/>
        <v>9.358550000000001</v>
      </c>
      <c r="AD43">
        <f t="shared" si="8"/>
        <v>8.0228600000000014</v>
      </c>
    </row>
    <row r="44" spans="2:30" x14ac:dyDescent="0.2">
      <c r="B44" s="7">
        <v>44612</v>
      </c>
      <c r="C44" s="8">
        <v>10.115972222222219</v>
      </c>
      <c r="D44">
        <f t="shared" si="2"/>
        <v>13.392147222222219</v>
      </c>
      <c r="E44">
        <f t="shared" si="7"/>
        <v>13.317942222222218</v>
      </c>
      <c r="F44">
        <f t="shared" si="7"/>
        <v>13.243737222222219</v>
      </c>
      <c r="G44">
        <f t="shared" si="7"/>
        <v>13.16953222222222</v>
      </c>
      <c r="H44">
        <f t="shared" si="7"/>
        <v>13.095327222222219</v>
      </c>
      <c r="I44">
        <f t="shared" si="7"/>
        <v>13.021122222222219</v>
      </c>
      <c r="J44">
        <f t="shared" si="7"/>
        <v>12.946917222222218</v>
      </c>
      <c r="K44">
        <f t="shared" si="7"/>
        <v>12.872712222222219</v>
      </c>
      <c r="L44">
        <f t="shared" si="7"/>
        <v>12.798507222222218</v>
      </c>
      <c r="M44">
        <f t="shared" si="7"/>
        <v>12.724302222222219</v>
      </c>
      <c r="N44">
        <f t="shared" si="7"/>
        <v>12.650097222222218</v>
      </c>
      <c r="O44">
        <f t="shared" si="7"/>
        <v>12.575892222222219</v>
      </c>
      <c r="P44">
        <f t="shared" si="7"/>
        <v>12.50168722222222</v>
      </c>
      <c r="Q44">
        <f t="shared" si="7"/>
        <v>12.427482222222219</v>
      </c>
      <c r="R44">
        <f t="shared" si="7"/>
        <v>12.353277222222218</v>
      </c>
      <c r="S44">
        <f t="shared" si="7"/>
        <v>12.279072222222219</v>
      </c>
      <c r="T44">
        <f t="shared" si="7"/>
        <v>12.204867222222219</v>
      </c>
      <c r="U44">
        <f t="shared" si="8"/>
        <v>12.130662222222218</v>
      </c>
      <c r="V44">
        <f t="shared" si="8"/>
        <v>12.056457222222217</v>
      </c>
      <c r="W44">
        <f t="shared" si="8"/>
        <v>11.982252222222218</v>
      </c>
      <c r="X44">
        <f t="shared" si="8"/>
        <v>11.908047222222219</v>
      </c>
      <c r="Y44">
        <f t="shared" si="8"/>
        <v>11.833842222222218</v>
      </c>
      <c r="Z44">
        <f t="shared" si="8"/>
        <v>11.759637222222217</v>
      </c>
      <c r="AA44">
        <f t="shared" si="8"/>
        <v>11.685432222222218</v>
      </c>
      <c r="AB44">
        <f t="shared" si="8"/>
        <v>11.611227222222219</v>
      </c>
      <c r="AC44">
        <f t="shared" si="8"/>
        <v>11.537022222222218</v>
      </c>
      <c r="AD44">
        <f t="shared" si="8"/>
        <v>10.20133222222222</v>
      </c>
    </row>
    <row r="45" spans="2:30" x14ac:dyDescent="0.2">
      <c r="B45" s="7">
        <v>44613</v>
      </c>
      <c r="C45" s="8">
        <v>9.0493055555555557</v>
      </c>
      <c r="D45">
        <f t="shared" si="2"/>
        <v>12.325480555555556</v>
      </c>
      <c r="E45">
        <f t="shared" si="7"/>
        <v>12.251275555555555</v>
      </c>
      <c r="F45">
        <f t="shared" si="7"/>
        <v>12.177070555555556</v>
      </c>
      <c r="G45">
        <f t="shared" si="7"/>
        <v>12.102865555555557</v>
      </c>
      <c r="H45">
        <f t="shared" si="7"/>
        <v>12.028660555555556</v>
      </c>
      <c r="I45">
        <f t="shared" si="7"/>
        <v>11.954455555555557</v>
      </c>
      <c r="J45">
        <f t="shared" si="7"/>
        <v>11.880250555555556</v>
      </c>
      <c r="K45">
        <f t="shared" si="7"/>
        <v>11.806045555555556</v>
      </c>
      <c r="L45">
        <f t="shared" si="7"/>
        <v>11.731840555555555</v>
      </c>
      <c r="M45">
        <f t="shared" si="7"/>
        <v>11.657635555555556</v>
      </c>
      <c r="N45">
        <f t="shared" si="7"/>
        <v>11.583430555555555</v>
      </c>
      <c r="O45">
        <f t="shared" si="7"/>
        <v>11.509225555555556</v>
      </c>
      <c r="P45">
        <f t="shared" si="7"/>
        <v>11.435020555555557</v>
      </c>
      <c r="Q45">
        <f t="shared" si="7"/>
        <v>11.360815555555556</v>
      </c>
      <c r="R45">
        <f t="shared" si="7"/>
        <v>11.286610555555555</v>
      </c>
      <c r="S45">
        <f t="shared" si="7"/>
        <v>11.212405555555556</v>
      </c>
      <c r="T45">
        <f t="shared" si="7"/>
        <v>11.138200555555557</v>
      </c>
      <c r="U45">
        <f t="shared" si="8"/>
        <v>11.063995555555556</v>
      </c>
      <c r="V45">
        <f t="shared" si="8"/>
        <v>10.989790555555555</v>
      </c>
      <c r="W45">
        <f t="shared" si="8"/>
        <v>10.915585555555555</v>
      </c>
      <c r="X45">
        <f t="shared" si="8"/>
        <v>10.841380555555556</v>
      </c>
      <c r="Y45">
        <f t="shared" si="8"/>
        <v>10.767175555555555</v>
      </c>
      <c r="Z45">
        <f t="shared" si="8"/>
        <v>10.692970555555554</v>
      </c>
      <c r="AA45">
        <f t="shared" si="8"/>
        <v>10.618765555555555</v>
      </c>
      <c r="AB45">
        <f t="shared" si="8"/>
        <v>10.544560555555556</v>
      </c>
      <c r="AC45">
        <f t="shared" si="8"/>
        <v>10.470355555555555</v>
      </c>
      <c r="AD45">
        <f t="shared" si="8"/>
        <v>9.1346655555555571</v>
      </c>
    </row>
    <row r="46" spans="2:30" x14ac:dyDescent="0.2">
      <c r="B46" s="7">
        <v>44614</v>
      </c>
      <c r="C46" s="8">
        <v>8.8569444444444425</v>
      </c>
      <c r="D46">
        <f t="shared" si="2"/>
        <v>12.133119444444443</v>
      </c>
      <c r="E46">
        <f t="shared" si="7"/>
        <v>12.058914444444444</v>
      </c>
      <c r="F46">
        <f t="shared" si="7"/>
        <v>11.984709444444443</v>
      </c>
      <c r="G46">
        <f t="shared" si="7"/>
        <v>11.910504444444442</v>
      </c>
      <c r="H46">
        <f t="shared" si="7"/>
        <v>11.836299444444442</v>
      </c>
      <c r="I46">
        <f t="shared" si="7"/>
        <v>11.762094444444443</v>
      </c>
      <c r="J46">
        <f t="shared" si="7"/>
        <v>11.687889444444442</v>
      </c>
      <c r="K46">
        <f t="shared" si="7"/>
        <v>11.613684444444443</v>
      </c>
      <c r="L46">
        <f t="shared" si="7"/>
        <v>11.539479444444442</v>
      </c>
      <c r="M46">
        <f t="shared" si="7"/>
        <v>11.465274444444443</v>
      </c>
      <c r="N46">
        <f t="shared" si="7"/>
        <v>11.391069444444444</v>
      </c>
      <c r="O46">
        <f t="shared" si="7"/>
        <v>11.316864444444443</v>
      </c>
      <c r="P46">
        <f t="shared" si="7"/>
        <v>11.242659444444442</v>
      </c>
      <c r="Q46">
        <f t="shared" si="7"/>
        <v>11.168454444444443</v>
      </c>
      <c r="R46">
        <f t="shared" si="7"/>
        <v>11.094249444444443</v>
      </c>
      <c r="S46">
        <f t="shared" si="7"/>
        <v>11.020044444444443</v>
      </c>
      <c r="T46">
        <f t="shared" si="7"/>
        <v>10.945839444444442</v>
      </c>
      <c r="U46">
        <f t="shared" si="8"/>
        <v>10.871634444444442</v>
      </c>
      <c r="V46">
        <f t="shared" si="8"/>
        <v>10.797429444444443</v>
      </c>
      <c r="W46">
        <f t="shared" si="8"/>
        <v>10.723224444444442</v>
      </c>
      <c r="X46">
        <f t="shared" si="8"/>
        <v>10.649019444444441</v>
      </c>
      <c r="Y46">
        <f t="shared" si="8"/>
        <v>10.574814444444442</v>
      </c>
      <c r="Z46">
        <f t="shared" si="8"/>
        <v>10.500609444444443</v>
      </c>
      <c r="AA46">
        <f t="shared" si="8"/>
        <v>10.426404444444442</v>
      </c>
      <c r="AB46">
        <f t="shared" si="8"/>
        <v>10.352199444444441</v>
      </c>
      <c r="AC46">
        <f t="shared" si="8"/>
        <v>10.277994444444442</v>
      </c>
      <c r="AD46">
        <f t="shared" si="8"/>
        <v>8.9423044444444422</v>
      </c>
    </row>
    <row r="47" spans="2:30" x14ac:dyDescent="0.2">
      <c r="B47" s="7">
        <v>44615</v>
      </c>
      <c r="C47" s="8">
        <v>9.7888888888888843</v>
      </c>
      <c r="D47">
        <f t="shared" si="2"/>
        <v>13.065063888888885</v>
      </c>
      <c r="E47">
        <f t="shared" si="7"/>
        <v>12.990858888888884</v>
      </c>
      <c r="F47">
        <f t="shared" si="7"/>
        <v>12.916653888888884</v>
      </c>
      <c r="G47">
        <f t="shared" si="7"/>
        <v>12.842448888888885</v>
      </c>
      <c r="H47">
        <f t="shared" si="7"/>
        <v>12.768243888888884</v>
      </c>
      <c r="I47">
        <f t="shared" si="7"/>
        <v>12.694038888888885</v>
      </c>
      <c r="J47">
        <f t="shared" si="7"/>
        <v>12.619833888888884</v>
      </c>
      <c r="K47">
        <f t="shared" si="7"/>
        <v>12.545628888888885</v>
      </c>
      <c r="L47">
        <f t="shared" si="7"/>
        <v>12.471423888888884</v>
      </c>
      <c r="M47">
        <f t="shared" si="7"/>
        <v>12.397218888888885</v>
      </c>
      <c r="N47">
        <f t="shared" si="7"/>
        <v>12.323013888888884</v>
      </c>
      <c r="O47">
        <f t="shared" si="7"/>
        <v>12.248808888888885</v>
      </c>
      <c r="P47">
        <f t="shared" si="7"/>
        <v>12.174603888888885</v>
      </c>
      <c r="Q47">
        <f t="shared" si="7"/>
        <v>12.100398888888884</v>
      </c>
      <c r="R47">
        <f t="shared" si="7"/>
        <v>12.026193888888884</v>
      </c>
      <c r="S47">
        <f t="shared" si="7"/>
        <v>11.951988888888884</v>
      </c>
      <c r="T47">
        <f t="shared" si="7"/>
        <v>11.877783888888885</v>
      </c>
      <c r="U47">
        <f t="shared" si="8"/>
        <v>11.803578888888884</v>
      </c>
      <c r="V47">
        <f t="shared" si="8"/>
        <v>11.729373888888883</v>
      </c>
      <c r="W47">
        <f t="shared" si="8"/>
        <v>11.655168888888884</v>
      </c>
      <c r="X47">
        <f t="shared" si="8"/>
        <v>11.580963888888885</v>
      </c>
      <c r="Y47">
        <f t="shared" si="8"/>
        <v>11.506758888888884</v>
      </c>
      <c r="Z47">
        <f t="shared" si="8"/>
        <v>11.432553888888883</v>
      </c>
      <c r="AA47">
        <f t="shared" si="8"/>
        <v>11.358348888888884</v>
      </c>
      <c r="AB47">
        <f t="shared" si="8"/>
        <v>11.284143888888885</v>
      </c>
      <c r="AC47">
        <f t="shared" si="8"/>
        <v>11.209938888888884</v>
      </c>
      <c r="AD47">
        <f t="shared" si="8"/>
        <v>9.8742488888888857</v>
      </c>
    </row>
    <row r="48" spans="2:30" x14ac:dyDescent="0.2">
      <c r="B48" s="7">
        <v>44616</v>
      </c>
      <c r="C48" s="8">
        <v>9.3402777777777768</v>
      </c>
      <c r="D48">
        <f t="shared" si="2"/>
        <v>12.616452777777777</v>
      </c>
      <c r="E48">
        <f t="shared" si="7"/>
        <v>12.542247777777778</v>
      </c>
      <c r="F48">
        <f t="shared" si="7"/>
        <v>12.468042777777777</v>
      </c>
      <c r="G48">
        <f t="shared" si="7"/>
        <v>12.393837777777776</v>
      </c>
      <c r="H48">
        <f t="shared" si="7"/>
        <v>12.319632777777777</v>
      </c>
      <c r="I48">
        <f t="shared" si="7"/>
        <v>12.245427777777778</v>
      </c>
      <c r="J48">
        <f t="shared" si="7"/>
        <v>12.171222777777777</v>
      </c>
      <c r="K48">
        <f t="shared" si="7"/>
        <v>12.097017777777777</v>
      </c>
      <c r="L48">
        <f t="shared" si="7"/>
        <v>12.022812777777776</v>
      </c>
      <c r="M48">
        <f t="shared" si="7"/>
        <v>11.948607777777777</v>
      </c>
      <c r="N48">
        <f t="shared" si="7"/>
        <v>11.874402777777778</v>
      </c>
      <c r="O48">
        <f t="shared" si="7"/>
        <v>11.800197777777777</v>
      </c>
      <c r="P48">
        <f t="shared" si="7"/>
        <v>11.725992777777776</v>
      </c>
      <c r="Q48">
        <f t="shared" si="7"/>
        <v>11.651787777777777</v>
      </c>
      <c r="R48">
        <f t="shared" si="7"/>
        <v>11.577582777777778</v>
      </c>
      <c r="S48">
        <f t="shared" si="7"/>
        <v>11.503377777777777</v>
      </c>
      <c r="T48">
        <f t="shared" si="7"/>
        <v>11.429172777777776</v>
      </c>
      <c r="U48">
        <f t="shared" si="8"/>
        <v>11.354967777777777</v>
      </c>
      <c r="V48">
        <f t="shared" si="8"/>
        <v>11.280762777777777</v>
      </c>
      <c r="W48">
        <f t="shared" si="8"/>
        <v>11.206557777777777</v>
      </c>
      <c r="X48">
        <f t="shared" si="8"/>
        <v>11.132352777777776</v>
      </c>
      <c r="Y48">
        <f t="shared" si="8"/>
        <v>11.058147777777776</v>
      </c>
      <c r="Z48">
        <f t="shared" si="8"/>
        <v>10.983942777777777</v>
      </c>
      <c r="AA48">
        <f t="shared" si="8"/>
        <v>10.909737777777776</v>
      </c>
      <c r="AB48">
        <f t="shared" si="8"/>
        <v>10.835532777777775</v>
      </c>
      <c r="AC48">
        <f t="shared" si="8"/>
        <v>10.761327777777776</v>
      </c>
      <c r="AD48">
        <f t="shared" si="8"/>
        <v>9.4256377777777764</v>
      </c>
    </row>
    <row r="49" spans="2:30" x14ac:dyDescent="0.2">
      <c r="B49" s="7">
        <v>44617</v>
      </c>
      <c r="C49" s="8">
        <v>8.25</v>
      </c>
      <c r="D49">
        <f t="shared" si="2"/>
        <v>11.526175</v>
      </c>
      <c r="E49">
        <f t="shared" si="7"/>
        <v>11.451969999999999</v>
      </c>
      <c r="F49">
        <f t="shared" si="7"/>
        <v>11.377765</v>
      </c>
      <c r="G49">
        <f t="shared" si="7"/>
        <v>11.303560000000001</v>
      </c>
      <c r="H49">
        <f t="shared" si="7"/>
        <v>11.229355</v>
      </c>
      <c r="I49">
        <f t="shared" si="7"/>
        <v>11.155150000000001</v>
      </c>
      <c r="J49">
        <f t="shared" si="7"/>
        <v>11.080945</v>
      </c>
      <c r="K49">
        <f t="shared" si="7"/>
        <v>11.006740000000001</v>
      </c>
      <c r="L49">
        <f t="shared" si="7"/>
        <v>10.932535</v>
      </c>
      <c r="M49">
        <f t="shared" si="7"/>
        <v>10.85833</v>
      </c>
      <c r="N49">
        <f t="shared" si="7"/>
        <v>10.784125</v>
      </c>
      <c r="O49">
        <f t="shared" si="7"/>
        <v>10.70992</v>
      </c>
      <c r="P49">
        <f t="shared" si="7"/>
        <v>10.635715000000001</v>
      </c>
      <c r="Q49">
        <f t="shared" si="7"/>
        <v>10.56151</v>
      </c>
      <c r="R49">
        <f t="shared" si="7"/>
        <v>10.487304999999999</v>
      </c>
      <c r="S49">
        <f t="shared" si="7"/>
        <v>10.4131</v>
      </c>
      <c r="T49">
        <f t="shared" si="7"/>
        <v>10.338895000000001</v>
      </c>
      <c r="U49">
        <f t="shared" si="8"/>
        <v>10.26469</v>
      </c>
      <c r="V49">
        <f t="shared" si="8"/>
        <v>10.190484999999999</v>
      </c>
      <c r="W49">
        <f t="shared" si="8"/>
        <v>10.11628</v>
      </c>
      <c r="X49">
        <f t="shared" si="8"/>
        <v>10.042075000000001</v>
      </c>
      <c r="Y49">
        <f t="shared" si="8"/>
        <v>9.9678699999999996</v>
      </c>
      <c r="Z49">
        <f t="shared" si="8"/>
        <v>9.8936649999999986</v>
      </c>
      <c r="AA49">
        <f t="shared" si="8"/>
        <v>9.8194599999999994</v>
      </c>
      <c r="AB49">
        <f t="shared" si="8"/>
        <v>9.7452550000000002</v>
      </c>
      <c r="AC49">
        <f t="shared" si="8"/>
        <v>9.6710499999999993</v>
      </c>
      <c r="AD49">
        <f t="shared" si="8"/>
        <v>8.3353600000000014</v>
      </c>
    </row>
    <row r="50" spans="2:30" x14ac:dyDescent="0.2">
      <c r="B50" s="7">
        <v>44618</v>
      </c>
      <c r="C50" s="8">
        <v>8.9104166666666682</v>
      </c>
      <c r="D50">
        <f t="shared" si="2"/>
        <v>12.186591666666668</v>
      </c>
      <c r="E50">
        <f t="shared" si="7"/>
        <v>12.112386666666669</v>
      </c>
      <c r="F50">
        <f t="shared" si="7"/>
        <v>12.038181666666668</v>
      </c>
      <c r="G50">
        <f t="shared" si="7"/>
        <v>11.963976666666667</v>
      </c>
      <c r="H50">
        <f t="shared" si="7"/>
        <v>11.889771666666668</v>
      </c>
      <c r="I50">
        <f t="shared" si="7"/>
        <v>11.815566666666669</v>
      </c>
      <c r="J50">
        <f t="shared" si="7"/>
        <v>11.741361666666668</v>
      </c>
      <c r="K50">
        <f t="shared" si="7"/>
        <v>11.667156666666669</v>
      </c>
      <c r="L50">
        <f t="shared" si="7"/>
        <v>11.592951666666668</v>
      </c>
      <c r="M50">
        <f t="shared" si="7"/>
        <v>11.518746666666669</v>
      </c>
      <c r="N50">
        <f t="shared" si="7"/>
        <v>11.444541666666669</v>
      </c>
      <c r="O50">
        <f t="shared" si="7"/>
        <v>11.370336666666669</v>
      </c>
      <c r="P50">
        <f t="shared" si="7"/>
        <v>11.296131666666668</v>
      </c>
      <c r="Q50">
        <f t="shared" si="7"/>
        <v>11.221926666666668</v>
      </c>
      <c r="R50">
        <f t="shared" si="7"/>
        <v>11.147721666666669</v>
      </c>
      <c r="S50">
        <f t="shared" si="7"/>
        <v>11.073516666666668</v>
      </c>
      <c r="T50">
        <f t="shared" si="7"/>
        <v>10.999311666666667</v>
      </c>
      <c r="U50">
        <f t="shared" si="8"/>
        <v>10.925106666666668</v>
      </c>
      <c r="V50">
        <f t="shared" si="8"/>
        <v>10.850901666666669</v>
      </c>
      <c r="W50">
        <f t="shared" si="8"/>
        <v>10.776696666666668</v>
      </c>
      <c r="X50">
        <f t="shared" si="8"/>
        <v>10.702491666666667</v>
      </c>
      <c r="Y50">
        <f t="shared" si="8"/>
        <v>10.628286666666668</v>
      </c>
      <c r="Z50">
        <f t="shared" si="8"/>
        <v>10.554081666666669</v>
      </c>
      <c r="AA50">
        <f t="shared" si="8"/>
        <v>10.479876666666668</v>
      </c>
      <c r="AB50">
        <f t="shared" si="8"/>
        <v>10.405671666666667</v>
      </c>
      <c r="AC50">
        <f t="shared" si="8"/>
        <v>10.331466666666667</v>
      </c>
      <c r="AD50">
        <f t="shared" si="8"/>
        <v>8.9957766666666679</v>
      </c>
    </row>
    <row r="51" spans="2:30" x14ac:dyDescent="0.2">
      <c r="B51" s="7">
        <v>44619</v>
      </c>
      <c r="C51" s="8">
        <v>8.2902777777777779</v>
      </c>
      <c r="D51">
        <f t="shared" si="2"/>
        <v>11.566452777777778</v>
      </c>
      <c r="E51">
        <f t="shared" si="7"/>
        <v>11.492247777777777</v>
      </c>
      <c r="F51">
        <f t="shared" si="7"/>
        <v>11.418042777777778</v>
      </c>
      <c r="G51">
        <f t="shared" si="7"/>
        <v>11.343837777777779</v>
      </c>
      <c r="H51">
        <f t="shared" si="7"/>
        <v>11.269632777777778</v>
      </c>
      <c r="I51">
        <f t="shared" si="7"/>
        <v>11.195427777777779</v>
      </c>
      <c r="J51">
        <f t="shared" si="7"/>
        <v>11.121222777777778</v>
      </c>
      <c r="K51">
        <f t="shared" si="7"/>
        <v>11.047017777777778</v>
      </c>
      <c r="L51">
        <f t="shared" si="7"/>
        <v>10.972812777777778</v>
      </c>
      <c r="M51">
        <f t="shared" si="7"/>
        <v>10.898607777777778</v>
      </c>
      <c r="N51">
        <f t="shared" si="7"/>
        <v>10.824402777777777</v>
      </c>
      <c r="O51">
        <f t="shared" si="7"/>
        <v>10.750197777777778</v>
      </c>
      <c r="P51">
        <f t="shared" si="7"/>
        <v>10.675992777777779</v>
      </c>
      <c r="Q51">
        <f t="shared" si="7"/>
        <v>10.601787777777778</v>
      </c>
      <c r="R51">
        <f t="shared" si="7"/>
        <v>10.527582777777777</v>
      </c>
      <c r="S51">
        <f t="shared" si="7"/>
        <v>10.453377777777778</v>
      </c>
      <c r="T51">
        <f t="shared" si="7"/>
        <v>10.379172777777779</v>
      </c>
      <c r="U51">
        <f t="shared" si="8"/>
        <v>10.304967777777778</v>
      </c>
      <c r="V51">
        <f t="shared" si="8"/>
        <v>10.230762777777777</v>
      </c>
      <c r="W51">
        <f t="shared" si="8"/>
        <v>10.156557777777778</v>
      </c>
      <c r="X51">
        <f t="shared" si="8"/>
        <v>10.082352777777778</v>
      </c>
      <c r="Y51">
        <f t="shared" si="8"/>
        <v>10.008147777777777</v>
      </c>
      <c r="Z51">
        <f t="shared" si="8"/>
        <v>9.9339427777777765</v>
      </c>
      <c r="AA51">
        <f t="shared" si="8"/>
        <v>9.8597377777777773</v>
      </c>
      <c r="AB51">
        <f t="shared" si="8"/>
        <v>9.7855327777777781</v>
      </c>
      <c r="AC51">
        <f t="shared" si="8"/>
        <v>9.7113277777777771</v>
      </c>
      <c r="AD51">
        <f t="shared" si="8"/>
        <v>8.3756377777777793</v>
      </c>
    </row>
    <row r="52" spans="2:30" x14ac:dyDescent="0.2">
      <c r="B52" s="7">
        <v>44620</v>
      </c>
      <c r="C52" s="8">
        <v>8.2444444444444436</v>
      </c>
      <c r="D52">
        <f t="shared" si="2"/>
        <v>11.520619444444444</v>
      </c>
      <c r="E52">
        <f t="shared" si="7"/>
        <v>11.446414444444443</v>
      </c>
      <c r="F52">
        <f t="shared" si="7"/>
        <v>11.372209444444444</v>
      </c>
      <c r="G52">
        <f t="shared" si="7"/>
        <v>11.298004444444445</v>
      </c>
      <c r="H52">
        <f t="shared" si="7"/>
        <v>11.223799444444444</v>
      </c>
      <c r="I52">
        <f t="shared" si="7"/>
        <v>11.149594444444444</v>
      </c>
      <c r="J52">
        <f t="shared" si="7"/>
        <v>11.075389444444443</v>
      </c>
      <c r="K52">
        <f t="shared" si="7"/>
        <v>11.001184444444444</v>
      </c>
      <c r="L52">
        <f t="shared" si="7"/>
        <v>10.926979444444443</v>
      </c>
      <c r="M52">
        <f t="shared" si="7"/>
        <v>10.852774444444444</v>
      </c>
      <c r="N52">
        <f t="shared" si="7"/>
        <v>10.778569444444443</v>
      </c>
      <c r="O52">
        <f t="shared" si="7"/>
        <v>10.704364444444444</v>
      </c>
      <c r="P52">
        <f t="shared" si="7"/>
        <v>10.630159444444445</v>
      </c>
      <c r="Q52">
        <f t="shared" si="7"/>
        <v>10.555954444444444</v>
      </c>
      <c r="R52">
        <f t="shared" si="7"/>
        <v>10.481749444444443</v>
      </c>
      <c r="S52">
        <f t="shared" si="7"/>
        <v>10.407544444444444</v>
      </c>
      <c r="T52">
        <f t="shared" ref="T52" si="9">(-1.4841*T$3+3.6472)+$C52</f>
        <v>10.333339444444444</v>
      </c>
      <c r="U52">
        <f t="shared" si="8"/>
        <v>10.259134444444443</v>
      </c>
      <c r="V52">
        <f t="shared" si="8"/>
        <v>10.184929444444442</v>
      </c>
      <c r="W52">
        <f t="shared" si="8"/>
        <v>10.110724444444443</v>
      </c>
      <c r="X52">
        <f t="shared" si="8"/>
        <v>10.036519444444444</v>
      </c>
      <c r="Y52">
        <f t="shared" si="8"/>
        <v>9.9623144444444431</v>
      </c>
      <c r="Z52">
        <f t="shared" si="8"/>
        <v>9.8881094444444422</v>
      </c>
      <c r="AA52">
        <f t="shared" si="8"/>
        <v>9.813904444444443</v>
      </c>
      <c r="AB52">
        <f t="shared" si="8"/>
        <v>9.7396994444444438</v>
      </c>
      <c r="AC52">
        <f t="shared" si="8"/>
        <v>9.6654944444444428</v>
      </c>
      <c r="AD52">
        <f t="shared" si="8"/>
        <v>8.329804444444445</v>
      </c>
    </row>
    <row r="53" spans="2:30" x14ac:dyDescent="0.2">
      <c r="B53" s="7">
        <v>44621</v>
      </c>
      <c r="C53" s="8">
        <v>8.2430555555555642</v>
      </c>
      <c r="D53">
        <f t="shared" si="2"/>
        <v>11.519230555555565</v>
      </c>
      <c r="E53">
        <f t="shared" ref="E53:T68" si="10">(-1.4841*E$3+3.6472)+$C53</f>
        <v>11.445025555555564</v>
      </c>
      <c r="F53">
        <f t="shared" si="10"/>
        <v>11.370820555555564</v>
      </c>
      <c r="G53">
        <f t="shared" si="10"/>
        <v>11.296615555555565</v>
      </c>
      <c r="H53">
        <f t="shared" si="10"/>
        <v>11.222410555555564</v>
      </c>
      <c r="I53">
        <f t="shared" si="10"/>
        <v>11.148205555555565</v>
      </c>
      <c r="J53">
        <f t="shared" si="10"/>
        <v>11.074000555555564</v>
      </c>
      <c r="K53">
        <f t="shared" si="10"/>
        <v>10.999795555555565</v>
      </c>
      <c r="L53">
        <f t="shared" si="10"/>
        <v>10.925590555555564</v>
      </c>
      <c r="M53">
        <f t="shared" si="10"/>
        <v>10.851385555555565</v>
      </c>
      <c r="N53">
        <f t="shared" si="10"/>
        <v>10.777180555555564</v>
      </c>
      <c r="O53">
        <f t="shared" si="10"/>
        <v>10.702975555555565</v>
      </c>
      <c r="P53">
        <f t="shared" si="10"/>
        <v>10.628770555555565</v>
      </c>
      <c r="Q53">
        <f t="shared" si="10"/>
        <v>10.554565555555564</v>
      </c>
      <c r="R53">
        <f t="shared" si="10"/>
        <v>10.480360555555563</v>
      </c>
      <c r="S53">
        <f t="shared" si="10"/>
        <v>10.406155555555564</v>
      </c>
      <c r="T53">
        <f t="shared" si="10"/>
        <v>10.331950555555565</v>
      </c>
      <c r="U53">
        <f t="shared" si="8"/>
        <v>10.257745555555564</v>
      </c>
      <c r="V53">
        <f t="shared" si="8"/>
        <v>10.183540555555563</v>
      </c>
      <c r="W53">
        <f t="shared" si="8"/>
        <v>10.109335555555564</v>
      </c>
      <c r="X53">
        <f t="shared" si="8"/>
        <v>10.035130555555565</v>
      </c>
      <c r="Y53">
        <f t="shared" si="8"/>
        <v>9.9609255555555638</v>
      </c>
      <c r="Z53">
        <f t="shared" si="8"/>
        <v>9.8867205555555628</v>
      </c>
      <c r="AA53">
        <f t="shared" si="8"/>
        <v>9.8125155555555637</v>
      </c>
      <c r="AB53">
        <f t="shared" si="8"/>
        <v>9.7383105555555645</v>
      </c>
      <c r="AC53">
        <f t="shared" si="8"/>
        <v>9.6641055555555635</v>
      </c>
      <c r="AD53">
        <f t="shared" si="8"/>
        <v>8.3284155555555657</v>
      </c>
    </row>
    <row r="54" spans="2:30" x14ac:dyDescent="0.2">
      <c r="B54" s="7">
        <v>44622</v>
      </c>
      <c r="C54" s="8">
        <v>10.625694444444445</v>
      </c>
      <c r="D54">
        <f t="shared" si="2"/>
        <v>13.901869444444445</v>
      </c>
      <c r="E54">
        <f t="shared" si="10"/>
        <v>13.827664444444444</v>
      </c>
      <c r="F54">
        <f t="shared" si="10"/>
        <v>13.753459444444445</v>
      </c>
      <c r="G54">
        <f t="shared" si="10"/>
        <v>13.679254444444446</v>
      </c>
      <c r="H54">
        <f t="shared" si="10"/>
        <v>13.605049444444445</v>
      </c>
      <c r="I54">
        <f t="shared" si="10"/>
        <v>13.530844444444446</v>
      </c>
      <c r="J54">
        <f t="shared" si="10"/>
        <v>13.456639444444445</v>
      </c>
      <c r="K54">
        <f t="shared" si="10"/>
        <v>13.382434444444446</v>
      </c>
      <c r="L54">
        <f t="shared" si="10"/>
        <v>13.308229444444445</v>
      </c>
      <c r="M54">
        <f t="shared" si="10"/>
        <v>13.234024444444445</v>
      </c>
      <c r="N54">
        <f t="shared" si="10"/>
        <v>13.159819444444445</v>
      </c>
      <c r="O54">
        <f t="shared" si="10"/>
        <v>13.085614444444445</v>
      </c>
      <c r="P54">
        <f t="shared" si="10"/>
        <v>13.011409444444446</v>
      </c>
      <c r="Q54">
        <f t="shared" si="10"/>
        <v>12.937204444444445</v>
      </c>
      <c r="R54">
        <f t="shared" si="10"/>
        <v>12.862999444444444</v>
      </c>
      <c r="S54">
        <f t="shared" si="10"/>
        <v>12.788794444444445</v>
      </c>
      <c r="T54">
        <f t="shared" si="10"/>
        <v>12.714589444444446</v>
      </c>
      <c r="U54">
        <f t="shared" si="8"/>
        <v>12.640384444444445</v>
      </c>
      <c r="V54">
        <f t="shared" si="8"/>
        <v>12.566179444444444</v>
      </c>
      <c r="W54">
        <f t="shared" si="8"/>
        <v>12.491974444444445</v>
      </c>
      <c r="X54">
        <f t="shared" si="8"/>
        <v>12.417769444444446</v>
      </c>
      <c r="Y54">
        <f t="shared" si="8"/>
        <v>12.343564444444445</v>
      </c>
      <c r="Z54">
        <f t="shared" si="8"/>
        <v>12.269359444444444</v>
      </c>
      <c r="AA54">
        <f t="shared" si="8"/>
        <v>12.195154444444444</v>
      </c>
      <c r="AB54">
        <f t="shared" si="8"/>
        <v>12.120949444444445</v>
      </c>
      <c r="AC54">
        <f t="shared" si="8"/>
        <v>12.046744444444444</v>
      </c>
      <c r="AD54">
        <f t="shared" si="8"/>
        <v>10.711054444444446</v>
      </c>
    </row>
    <row r="55" spans="2:30" x14ac:dyDescent="0.2">
      <c r="B55" s="7">
        <v>44623</v>
      </c>
      <c r="C55" s="8">
        <v>9.7013888888888857</v>
      </c>
      <c r="D55">
        <f t="shared" si="2"/>
        <v>12.977563888888886</v>
      </c>
      <c r="E55">
        <f t="shared" si="10"/>
        <v>12.903358888888885</v>
      </c>
      <c r="F55">
        <f t="shared" si="10"/>
        <v>12.829153888888886</v>
      </c>
      <c r="G55">
        <f t="shared" si="10"/>
        <v>12.754948888888887</v>
      </c>
      <c r="H55">
        <f t="shared" si="10"/>
        <v>12.680743888888886</v>
      </c>
      <c r="I55">
        <f t="shared" si="10"/>
        <v>12.606538888888887</v>
      </c>
      <c r="J55">
        <f t="shared" si="10"/>
        <v>12.532333888888886</v>
      </c>
      <c r="K55">
        <f t="shared" si="10"/>
        <v>12.458128888888886</v>
      </c>
      <c r="L55">
        <f t="shared" si="10"/>
        <v>12.383923888888885</v>
      </c>
      <c r="M55">
        <f t="shared" si="10"/>
        <v>12.309718888888886</v>
      </c>
      <c r="N55">
        <f t="shared" si="10"/>
        <v>12.235513888888885</v>
      </c>
      <c r="O55">
        <f t="shared" si="10"/>
        <v>12.161308888888886</v>
      </c>
      <c r="P55">
        <f t="shared" si="10"/>
        <v>12.087103888888887</v>
      </c>
      <c r="Q55">
        <f t="shared" si="10"/>
        <v>12.012898888888886</v>
      </c>
      <c r="R55">
        <f t="shared" si="10"/>
        <v>11.938693888888885</v>
      </c>
      <c r="S55">
        <f t="shared" si="10"/>
        <v>11.864488888888886</v>
      </c>
      <c r="T55">
        <f t="shared" si="10"/>
        <v>11.790283888888887</v>
      </c>
      <c r="U55">
        <f t="shared" si="8"/>
        <v>11.716078888888886</v>
      </c>
      <c r="V55">
        <f t="shared" si="8"/>
        <v>11.641873888888885</v>
      </c>
      <c r="W55">
        <f t="shared" si="8"/>
        <v>11.567668888888885</v>
      </c>
      <c r="X55">
        <f t="shared" si="8"/>
        <v>11.493463888888886</v>
      </c>
      <c r="Y55">
        <f t="shared" si="8"/>
        <v>11.419258888888885</v>
      </c>
      <c r="Z55">
        <f t="shared" si="8"/>
        <v>11.345053888888884</v>
      </c>
      <c r="AA55">
        <f t="shared" si="8"/>
        <v>11.270848888888885</v>
      </c>
      <c r="AB55">
        <f t="shared" si="8"/>
        <v>11.196643888888886</v>
      </c>
      <c r="AC55">
        <f t="shared" si="8"/>
        <v>11.122438888888885</v>
      </c>
      <c r="AD55">
        <f t="shared" si="8"/>
        <v>9.7867488888888872</v>
      </c>
    </row>
    <row r="56" spans="2:30" x14ac:dyDescent="0.2">
      <c r="B56" s="7">
        <v>44624</v>
      </c>
      <c r="C56" s="8">
        <v>8.969444444444445</v>
      </c>
      <c r="D56">
        <f t="shared" si="2"/>
        <v>12.245619444444445</v>
      </c>
      <c r="E56">
        <f t="shared" si="10"/>
        <v>12.171414444444444</v>
      </c>
      <c r="F56">
        <f t="shared" si="10"/>
        <v>12.097209444444445</v>
      </c>
      <c r="G56">
        <f t="shared" si="10"/>
        <v>12.023004444444446</v>
      </c>
      <c r="H56">
        <f t="shared" si="10"/>
        <v>11.948799444444445</v>
      </c>
      <c r="I56">
        <f t="shared" si="10"/>
        <v>11.874594444444446</v>
      </c>
      <c r="J56">
        <f t="shared" si="10"/>
        <v>11.800389444444445</v>
      </c>
      <c r="K56">
        <f t="shared" si="10"/>
        <v>11.726184444444446</v>
      </c>
      <c r="L56">
        <f t="shared" si="10"/>
        <v>11.651979444444445</v>
      </c>
      <c r="M56">
        <f t="shared" si="10"/>
        <v>11.577774444444445</v>
      </c>
      <c r="N56">
        <f t="shared" si="10"/>
        <v>11.503569444444445</v>
      </c>
      <c r="O56">
        <f t="shared" si="10"/>
        <v>11.429364444444445</v>
      </c>
      <c r="P56">
        <f t="shared" si="10"/>
        <v>11.355159444444446</v>
      </c>
      <c r="Q56">
        <f t="shared" si="10"/>
        <v>11.280954444444445</v>
      </c>
      <c r="R56">
        <f t="shared" si="10"/>
        <v>11.206749444444444</v>
      </c>
      <c r="S56">
        <f t="shared" si="10"/>
        <v>11.132544444444445</v>
      </c>
      <c r="T56">
        <f t="shared" si="10"/>
        <v>11.058339444444446</v>
      </c>
      <c r="U56">
        <f t="shared" si="8"/>
        <v>10.984134444444445</v>
      </c>
      <c r="V56">
        <f t="shared" si="8"/>
        <v>10.909929444444444</v>
      </c>
      <c r="W56">
        <f t="shared" si="8"/>
        <v>10.835724444444445</v>
      </c>
      <c r="X56">
        <f t="shared" si="8"/>
        <v>10.761519444444446</v>
      </c>
      <c r="Y56">
        <f t="shared" si="8"/>
        <v>10.687314444444445</v>
      </c>
      <c r="Z56">
        <f t="shared" si="8"/>
        <v>10.613109444444444</v>
      </c>
      <c r="AA56">
        <f t="shared" si="8"/>
        <v>10.538904444444444</v>
      </c>
      <c r="AB56">
        <f t="shared" si="8"/>
        <v>10.464699444444445</v>
      </c>
      <c r="AC56">
        <f t="shared" si="8"/>
        <v>10.390494444444444</v>
      </c>
      <c r="AD56">
        <f t="shared" si="8"/>
        <v>9.0548044444444464</v>
      </c>
    </row>
    <row r="57" spans="2:30" x14ac:dyDescent="0.2">
      <c r="B57" s="7">
        <v>44625</v>
      </c>
      <c r="C57" s="8">
        <v>8.6277777777777764</v>
      </c>
      <c r="D57">
        <f t="shared" si="2"/>
        <v>11.903952777777777</v>
      </c>
      <c r="E57">
        <f t="shared" si="10"/>
        <v>11.829747777777776</v>
      </c>
      <c r="F57">
        <f t="shared" si="10"/>
        <v>11.755542777777777</v>
      </c>
      <c r="G57">
        <f t="shared" si="10"/>
        <v>11.681337777777777</v>
      </c>
      <c r="H57">
        <f t="shared" si="10"/>
        <v>11.607132777777776</v>
      </c>
      <c r="I57">
        <f t="shared" si="10"/>
        <v>11.532927777777777</v>
      </c>
      <c r="J57">
        <f t="shared" si="10"/>
        <v>11.458722777777776</v>
      </c>
      <c r="K57">
        <f t="shared" si="10"/>
        <v>11.384517777777777</v>
      </c>
      <c r="L57">
        <f t="shared" si="10"/>
        <v>11.310312777777776</v>
      </c>
      <c r="M57">
        <f t="shared" si="10"/>
        <v>11.236107777777777</v>
      </c>
      <c r="N57">
        <f t="shared" si="10"/>
        <v>11.161902777777776</v>
      </c>
      <c r="O57">
        <f t="shared" si="10"/>
        <v>11.087697777777777</v>
      </c>
      <c r="P57">
        <f t="shared" si="10"/>
        <v>11.013492777777778</v>
      </c>
      <c r="Q57">
        <f t="shared" si="10"/>
        <v>10.939287777777777</v>
      </c>
      <c r="R57">
        <f t="shared" si="10"/>
        <v>10.865082777777776</v>
      </c>
      <c r="S57">
        <f t="shared" si="10"/>
        <v>10.790877777777776</v>
      </c>
      <c r="T57">
        <f t="shared" si="10"/>
        <v>10.716672777777777</v>
      </c>
      <c r="U57">
        <f t="shared" si="8"/>
        <v>10.642467777777776</v>
      </c>
      <c r="V57">
        <f t="shared" si="8"/>
        <v>10.568262777777775</v>
      </c>
      <c r="W57">
        <f t="shared" si="8"/>
        <v>10.494057777777776</v>
      </c>
      <c r="X57">
        <f t="shared" si="8"/>
        <v>10.419852777777777</v>
      </c>
      <c r="Y57">
        <f t="shared" si="8"/>
        <v>10.345647777777776</v>
      </c>
      <c r="Z57">
        <f t="shared" si="8"/>
        <v>10.271442777777775</v>
      </c>
      <c r="AA57">
        <f t="shared" si="8"/>
        <v>10.197237777777776</v>
      </c>
      <c r="AB57">
        <f t="shared" si="8"/>
        <v>10.123032777777777</v>
      </c>
      <c r="AC57">
        <f t="shared" si="8"/>
        <v>10.048827777777776</v>
      </c>
      <c r="AD57">
        <f t="shared" si="8"/>
        <v>8.7131377777777779</v>
      </c>
    </row>
    <row r="58" spans="2:30" x14ac:dyDescent="0.2">
      <c r="B58" s="7">
        <v>44626</v>
      </c>
      <c r="C58" s="8">
        <v>8.57673611111111</v>
      </c>
      <c r="D58">
        <f t="shared" si="2"/>
        <v>11.85291111111111</v>
      </c>
      <c r="E58">
        <f t="shared" si="10"/>
        <v>11.778706111111109</v>
      </c>
      <c r="F58">
        <f t="shared" si="10"/>
        <v>11.70450111111111</v>
      </c>
      <c r="G58">
        <f t="shared" si="10"/>
        <v>11.630296111111111</v>
      </c>
      <c r="H58">
        <f t="shared" si="10"/>
        <v>11.55609111111111</v>
      </c>
      <c r="I58">
        <f t="shared" si="10"/>
        <v>11.481886111111111</v>
      </c>
      <c r="J58">
        <f t="shared" si="10"/>
        <v>11.40768111111111</v>
      </c>
      <c r="K58">
        <f t="shared" si="10"/>
        <v>11.333476111111111</v>
      </c>
      <c r="L58">
        <f t="shared" si="10"/>
        <v>11.25927111111111</v>
      </c>
      <c r="M58">
        <f t="shared" si="10"/>
        <v>11.18506611111111</v>
      </c>
      <c r="N58">
        <f t="shared" si="10"/>
        <v>11.11086111111111</v>
      </c>
      <c r="O58">
        <f t="shared" si="10"/>
        <v>11.03665611111111</v>
      </c>
      <c r="P58">
        <f t="shared" si="10"/>
        <v>10.962451111111111</v>
      </c>
      <c r="Q58">
        <f t="shared" si="10"/>
        <v>10.88824611111111</v>
      </c>
      <c r="R58">
        <f t="shared" si="10"/>
        <v>10.814041111111109</v>
      </c>
      <c r="S58">
        <f t="shared" si="10"/>
        <v>10.73983611111111</v>
      </c>
      <c r="T58">
        <f t="shared" si="10"/>
        <v>10.665631111111111</v>
      </c>
      <c r="U58">
        <f t="shared" si="8"/>
        <v>10.59142611111111</v>
      </c>
      <c r="V58">
        <f t="shared" si="8"/>
        <v>10.517221111111109</v>
      </c>
      <c r="W58">
        <f t="shared" si="8"/>
        <v>10.44301611111111</v>
      </c>
      <c r="X58">
        <f t="shared" si="8"/>
        <v>10.368811111111111</v>
      </c>
      <c r="Y58">
        <f t="shared" si="8"/>
        <v>10.29460611111111</v>
      </c>
      <c r="Z58">
        <f t="shared" si="8"/>
        <v>10.220401111111109</v>
      </c>
      <c r="AA58">
        <f t="shared" si="8"/>
        <v>10.146196111111109</v>
      </c>
      <c r="AB58">
        <f t="shared" si="8"/>
        <v>10.07199111111111</v>
      </c>
      <c r="AC58">
        <f t="shared" si="8"/>
        <v>9.9977861111111093</v>
      </c>
      <c r="AD58">
        <f t="shared" si="8"/>
        <v>8.6620961111111114</v>
      </c>
    </row>
    <row r="59" spans="2:30" x14ac:dyDescent="0.2">
      <c r="B59" s="7">
        <v>44627</v>
      </c>
      <c r="C59" s="8">
        <v>9.344444444444445</v>
      </c>
      <c r="D59">
        <f t="shared" si="2"/>
        <v>12.620619444444445</v>
      </c>
      <c r="E59">
        <f t="shared" si="10"/>
        <v>12.546414444444444</v>
      </c>
      <c r="F59">
        <f t="shared" si="10"/>
        <v>12.472209444444445</v>
      </c>
      <c r="G59">
        <f t="shared" si="10"/>
        <v>12.398004444444446</v>
      </c>
      <c r="H59">
        <f t="shared" si="10"/>
        <v>12.323799444444445</v>
      </c>
      <c r="I59">
        <f t="shared" si="10"/>
        <v>12.249594444444446</v>
      </c>
      <c r="J59">
        <f t="shared" si="10"/>
        <v>12.175389444444445</v>
      </c>
      <c r="K59">
        <f t="shared" si="10"/>
        <v>12.101184444444446</v>
      </c>
      <c r="L59">
        <f t="shared" si="10"/>
        <v>12.026979444444445</v>
      </c>
      <c r="M59">
        <f t="shared" si="10"/>
        <v>11.952774444444445</v>
      </c>
      <c r="N59">
        <f t="shared" si="10"/>
        <v>11.878569444444445</v>
      </c>
      <c r="O59">
        <f t="shared" si="10"/>
        <v>11.804364444444445</v>
      </c>
      <c r="P59">
        <f t="shared" si="10"/>
        <v>11.730159444444446</v>
      </c>
      <c r="Q59">
        <f t="shared" si="10"/>
        <v>11.655954444444445</v>
      </c>
      <c r="R59">
        <f t="shared" si="10"/>
        <v>11.581749444444444</v>
      </c>
      <c r="S59">
        <f t="shared" si="10"/>
        <v>11.507544444444445</v>
      </c>
      <c r="T59">
        <f t="shared" si="10"/>
        <v>11.433339444444446</v>
      </c>
      <c r="U59">
        <f t="shared" si="8"/>
        <v>11.359134444444445</v>
      </c>
      <c r="V59">
        <f t="shared" si="8"/>
        <v>11.284929444444444</v>
      </c>
      <c r="W59">
        <f t="shared" si="8"/>
        <v>11.210724444444445</v>
      </c>
      <c r="X59">
        <f t="shared" si="8"/>
        <v>11.136519444444446</v>
      </c>
      <c r="Y59">
        <f t="shared" si="8"/>
        <v>11.062314444444445</v>
      </c>
      <c r="Z59">
        <f t="shared" si="8"/>
        <v>10.988109444444444</v>
      </c>
      <c r="AA59">
        <f t="shared" si="8"/>
        <v>10.913904444444444</v>
      </c>
      <c r="AB59">
        <f t="shared" si="8"/>
        <v>10.839699444444445</v>
      </c>
      <c r="AC59">
        <f t="shared" si="8"/>
        <v>10.765494444444444</v>
      </c>
      <c r="AD59">
        <f t="shared" si="8"/>
        <v>9.4298044444444464</v>
      </c>
    </row>
    <row r="60" spans="2:30" x14ac:dyDescent="0.2">
      <c r="B60" s="7">
        <v>44628</v>
      </c>
      <c r="C60" s="8">
        <v>8.2704861111111097</v>
      </c>
      <c r="D60">
        <f t="shared" si="2"/>
        <v>11.54666111111111</v>
      </c>
      <c r="E60">
        <f t="shared" si="10"/>
        <v>11.472456111111111</v>
      </c>
      <c r="F60">
        <f t="shared" si="10"/>
        <v>11.39825111111111</v>
      </c>
      <c r="G60">
        <f t="shared" si="10"/>
        <v>11.324046111111109</v>
      </c>
      <c r="H60">
        <f t="shared" si="10"/>
        <v>11.24984111111111</v>
      </c>
      <c r="I60">
        <f t="shared" si="10"/>
        <v>11.17563611111111</v>
      </c>
      <c r="J60">
        <f t="shared" si="10"/>
        <v>11.101431111111109</v>
      </c>
      <c r="K60">
        <f t="shared" si="10"/>
        <v>11.02722611111111</v>
      </c>
      <c r="L60">
        <f t="shared" si="10"/>
        <v>10.953021111111109</v>
      </c>
      <c r="M60">
        <f t="shared" si="10"/>
        <v>10.87881611111111</v>
      </c>
      <c r="N60">
        <f t="shared" si="10"/>
        <v>10.804611111111111</v>
      </c>
      <c r="O60">
        <f t="shared" si="10"/>
        <v>10.73040611111111</v>
      </c>
      <c r="P60">
        <f t="shared" si="10"/>
        <v>10.656201111111109</v>
      </c>
      <c r="Q60">
        <f t="shared" si="10"/>
        <v>10.58199611111111</v>
      </c>
      <c r="R60">
        <f t="shared" si="10"/>
        <v>10.507791111111111</v>
      </c>
      <c r="S60">
        <f t="shared" si="10"/>
        <v>10.43358611111111</v>
      </c>
      <c r="T60">
        <f t="shared" si="10"/>
        <v>10.359381111111109</v>
      </c>
      <c r="U60">
        <f t="shared" si="8"/>
        <v>10.28517611111111</v>
      </c>
      <c r="V60">
        <f t="shared" si="8"/>
        <v>10.21097111111111</v>
      </c>
      <c r="W60">
        <f t="shared" si="8"/>
        <v>10.136766111111109</v>
      </c>
      <c r="X60">
        <f t="shared" si="8"/>
        <v>10.062561111111108</v>
      </c>
      <c r="Y60">
        <f t="shared" si="8"/>
        <v>9.9883561111111092</v>
      </c>
      <c r="Z60">
        <f t="shared" si="8"/>
        <v>9.91415111111111</v>
      </c>
      <c r="AA60">
        <f t="shared" si="8"/>
        <v>9.8399461111111091</v>
      </c>
      <c r="AB60">
        <f t="shared" si="8"/>
        <v>9.7657411111111081</v>
      </c>
      <c r="AC60">
        <f t="shared" si="8"/>
        <v>9.6915361111111089</v>
      </c>
      <c r="AD60">
        <f t="shared" si="8"/>
        <v>8.3558461111111093</v>
      </c>
    </row>
    <row r="61" spans="2:30" x14ac:dyDescent="0.2">
      <c r="B61" s="7">
        <v>44629</v>
      </c>
      <c r="C61" s="8">
        <v>9.6659722222222229</v>
      </c>
      <c r="D61">
        <f t="shared" si="2"/>
        <v>12.942147222222223</v>
      </c>
      <c r="E61">
        <f t="shared" si="10"/>
        <v>12.867942222222222</v>
      </c>
      <c r="F61">
        <f t="shared" si="10"/>
        <v>12.793737222222223</v>
      </c>
      <c r="G61">
        <f t="shared" si="10"/>
        <v>12.719532222222224</v>
      </c>
      <c r="H61">
        <f t="shared" si="10"/>
        <v>12.645327222222223</v>
      </c>
      <c r="I61">
        <f t="shared" si="10"/>
        <v>12.571122222222224</v>
      </c>
      <c r="J61">
        <f t="shared" si="10"/>
        <v>12.496917222222223</v>
      </c>
      <c r="K61">
        <f t="shared" si="10"/>
        <v>12.422712222222223</v>
      </c>
      <c r="L61">
        <f t="shared" si="10"/>
        <v>12.348507222222223</v>
      </c>
      <c r="M61">
        <f t="shared" si="10"/>
        <v>12.274302222222223</v>
      </c>
      <c r="N61">
        <f t="shared" si="10"/>
        <v>12.200097222222222</v>
      </c>
      <c r="O61">
        <f t="shared" si="10"/>
        <v>12.125892222222223</v>
      </c>
      <c r="P61">
        <f t="shared" si="10"/>
        <v>12.051687222222224</v>
      </c>
      <c r="Q61">
        <f t="shared" si="10"/>
        <v>11.977482222222223</v>
      </c>
      <c r="R61">
        <f t="shared" si="10"/>
        <v>11.903277222222222</v>
      </c>
      <c r="S61">
        <f t="shared" si="10"/>
        <v>11.829072222222223</v>
      </c>
      <c r="T61">
        <f t="shared" si="10"/>
        <v>11.754867222222224</v>
      </c>
      <c r="U61">
        <f t="shared" si="8"/>
        <v>11.680662222222223</v>
      </c>
      <c r="V61">
        <f t="shared" si="8"/>
        <v>11.606457222222222</v>
      </c>
      <c r="W61">
        <f t="shared" si="8"/>
        <v>11.532252222222223</v>
      </c>
      <c r="X61">
        <f t="shared" si="8"/>
        <v>11.458047222222223</v>
      </c>
      <c r="Y61">
        <f t="shared" si="8"/>
        <v>11.383842222222222</v>
      </c>
      <c r="Z61">
        <f t="shared" si="8"/>
        <v>11.309637222222221</v>
      </c>
      <c r="AA61">
        <f t="shared" si="8"/>
        <v>11.235432222222222</v>
      </c>
      <c r="AB61">
        <f t="shared" si="8"/>
        <v>11.161227222222223</v>
      </c>
      <c r="AC61">
        <f t="shared" si="8"/>
        <v>11.087022222222222</v>
      </c>
      <c r="AD61">
        <f t="shared" si="8"/>
        <v>9.7513322222222243</v>
      </c>
    </row>
    <row r="62" spans="2:30" x14ac:dyDescent="0.2">
      <c r="B62" s="7">
        <v>44630</v>
      </c>
      <c r="C62" s="8">
        <v>11.380208333333332</v>
      </c>
      <c r="D62">
        <f t="shared" si="2"/>
        <v>14.656383333333332</v>
      </c>
      <c r="E62">
        <f t="shared" si="10"/>
        <v>14.582178333333331</v>
      </c>
      <c r="F62">
        <f t="shared" si="10"/>
        <v>14.507973333333332</v>
      </c>
      <c r="G62">
        <f t="shared" si="10"/>
        <v>14.433768333333333</v>
      </c>
      <c r="H62">
        <f t="shared" si="10"/>
        <v>14.359563333333332</v>
      </c>
      <c r="I62">
        <f t="shared" si="10"/>
        <v>14.285358333333333</v>
      </c>
      <c r="J62">
        <f t="shared" si="10"/>
        <v>14.211153333333332</v>
      </c>
      <c r="K62">
        <f t="shared" si="10"/>
        <v>14.136948333333333</v>
      </c>
      <c r="L62">
        <f t="shared" si="10"/>
        <v>14.062743333333332</v>
      </c>
      <c r="M62">
        <f t="shared" si="10"/>
        <v>13.988538333333333</v>
      </c>
      <c r="N62">
        <f t="shared" si="10"/>
        <v>13.914333333333332</v>
      </c>
      <c r="O62">
        <f t="shared" si="10"/>
        <v>13.840128333333332</v>
      </c>
      <c r="P62">
        <f t="shared" si="10"/>
        <v>13.765923333333333</v>
      </c>
      <c r="Q62">
        <f t="shared" si="10"/>
        <v>13.691718333333332</v>
      </c>
      <c r="R62">
        <f t="shared" si="10"/>
        <v>13.617513333333331</v>
      </c>
      <c r="S62">
        <f t="shared" si="10"/>
        <v>13.543308333333332</v>
      </c>
      <c r="T62">
        <f t="shared" si="10"/>
        <v>13.469103333333333</v>
      </c>
      <c r="U62">
        <f t="shared" si="8"/>
        <v>13.394898333333332</v>
      </c>
      <c r="V62">
        <f t="shared" si="8"/>
        <v>13.320693333333331</v>
      </c>
      <c r="W62">
        <f t="shared" si="8"/>
        <v>13.246488333333332</v>
      </c>
      <c r="X62">
        <f t="shared" si="8"/>
        <v>13.172283333333333</v>
      </c>
      <c r="Y62">
        <f t="shared" si="8"/>
        <v>13.098078333333332</v>
      </c>
      <c r="Z62">
        <f t="shared" si="8"/>
        <v>13.023873333333331</v>
      </c>
      <c r="AA62">
        <f t="shared" si="8"/>
        <v>12.949668333333332</v>
      </c>
      <c r="AB62">
        <f t="shared" si="8"/>
        <v>12.875463333333332</v>
      </c>
      <c r="AC62">
        <f t="shared" si="8"/>
        <v>12.801258333333331</v>
      </c>
      <c r="AD62">
        <f t="shared" si="8"/>
        <v>11.465568333333334</v>
      </c>
    </row>
    <row r="63" spans="2:30" x14ac:dyDescent="0.2">
      <c r="B63" s="7">
        <v>44631</v>
      </c>
      <c r="C63" s="8">
        <v>11.186805555555553</v>
      </c>
      <c r="D63">
        <f t="shared" si="2"/>
        <v>14.462980555555554</v>
      </c>
      <c r="E63">
        <f t="shared" si="10"/>
        <v>14.388775555555554</v>
      </c>
      <c r="F63">
        <f t="shared" si="10"/>
        <v>14.314570555555553</v>
      </c>
      <c r="G63">
        <f t="shared" si="10"/>
        <v>14.240365555555552</v>
      </c>
      <c r="H63">
        <f t="shared" si="10"/>
        <v>14.166160555555553</v>
      </c>
      <c r="I63">
        <f t="shared" si="10"/>
        <v>14.091955555555554</v>
      </c>
      <c r="J63">
        <f t="shared" si="10"/>
        <v>14.017750555555553</v>
      </c>
      <c r="K63">
        <f t="shared" si="10"/>
        <v>13.943545555555554</v>
      </c>
      <c r="L63">
        <f t="shared" si="10"/>
        <v>13.869340555555553</v>
      </c>
      <c r="M63">
        <f t="shared" si="10"/>
        <v>13.795135555555554</v>
      </c>
      <c r="N63">
        <f t="shared" si="10"/>
        <v>13.720930555555555</v>
      </c>
      <c r="O63">
        <f t="shared" si="10"/>
        <v>13.646725555555554</v>
      </c>
      <c r="P63">
        <f t="shared" si="10"/>
        <v>13.572520555555553</v>
      </c>
      <c r="Q63">
        <f t="shared" si="10"/>
        <v>13.498315555555553</v>
      </c>
      <c r="R63">
        <f t="shared" si="10"/>
        <v>13.424110555555554</v>
      </c>
      <c r="S63">
        <f t="shared" si="10"/>
        <v>13.349905555555553</v>
      </c>
      <c r="T63">
        <f t="shared" si="10"/>
        <v>13.275700555555552</v>
      </c>
      <c r="U63">
        <f t="shared" si="8"/>
        <v>13.201495555555553</v>
      </c>
      <c r="V63">
        <f t="shared" si="8"/>
        <v>13.127290555555554</v>
      </c>
      <c r="W63">
        <f t="shared" si="8"/>
        <v>13.053085555555553</v>
      </c>
      <c r="X63">
        <f t="shared" si="8"/>
        <v>12.978880555555552</v>
      </c>
      <c r="Y63">
        <f t="shared" si="8"/>
        <v>12.904675555555553</v>
      </c>
      <c r="Z63">
        <f t="shared" si="8"/>
        <v>12.830470555555554</v>
      </c>
      <c r="AA63">
        <f t="shared" si="8"/>
        <v>12.756265555555553</v>
      </c>
      <c r="AB63">
        <f t="shared" si="8"/>
        <v>12.682060555555552</v>
      </c>
      <c r="AC63">
        <f t="shared" si="8"/>
        <v>12.607855555555552</v>
      </c>
      <c r="AD63">
        <f t="shared" si="8"/>
        <v>11.272165555555553</v>
      </c>
    </row>
    <row r="64" spans="2:30" x14ac:dyDescent="0.2">
      <c r="B64" s="7">
        <v>44632</v>
      </c>
      <c r="C64" s="8">
        <v>12.604166666666661</v>
      </c>
      <c r="D64">
        <f t="shared" si="2"/>
        <v>15.880341666666661</v>
      </c>
      <c r="E64">
        <f t="shared" si="10"/>
        <v>15.80613666666666</v>
      </c>
      <c r="F64">
        <f t="shared" si="10"/>
        <v>15.731931666666661</v>
      </c>
      <c r="G64">
        <f t="shared" si="10"/>
        <v>15.657726666666662</v>
      </c>
      <c r="H64">
        <f t="shared" si="10"/>
        <v>15.583521666666661</v>
      </c>
      <c r="I64">
        <f t="shared" si="10"/>
        <v>15.509316666666662</v>
      </c>
      <c r="J64">
        <f t="shared" si="10"/>
        <v>15.435111666666661</v>
      </c>
      <c r="K64">
        <f t="shared" si="10"/>
        <v>15.360906666666661</v>
      </c>
      <c r="L64">
        <f t="shared" si="10"/>
        <v>15.28670166666666</v>
      </c>
      <c r="M64">
        <f t="shared" si="10"/>
        <v>15.212496666666661</v>
      </c>
      <c r="N64">
        <f t="shared" si="10"/>
        <v>15.13829166666666</v>
      </c>
      <c r="O64">
        <f t="shared" si="10"/>
        <v>15.064086666666661</v>
      </c>
      <c r="P64">
        <f t="shared" si="10"/>
        <v>14.989881666666662</v>
      </c>
      <c r="Q64">
        <f t="shared" si="10"/>
        <v>14.915676666666661</v>
      </c>
      <c r="R64">
        <f t="shared" si="10"/>
        <v>14.84147166666666</v>
      </c>
      <c r="S64">
        <f t="shared" si="10"/>
        <v>14.767266666666661</v>
      </c>
      <c r="T64">
        <f t="shared" si="10"/>
        <v>14.693061666666662</v>
      </c>
      <c r="U64">
        <f t="shared" si="8"/>
        <v>14.618856666666661</v>
      </c>
      <c r="V64">
        <f t="shared" si="8"/>
        <v>14.54465166666666</v>
      </c>
      <c r="W64">
        <f t="shared" si="8"/>
        <v>14.47044666666666</v>
      </c>
      <c r="X64">
        <f t="shared" si="8"/>
        <v>14.396241666666661</v>
      </c>
      <c r="Y64">
        <f t="shared" si="8"/>
        <v>14.32203666666666</v>
      </c>
      <c r="Z64">
        <f t="shared" si="8"/>
        <v>14.247831666666659</v>
      </c>
      <c r="AA64">
        <f t="shared" si="8"/>
        <v>14.17362666666666</v>
      </c>
      <c r="AB64">
        <f t="shared" si="8"/>
        <v>14.099421666666661</v>
      </c>
      <c r="AC64">
        <f t="shared" si="8"/>
        <v>14.02521666666666</v>
      </c>
      <c r="AD64">
        <f t="shared" si="8"/>
        <v>12.689526666666662</v>
      </c>
    </row>
    <row r="65" spans="2:30" x14ac:dyDescent="0.2">
      <c r="B65" s="7">
        <v>44633</v>
      </c>
      <c r="C65" s="8">
        <v>14.272916666666664</v>
      </c>
      <c r="D65">
        <f t="shared" si="2"/>
        <v>17.549091666666662</v>
      </c>
      <c r="E65">
        <f t="shared" si="10"/>
        <v>17.474886666666663</v>
      </c>
      <c r="F65">
        <f t="shared" si="10"/>
        <v>17.400681666666664</v>
      </c>
      <c r="G65">
        <f t="shared" si="10"/>
        <v>17.326476666666665</v>
      </c>
      <c r="H65">
        <f t="shared" si="10"/>
        <v>17.252271666666665</v>
      </c>
      <c r="I65">
        <f t="shared" si="10"/>
        <v>17.178066666666663</v>
      </c>
      <c r="J65">
        <f t="shared" si="10"/>
        <v>17.103861666666663</v>
      </c>
      <c r="K65">
        <f t="shared" si="10"/>
        <v>17.029656666666664</v>
      </c>
      <c r="L65">
        <f t="shared" si="10"/>
        <v>16.955451666666665</v>
      </c>
      <c r="M65">
        <f t="shared" si="10"/>
        <v>16.881246666666662</v>
      </c>
      <c r="N65">
        <f t="shared" si="10"/>
        <v>16.807041666666663</v>
      </c>
      <c r="O65">
        <f t="shared" si="10"/>
        <v>16.732836666666664</v>
      </c>
      <c r="P65">
        <f t="shared" si="10"/>
        <v>16.658631666666665</v>
      </c>
      <c r="Q65">
        <f t="shared" si="10"/>
        <v>16.584426666666666</v>
      </c>
      <c r="R65">
        <f t="shared" si="10"/>
        <v>16.510221666666663</v>
      </c>
      <c r="S65">
        <f t="shared" si="10"/>
        <v>16.436016666666664</v>
      </c>
      <c r="T65">
        <f t="shared" si="10"/>
        <v>16.361811666666664</v>
      </c>
      <c r="U65">
        <f t="shared" si="8"/>
        <v>16.287606666666662</v>
      </c>
      <c r="V65">
        <f t="shared" si="8"/>
        <v>16.213401666666662</v>
      </c>
      <c r="W65">
        <f t="shared" si="8"/>
        <v>16.139196666666663</v>
      </c>
      <c r="X65">
        <f t="shared" si="8"/>
        <v>16.064991666666664</v>
      </c>
      <c r="Y65">
        <f t="shared" si="8"/>
        <v>15.990786666666663</v>
      </c>
      <c r="Z65">
        <f t="shared" ref="U65:AD90" si="11">(-1.4841*Z$3+3.6472)+$C65</f>
        <v>15.916581666666662</v>
      </c>
      <c r="AA65">
        <f t="shared" si="11"/>
        <v>15.842376666666663</v>
      </c>
      <c r="AB65">
        <f t="shared" si="11"/>
        <v>15.768171666666664</v>
      </c>
      <c r="AC65">
        <f t="shared" si="11"/>
        <v>15.693966666666663</v>
      </c>
      <c r="AD65">
        <f t="shared" si="11"/>
        <v>14.358276666666665</v>
      </c>
    </row>
    <row r="66" spans="2:30" x14ac:dyDescent="0.2">
      <c r="B66" s="7">
        <v>44634</v>
      </c>
      <c r="C66" s="8">
        <v>14.677777777777777</v>
      </c>
      <c r="D66">
        <f t="shared" si="2"/>
        <v>17.953952777777779</v>
      </c>
      <c r="E66">
        <f t="shared" si="10"/>
        <v>17.879747777777776</v>
      </c>
      <c r="F66">
        <f t="shared" si="10"/>
        <v>17.805542777777777</v>
      </c>
      <c r="G66">
        <f t="shared" si="10"/>
        <v>17.731337777777778</v>
      </c>
      <c r="H66">
        <f t="shared" si="10"/>
        <v>17.657132777777779</v>
      </c>
      <c r="I66">
        <f t="shared" si="10"/>
        <v>17.582927777777776</v>
      </c>
      <c r="J66">
        <f t="shared" si="10"/>
        <v>17.508722777777777</v>
      </c>
      <c r="K66">
        <f t="shared" si="10"/>
        <v>17.434517777777778</v>
      </c>
      <c r="L66">
        <f t="shared" si="10"/>
        <v>17.360312777777779</v>
      </c>
      <c r="M66">
        <f t="shared" si="10"/>
        <v>17.286107777777776</v>
      </c>
      <c r="N66">
        <f t="shared" si="10"/>
        <v>17.211902777777777</v>
      </c>
      <c r="O66">
        <f t="shared" si="10"/>
        <v>17.137697777777777</v>
      </c>
      <c r="P66">
        <f t="shared" si="10"/>
        <v>17.063492777777778</v>
      </c>
      <c r="Q66">
        <f t="shared" si="10"/>
        <v>16.989287777777776</v>
      </c>
      <c r="R66">
        <f t="shared" si="10"/>
        <v>16.915082777777776</v>
      </c>
      <c r="S66">
        <f t="shared" si="10"/>
        <v>16.840877777777777</v>
      </c>
      <c r="T66">
        <f t="shared" si="10"/>
        <v>16.766672777777778</v>
      </c>
      <c r="U66">
        <f t="shared" si="11"/>
        <v>16.692467777777779</v>
      </c>
      <c r="V66">
        <f t="shared" si="11"/>
        <v>16.618262777777776</v>
      </c>
      <c r="W66">
        <f t="shared" si="11"/>
        <v>16.544057777777777</v>
      </c>
      <c r="X66">
        <f t="shared" si="11"/>
        <v>16.469852777777778</v>
      </c>
      <c r="Y66">
        <f t="shared" si="11"/>
        <v>16.395647777777775</v>
      </c>
      <c r="Z66">
        <f t="shared" si="11"/>
        <v>16.321442777777776</v>
      </c>
      <c r="AA66">
        <f t="shared" si="11"/>
        <v>16.247237777777777</v>
      </c>
      <c r="AB66">
        <f t="shared" si="11"/>
        <v>16.173032777777777</v>
      </c>
      <c r="AC66">
        <f t="shared" si="11"/>
        <v>16.098827777777778</v>
      </c>
      <c r="AD66">
        <f t="shared" si="11"/>
        <v>14.763137777777779</v>
      </c>
    </row>
    <row r="67" spans="2:30" x14ac:dyDescent="0.2">
      <c r="B67" s="7">
        <v>44635</v>
      </c>
      <c r="C67" s="8">
        <v>14.885416666666661</v>
      </c>
      <c r="D67">
        <f t="shared" si="2"/>
        <v>18.161591666666659</v>
      </c>
      <c r="E67">
        <f t="shared" si="10"/>
        <v>18.08738666666666</v>
      </c>
      <c r="F67">
        <f t="shared" si="10"/>
        <v>18.013181666666661</v>
      </c>
      <c r="G67">
        <f t="shared" si="10"/>
        <v>17.938976666666662</v>
      </c>
      <c r="H67">
        <f t="shared" si="10"/>
        <v>17.864771666666662</v>
      </c>
      <c r="I67">
        <f t="shared" si="10"/>
        <v>17.79056666666666</v>
      </c>
      <c r="J67">
        <f t="shared" si="10"/>
        <v>17.716361666666661</v>
      </c>
      <c r="K67">
        <f t="shared" si="10"/>
        <v>17.642156666666661</v>
      </c>
      <c r="L67">
        <f t="shared" si="10"/>
        <v>17.567951666666662</v>
      </c>
      <c r="M67">
        <f t="shared" si="10"/>
        <v>17.493746666666659</v>
      </c>
      <c r="N67">
        <f t="shared" si="10"/>
        <v>17.41954166666666</v>
      </c>
      <c r="O67">
        <f t="shared" si="10"/>
        <v>17.345336666666661</v>
      </c>
      <c r="P67">
        <f t="shared" si="10"/>
        <v>17.271131666666662</v>
      </c>
      <c r="Q67">
        <f t="shared" si="10"/>
        <v>17.196926666666663</v>
      </c>
      <c r="R67">
        <f t="shared" si="10"/>
        <v>17.12272166666666</v>
      </c>
      <c r="S67">
        <f t="shared" si="10"/>
        <v>17.048516666666661</v>
      </c>
      <c r="T67">
        <f t="shared" si="10"/>
        <v>16.974311666666662</v>
      </c>
      <c r="U67">
        <f t="shared" si="11"/>
        <v>16.900106666666659</v>
      </c>
      <c r="V67">
        <f t="shared" si="11"/>
        <v>16.82590166666666</v>
      </c>
      <c r="W67">
        <f t="shared" si="11"/>
        <v>16.75169666666666</v>
      </c>
      <c r="X67">
        <f t="shared" si="11"/>
        <v>16.677491666666661</v>
      </c>
      <c r="Y67">
        <f t="shared" si="11"/>
        <v>16.603286666666662</v>
      </c>
      <c r="Z67">
        <f t="shared" si="11"/>
        <v>16.529081666666659</v>
      </c>
      <c r="AA67">
        <f t="shared" si="11"/>
        <v>16.45487666666666</v>
      </c>
      <c r="AB67">
        <f t="shared" si="11"/>
        <v>16.380671666666661</v>
      </c>
      <c r="AC67">
        <f t="shared" si="11"/>
        <v>16.306466666666658</v>
      </c>
      <c r="AD67">
        <f t="shared" si="11"/>
        <v>14.970776666666662</v>
      </c>
    </row>
    <row r="68" spans="2:30" x14ac:dyDescent="0.2">
      <c r="B68" s="7">
        <v>44636</v>
      </c>
      <c r="C68" s="8">
        <v>13.596874999999994</v>
      </c>
      <c r="D68">
        <f t="shared" si="2"/>
        <v>16.873049999999992</v>
      </c>
      <c r="E68">
        <f t="shared" si="10"/>
        <v>16.798844999999993</v>
      </c>
      <c r="F68">
        <f t="shared" si="10"/>
        <v>16.724639999999994</v>
      </c>
      <c r="G68">
        <f t="shared" si="10"/>
        <v>16.650434999999995</v>
      </c>
      <c r="H68">
        <f t="shared" si="10"/>
        <v>16.576229999999995</v>
      </c>
      <c r="I68">
        <f t="shared" si="10"/>
        <v>16.502024999999993</v>
      </c>
      <c r="J68">
        <f t="shared" si="10"/>
        <v>16.427819999999993</v>
      </c>
      <c r="K68">
        <f t="shared" si="10"/>
        <v>16.353614999999994</v>
      </c>
      <c r="L68">
        <f t="shared" si="10"/>
        <v>16.279409999999995</v>
      </c>
      <c r="M68">
        <f t="shared" si="10"/>
        <v>16.205204999999992</v>
      </c>
      <c r="N68">
        <f t="shared" si="10"/>
        <v>16.130999999999993</v>
      </c>
      <c r="O68">
        <f t="shared" si="10"/>
        <v>16.056794999999994</v>
      </c>
      <c r="P68">
        <f t="shared" si="10"/>
        <v>15.982589999999995</v>
      </c>
      <c r="Q68">
        <f t="shared" si="10"/>
        <v>15.908384999999994</v>
      </c>
      <c r="R68">
        <f t="shared" si="10"/>
        <v>15.834179999999993</v>
      </c>
      <c r="S68">
        <f t="shared" si="10"/>
        <v>15.759974999999994</v>
      </c>
      <c r="T68">
        <f t="shared" ref="T68" si="12">(-1.4841*T$3+3.6472)+$C68</f>
        <v>15.685769999999994</v>
      </c>
      <c r="U68">
        <f t="shared" si="11"/>
        <v>15.611564999999993</v>
      </c>
      <c r="V68">
        <f t="shared" si="11"/>
        <v>15.537359999999993</v>
      </c>
      <c r="W68">
        <f t="shared" si="11"/>
        <v>15.463154999999993</v>
      </c>
      <c r="X68">
        <f t="shared" si="11"/>
        <v>15.388949999999994</v>
      </c>
      <c r="Y68">
        <f t="shared" si="11"/>
        <v>15.314744999999993</v>
      </c>
      <c r="Z68">
        <f t="shared" si="11"/>
        <v>15.240539999999992</v>
      </c>
      <c r="AA68">
        <f t="shared" si="11"/>
        <v>15.166334999999993</v>
      </c>
      <c r="AB68">
        <f t="shared" si="11"/>
        <v>15.092129999999994</v>
      </c>
      <c r="AC68">
        <f t="shared" si="11"/>
        <v>15.017924999999993</v>
      </c>
      <c r="AD68">
        <f t="shared" si="11"/>
        <v>13.682234999999995</v>
      </c>
    </row>
    <row r="69" spans="2:30" x14ac:dyDescent="0.2">
      <c r="B69" s="7">
        <v>44637</v>
      </c>
      <c r="C69" s="8">
        <v>14.089583333333326</v>
      </c>
      <c r="D69">
        <f t="shared" si="2"/>
        <v>17.365758333333325</v>
      </c>
      <c r="E69">
        <f t="shared" ref="E69:T84" si="13">(-1.4841*E$3+3.6472)+$C69</f>
        <v>17.291553333333326</v>
      </c>
      <c r="F69">
        <f t="shared" si="13"/>
        <v>17.217348333333327</v>
      </c>
      <c r="G69">
        <f t="shared" si="13"/>
        <v>17.143143333333327</v>
      </c>
      <c r="H69">
        <f t="shared" si="13"/>
        <v>17.068938333333328</v>
      </c>
      <c r="I69">
        <f t="shared" si="13"/>
        <v>16.994733333333325</v>
      </c>
      <c r="J69">
        <f t="shared" si="13"/>
        <v>16.920528333333326</v>
      </c>
      <c r="K69">
        <f t="shared" si="13"/>
        <v>16.846323333333327</v>
      </c>
      <c r="L69">
        <f t="shared" si="13"/>
        <v>16.772118333333328</v>
      </c>
      <c r="M69">
        <f t="shared" si="13"/>
        <v>16.697913333333325</v>
      </c>
      <c r="N69">
        <f t="shared" si="13"/>
        <v>16.623708333333326</v>
      </c>
      <c r="O69">
        <f t="shared" si="13"/>
        <v>16.549503333333327</v>
      </c>
      <c r="P69">
        <f t="shared" si="13"/>
        <v>16.475298333333328</v>
      </c>
      <c r="Q69">
        <f t="shared" si="13"/>
        <v>16.401093333333328</v>
      </c>
      <c r="R69">
        <f t="shared" si="13"/>
        <v>16.326888333333326</v>
      </c>
      <c r="S69">
        <f t="shared" si="13"/>
        <v>16.252683333333326</v>
      </c>
      <c r="T69">
        <f t="shared" si="13"/>
        <v>16.178478333333327</v>
      </c>
      <c r="U69">
        <f t="shared" si="11"/>
        <v>16.104273333333325</v>
      </c>
      <c r="V69">
        <f t="shared" si="11"/>
        <v>16.030068333333325</v>
      </c>
      <c r="W69">
        <f t="shared" si="11"/>
        <v>15.955863333333326</v>
      </c>
      <c r="X69">
        <f t="shared" si="11"/>
        <v>15.881658333333327</v>
      </c>
      <c r="Y69">
        <f t="shared" si="11"/>
        <v>15.807453333333326</v>
      </c>
      <c r="Z69">
        <f t="shared" si="11"/>
        <v>15.733248333333325</v>
      </c>
      <c r="AA69">
        <f t="shared" si="11"/>
        <v>15.659043333333326</v>
      </c>
      <c r="AB69">
        <f t="shared" si="11"/>
        <v>15.584838333333327</v>
      </c>
      <c r="AC69">
        <f t="shared" si="11"/>
        <v>15.510633333333326</v>
      </c>
      <c r="AD69">
        <f t="shared" si="11"/>
        <v>14.174943333333328</v>
      </c>
    </row>
    <row r="70" spans="2:30" x14ac:dyDescent="0.2">
      <c r="B70" s="7">
        <v>44638</v>
      </c>
      <c r="C70" s="8">
        <v>14.347222222222221</v>
      </c>
      <c r="D70">
        <f t="shared" ref="D70:D133" si="14">(-1.4841*D$3+3.6472)+C70</f>
        <v>17.623397222222223</v>
      </c>
      <c r="E70">
        <f t="shared" si="13"/>
        <v>17.549192222222221</v>
      </c>
      <c r="F70">
        <f t="shared" si="13"/>
        <v>17.474987222222222</v>
      </c>
      <c r="G70">
        <f t="shared" si="13"/>
        <v>17.400782222222222</v>
      </c>
      <c r="H70">
        <f t="shared" si="13"/>
        <v>17.326577222222223</v>
      </c>
      <c r="I70">
        <f t="shared" si="13"/>
        <v>17.25237222222222</v>
      </c>
      <c r="J70">
        <f t="shared" si="13"/>
        <v>17.178167222222221</v>
      </c>
      <c r="K70">
        <f t="shared" si="13"/>
        <v>17.103962222222222</v>
      </c>
      <c r="L70">
        <f t="shared" si="13"/>
        <v>17.029757222222223</v>
      </c>
      <c r="M70">
        <f t="shared" si="13"/>
        <v>16.95555222222222</v>
      </c>
      <c r="N70">
        <f t="shared" si="13"/>
        <v>16.881347222222221</v>
      </c>
      <c r="O70">
        <f t="shared" si="13"/>
        <v>16.807142222222222</v>
      </c>
      <c r="P70">
        <f t="shared" si="13"/>
        <v>16.732937222222223</v>
      </c>
      <c r="Q70">
        <f t="shared" si="13"/>
        <v>16.65873222222222</v>
      </c>
      <c r="R70">
        <f t="shared" si="13"/>
        <v>16.584527222222221</v>
      </c>
      <c r="S70">
        <f t="shared" si="13"/>
        <v>16.510322222222221</v>
      </c>
      <c r="T70">
        <f t="shared" si="13"/>
        <v>16.436117222222222</v>
      </c>
      <c r="U70">
        <f t="shared" si="11"/>
        <v>16.361912222222223</v>
      </c>
      <c r="V70">
        <f t="shared" si="11"/>
        <v>16.28770722222222</v>
      </c>
      <c r="W70">
        <f t="shared" si="11"/>
        <v>16.213502222222221</v>
      </c>
      <c r="X70">
        <f t="shared" si="11"/>
        <v>16.139297222222222</v>
      </c>
      <c r="Y70">
        <f t="shared" si="11"/>
        <v>16.065092222222219</v>
      </c>
      <c r="Z70">
        <f t="shared" si="11"/>
        <v>15.99088722222222</v>
      </c>
      <c r="AA70">
        <f t="shared" si="11"/>
        <v>15.916682222222221</v>
      </c>
      <c r="AB70">
        <f t="shared" si="11"/>
        <v>15.842477222222222</v>
      </c>
      <c r="AC70">
        <f t="shared" si="11"/>
        <v>15.768272222222221</v>
      </c>
      <c r="AD70">
        <f t="shared" si="11"/>
        <v>14.432582222222223</v>
      </c>
    </row>
    <row r="71" spans="2:30" x14ac:dyDescent="0.2">
      <c r="B71" s="7">
        <v>44639</v>
      </c>
      <c r="C71" s="8">
        <v>13.034722222222218</v>
      </c>
      <c r="D71">
        <f t="shared" si="14"/>
        <v>16.310897222222216</v>
      </c>
      <c r="E71">
        <f t="shared" si="13"/>
        <v>16.236692222222217</v>
      </c>
      <c r="F71">
        <f t="shared" si="13"/>
        <v>16.162487222222218</v>
      </c>
      <c r="G71">
        <f t="shared" si="13"/>
        <v>16.088282222222219</v>
      </c>
      <c r="H71">
        <f t="shared" si="13"/>
        <v>16.01407722222222</v>
      </c>
      <c r="I71">
        <f t="shared" si="13"/>
        <v>15.939872222222219</v>
      </c>
      <c r="J71">
        <f t="shared" si="13"/>
        <v>15.865667222222218</v>
      </c>
      <c r="K71">
        <f t="shared" si="13"/>
        <v>15.791462222222219</v>
      </c>
      <c r="L71">
        <f t="shared" si="13"/>
        <v>15.717257222222218</v>
      </c>
      <c r="M71">
        <f t="shared" si="13"/>
        <v>15.643052222222218</v>
      </c>
      <c r="N71">
        <f t="shared" si="13"/>
        <v>15.568847222222217</v>
      </c>
      <c r="O71">
        <f t="shared" si="13"/>
        <v>15.494642222222218</v>
      </c>
      <c r="P71">
        <f t="shared" si="13"/>
        <v>15.420437222222219</v>
      </c>
      <c r="Q71">
        <f t="shared" si="13"/>
        <v>15.346232222222218</v>
      </c>
      <c r="R71">
        <f t="shared" si="13"/>
        <v>15.272027222222217</v>
      </c>
      <c r="S71">
        <f t="shared" si="13"/>
        <v>15.197822222222218</v>
      </c>
      <c r="T71">
        <f t="shared" si="13"/>
        <v>15.123617222222219</v>
      </c>
      <c r="U71">
        <f t="shared" si="11"/>
        <v>15.049412222222218</v>
      </c>
      <c r="V71">
        <f t="shared" si="11"/>
        <v>14.975207222222217</v>
      </c>
      <c r="W71">
        <f t="shared" si="11"/>
        <v>14.901002222222218</v>
      </c>
      <c r="X71">
        <f t="shared" si="11"/>
        <v>14.826797222222218</v>
      </c>
      <c r="Y71">
        <f t="shared" si="11"/>
        <v>14.752592222222217</v>
      </c>
      <c r="Z71">
        <f t="shared" si="11"/>
        <v>14.678387222222216</v>
      </c>
      <c r="AA71">
        <f t="shared" si="11"/>
        <v>14.604182222222217</v>
      </c>
      <c r="AB71">
        <f t="shared" si="11"/>
        <v>14.529977222222218</v>
      </c>
      <c r="AC71">
        <f t="shared" si="11"/>
        <v>14.455772222222217</v>
      </c>
      <c r="AD71">
        <f t="shared" si="11"/>
        <v>13.120082222222219</v>
      </c>
    </row>
    <row r="72" spans="2:30" x14ac:dyDescent="0.2">
      <c r="B72" s="7">
        <v>44640</v>
      </c>
      <c r="C72" s="8">
        <v>9.1868055555555532</v>
      </c>
      <c r="D72">
        <f t="shared" si="14"/>
        <v>12.462980555555554</v>
      </c>
      <c r="E72">
        <f t="shared" si="13"/>
        <v>12.388775555555554</v>
      </c>
      <c r="F72">
        <f t="shared" si="13"/>
        <v>12.314570555555553</v>
      </c>
      <c r="G72">
        <f t="shared" si="13"/>
        <v>12.240365555555552</v>
      </c>
      <c r="H72">
        <f t="shared" si="13"/>
        <v>12.166160555555553</v>
      </c>
      <c r="I72">
        <f t="shared" si="13"/>
        <v>12.091955555555554</v>
      </c>
      <c r="J72">
        <f t="shared" si="13"/>
        <v>12.017750555555553</v>
      </c>
      <c r="K72">
        <f t="shared" si="13"/>
        <v>11.943545555555554</v>
      </c>
      <c r="L72">
        <f t="shared" si="13"/>
        <v>11.869340555555553</v>
      </c>
      <c r="M72">
        <f t="shared" si="13"/>
        <v>11.795135555555554</v>
      </c>
      <c r="N72">
        <f t="shared" si="13"/>
        <v>11.720930555555555</v>
      </c>
      <c r="O72">
        <f t="shared" si="13"/>
        <v>11.646725555555554</v>
      </c>
      <c r="P72">
        <f t="shared" si="13"/>
        <v>11.572520555555553</v>
      </c>
      <c r="Q72">
        <f t="shared" si="13"/>
        <v>11.498315555555553</v>
      </c>
      <c r="R72">
        <f t="shared" si="13"/>
        <v>11.424110555555554</v>
      </c>
      <c r="S72">
        <f t="shared" si="13"/>
        <v>11.349905555555553</v>
      </c>
      <c r="T72">
        <f t="shared" si="13"/>
        <v>11.275700555555552</v>
      </c>
      <c r="U72">
        <f t="shared" si="11"/>
        <v>11.201495555555553</v>
      </c>
      <c r="V72">
        <f t="shared" si="11"/>
        <v>11.127290555555554</v>
      </c>
      <c r="W72">
        <f t="shared" si="11"/>
        <v>11.053085555555553</v>
      </c>
      <c r="X72">
        <f t="shared" si="11"/>
        <v>10.978880555555552</v>
      </c>
      <c r="Y72">
        <f t="shared" si="11"/>
        <v>10.904675555555553</v>
      </c>
      <c r="Z72">
        <f t="shared" si="11"/>
        <v>10.830470555555554</v>
      </c>
      <c r="AA72">
        <f t="shared" si="11"/>
        <v>10.756265555555553</v>
      </c>
      <c r="AB72">
        <f t="shared" si="11"/>
        <v>10.682060555555552</v>
      </c>
      <c r="AC72">
        <f t="shared" si="11"/>
        <v>10.607855555555552</v>
      </c>
      <c r="AD72">
        <f t="shared" si="11"/>
        <v>9.2721655555555529</v>
      </c>
    </row>
    <row r="73" spans="2:30" x14ac:dyDescent="0.2">
      <c r="B73" s="7">
        <v>44641</v>
      </c>
      <c r="C73" s="8">
        <v>12.12222222222222</v>
      </c>
      <c r="D73">
        <f t="shared" si="14"/>
        <v>15.39839722222222</v>
      </c>
      <c r="E73">
        <f t="shared" si="13"/>
        <v>15.324192222222219</v>
      </c>
      <c r="F73">
        <f t="shared" si="13"/>
        <v>15.24998722222222</v>
      </c>
      <c r="G73">
        <f t="shared" si="13"/>
        <v>15.175782222222221</v>
      </c>
      <c r="H73">
        <f t="shared" si="13"/>
        <v>15.10157722222222</v>
      </c>
      <c r="I73">
        <f t="shared" si="13"/>
        <v>15.027372222222221</v>
      </c>
      <c r="J73">
        <f t="shared" si="13"/>
        <v>14.95316722222222</v>
      </c>
      <c r="K73">
        <f t="shared" si="13"/>
        <v>14.878962222222221</v>
      </c>
      <c r="L73">
        <f t="shared" si="13"/>
        <v>14.80475722222222</v>
      </c>
      <c r="M73">
        <f t="shared" si="13"/>
        <v>14.73055222222222</v>
      </c>
      <c r="N73">
        <f t="shared" si="13"/>
        <v>14.65634722222222</v>
      </c>
      <c r="O73">
        <f t="shared" si="13"/>
        <v>14.58214222222222</v>
      </c>
      <c r="P73">
        <f t="shared" si="13"/>
        <v>14.507937222222221</v>
      </c>
      <c r="Q73">
        <f t="shared" si="13"/>
        <v>14.43373222222222</v>
      </c>
      <c r="R73">
        <f t="shared" si="13"/>
        <v>14.359527222222219</v>
      </c>
      <c r="S73">
        <f t="shared" si="13"/>
        <v>14.28532222222222</v>
      </c>
      <c r="T73">
        <f t="shared" si="13"/>
        <v>14.211117222222221</v>
      </c>
      <c r="U73">
        <f t="shared" si="11"/>
        <v>14.13691222222222</v>
      </c>
      <c r="V73">
        <f t="shared" si="11"/>
        <v>14.062707222222219</v>
      </c>
      <c r="W73">
        <f t="shared" si="11"/>
        <v>13.98850222222222</v>
      </c>
      <c r="X73">
        <f t="shared" si="11"/>
        <v>13.914297222222221</v>
      </c>
      <c r="Y73">
        <f t="shared" si="11"/>
        <v>13.84009222222222</v>
      </c>
      <c r="Z73">
        <f t="shared" si="11"/>
        <v>13.765887222222219</v>
      </c>
      <c r="AA73">
        <f t="shared" si="11"/>
        <v>13.691682222222219</v>
      </c>
      <c r="AB73">
        <f t="shared" si="11"/>
        <v>13.61747722222222</v>
      </c>
      <c r="AC73">
        <f t="shared" si="11"/>
        <v>13.543272222222219</v>
      </c>
      <c r="AD73">
        <f t="shared" si="11"/>
        <v>12.207582222222221</v>
      </c>
    </row>
    <row r="74" spans="2:30" x14ac:dyDescent="0.2">
      <c r="B74" s="7">
        <v>44642</v>
      </c>
      <c r="C74" s="8">
        <v>14.634722222222219</v>
      </c>
      <c r="D74">
        <f t="shared" si="14"/>
        <v>17.910897222222218</v>
      </c>
      <c r="E74">
        <f t="shared" si="13"/>
        <v>17.836692222222219</v>
      </c>
      <c r="F74">
        <f t="shared" si="13"/>
        <v>17.762487222222219</v>
      </c>
      <c r="G74">
        <f t="shared" si="13"/>
        <v>17.68828222222222</v>
      </c>
      <c r="H74">
        <f t="shared" si="13"/>
        <v>17.614077222222221</v>
      </c>
      <c r="I74">
        <f t="shared" si="13"/>
        <v>17.539872222222218</v>
      </c>
      <c r="J74">
        <f t="shared" si="13"/>
        <v>17.465667222222219</v>
      </c>
      <c r="K74">
        <f t="shared" si="13"/>
        <v>17.39146222222222</v>
      </c>
      <c r="L74">
        <f t="shared" si="13"/>
        <v>17.317257222222221</v>
      </c>
      <c r="M74">
        <f t="shared" si="13"/>
        <v>17.243052222222218</v>
      </c>
      <c r="N74">
        <f t="shared" si="13"/>
        <v>17.168847222222219</v>
      </c>
      <c r="O74">
        <f t="shared" si="13"/>
        <v>17.09464222222222</v>
      </c>
      <c r="P74">
        <f t="shared" si="13"/>
        <v>17.02043722222222</v>
      </c>
      <c r="Q74">
        <f t="shared" si="13"/>
        <v>16.946232222222221</v>
      </c>
      <c r="R74">
        <f t="shared" si="13"/>
        <v>16.872027222222219</v>
      </c>
      <c r="S74">
        <f t="shared" si="13"/>
        <v>16.797822222222219</v>
      </c>
      <c r="T74">
        <f t="shared" si="13"/>
        <v>16.72361722222222</v>
      </c>
      <c r="U74">
        <f t="shared" si="11"/>
        <v>16.649412222222217</v>
      </c>
      <c r="V74">
        <f t="shared" si="11"/>
        <v>16.575207222222218</v>
      </c>
      <c r="W74">
        <f t="shared" si="11"/>
        <v>16.501002222222219</v>
      </c>
      <c r="X74">
        <f t="shared" si="11"/>
        <v>16.42679722222222</v>
      </c>
      <c r="Y74">
        <f t="shared" si="11"/>
        <v>16.352592222222221</v>
      </c>
      <c r="Z74">
        <f t="shared" si="11"/>
        <v>16.278387222222218</v>
      </c>
      <c r="AA74">
        <f t="shared" si="11"/>
        <v>16.204182222222219</v>
      </c>
      <c r="AB74">
        <f t="shared" si="11"/>
        <v>16.12997722222222</v>
      </c>
      <c r="AC74">
        <f t="shared" si="11"/>
        <v>16.055772222222217</v>
      </c>
      <c r="AD74">
        <f t="shared" si="11"/>
        <v>14.720082222222221</v>
      </c>
    </row>
    <row r="75" spans="2:30" x14ac:dyDescent="0.2">
      <c r="B75" s="7">
        <v>44643</v>
      </c>
      <c r="C75" s="8">
        <v>15.856944444444437</v>
      </c>
      <c r="D75">
        <f t="shared" si="14"/>
        <v>19.133119444444439</v>
      </c>
      <c r="E75">
        <f t="shared" si="13"/>
        <v>19.058914444444436</v>
      </c>
      <c r="F75">
        <f t="shared" si="13"/>
        <v>18.984709444444437</v>
      </c>
      <c r="G75">
        <f t="shared" si="13"/>
        <v>18.910504444444438</v>
      </c>
      <c r="H75">
        <f t="shared" si="13"/>
        <v>18.836299444444439</v>
      </c>
      <c r="I75">
        <f t="shared" si="13"/>
        <v>18.762094444444436</v>
      </c>
      <c r="J75">
        <f t="shared" si="13"/>
        <v>18.687889444444437</v>
      </c>
      <c r="K75">
        <f t="shared" si="13"/>
        <v>18.613684444444438</v>
      </c>
      <c r="L75">
        <f t="shared" si="13"/>
        <v>18.539479444444439</v>
      </c>
      <c r="M75">
        <f t="shared" si="13"/>
        <v>18.465274444444436</v>
      </c>
      <c r="N75">
        <f t="shared" si="13"/>
        <v>18.391069444444437</v>
      </c>
      <c r="O75">
        <f t="shared" si="13"/>
        <v>18.316864444444438</v>
      </c>
      <c r="P75">
        <f t="shared" si="13"/>
        <v>18.242659444444438</v>
      </c>
      <c r="Q75">
        <f t="shared" si="13"/>
        <v>18.168454444444436</v>
      </c>
      <c r="R75">
        <f t="shared" si="13"/>
        <v>18.094249444444436</v>
      </c>
      <c r="S75">
        <f t="shared" si="13"/>
        <v>18.020044444444437</v>
      </c>
      <c r="T75">
        <f t="shared" si="13"/>
        <v>17.945839444444438</v>
      </c>
      <c r="U75">
        <f t="shared" si="11"/>
        <v>17.871634444444439</v>
      </c>
      <c r="V75">
        <f t="shared" si="11"/>
        <v>17.797429444444436</v>
      </c>
      <c r="W75">
        <f t="shared" si="11"/>
        <v>17.723224444444437</v>
      </c>
      <c r="X75">
        <f t="shared" si="11"/>
        <v>17.649019444444438</v>
      </c>
      <c r="Y75">
        <f t="shared" si="11"/>
        <v>17.574814444444435</v>
      </c>
      <c r="Z75">
        <f t="shared" si="11"/>
        <v>17.500609444444436</v>
      </c>
      <c r="AA75">
        <f t="shared" si="11"/>
        <v>17.426404444444437</v>
      </c>
      <c r="AB75">
        <f t="shared" si="11"/>
        <v>17.352199444444437</v>
      </c>
      <c r="AC75">
        <f t="shared" si="11"/>
        <v>17.277994444444438</v>
      </c>
      <c r="AD75">
        <f t="shared" si="11"/>
        <v>15.942304444444439</v>
      </c>
    </row>
    <row r="76" spans="2:30" x14ac:dyDescent="0.2">
      <c r="B76" s="7">
        <v>44644</v>
      </c>
      <c r="C76" s="8">
        <v>15.825694444444441</v>
      </c>
      <c r="D76">
        <f t="shared" si="14"/>
        <v>19.101869444444439</v>
      </c>
      <c r="E76">
        <f t="shared" si="13"/>
        <v>19.02766444444444</v>
      </c>
      <c r="F76">
        <f t="shared" si="13"/>
        <v>18.953459444444441</v>
      </c>
      <c r="G76">
        <f t="shared" si="13"/>
        <v>18.879254444444442</v>
      </c>
      <c r="H76">
        <f t="shared" si="13"/>
        <v>18.805049444444442</v>
      </c>
      <c r="I76">
        <f t="shared" si="13"/>
        <v>18.73084444444444</v>
      </c>
      <c r="J76">
        <f t="shared" si="13"/>
        <v>18.656639444444441</v>
      </c>
      <c r="K76">
        <f t="shared" si="13"/>
        <v>18.582434444444441</v>
      </c>
      <c r="L76">
        <f t="shared" si="13"/>
        <v>18.508229444444442</v>
      </c>
      <c r="M76">
        <f t="shared" si="13"/>
        <v>18.434024444444439</v>
      </c>
      <c r="N76">
        <f t="shared" si="13"/>
        <v>18.35981944444444</v>
      </c>
      <c r="O76">
        <f t="shared" si="13"/>
        <v>18.285614444444441</v>
      </c>
      <c r="P76">
        <f t="shared" si="13"/>
        <v>18.211409444444442</v>
      </c>
      <c r="Q76">
        <f t="shared" si="13"/>
        <v>18.137204444444443</v>
      </c>
      <c r="R76">
        <f t="shared" si="13"/>
        <v>18.06299944444444</v>
      </c>
      <c r="S76">
        <f t="shared" si="13"/>
        <v>17.988794444444441</v>
      </c>
      <c r="T76">
        <f t="shared" si="13"/>
        <v>17.914589444444442</v>
      </c>
      <c r="U76">
        <f t="shared" si="11"/>
        <v>17.840384444444439</v>
      </c>
      <c r="V76">
        <f t="shared" si="11"/>
        <v>17.76617944444444</v>
      </c>
      <c r="W76">
        <f t="shared" si="11"/>
        <v>17.69197444444444</v>
      </c>
      <c r="X76">
        <f t="shared" si="11"/>
        <v>17.617769444444441</v>
      </c>
      <c r="Y76">
        <f t="shared" si="11"/>
        <v>17.543564444444442</v>
      </c>
      <c r="Z76">
        <f t="shared" si="11"/>
        <v>17.469359444444439</v>
      </c>
      <c r="AA76">
        <f t="shared" si="11"/>
        <v>17.39515444444444</v>
      </c>
      <c r="AB76">
        <f t="shared" si="11"/>
        <v>17.320949444444441</v>
      </c>
      <c r="AC76">
        <f t="shared" si="11"/>
        <v>17.246744444444438</v>
      </c>
      <c r="AD76">
        <f t="shared" si="11"/>
        <v>15.911054444444442</v>
      </c>
    </row>
    <row r="77" spans="2:30" x14ac:dyDescent="0.2">
      <c r="B77" s="7">
        <v>44645</v>
      </c>
      <c r="C77" s="8">
        <v>15.430555555555554</v>
      </c>
      <c r="D77">
        <f t="shared" si="14"/>
        <v>18.706730555555552</v>
      </c>
      <c r="E77">
        <f t="shared" si="13"/>
        <v>18.632525555555553</v>
      </c>
      <c r="F77">
        <f t="shared" si="13"/>
        <v>18.558320555555554</v>
      </c>
      <c r="G77">
        <f t="shared" si="13"/>
        <v>18.484115555555555</v>
      </c>
      <c r="H77">
        <f t="shared" si="13"/>
        <v>18.409910555555555</v>
      </c>
      <c r="I77">
        <f t="shared" si="13"/>
        <v>18.335705555555553</v>
      </c>
      <c r="J77">
        <f t="shared" si="13"/>
        <v>18.261500555555553</v>
      </c>
      <c r="K77">
        <f t="shared" si="13"/>
        <v>18.187295555555554</v>
      </c>
      <c r="L77">
        <f t="shared" si="13"/>
        <v>18.113090555555555</v>
      </c>
      <c r="M77">
        <f t="shared" si="13"/>
        <v>18.038885555555552</v>
      </c>
      <c r="N77">
        <f t="shared" si="13"/>
        <v>17.964680555555553</v>
      </c>
      <c r="O77">
        <f t="shared" si="13"/>
        <v>17.890475555555554</v>
      </c>
      <c r="P77">
        <f t="shared" si="13"/>
        <v>17.816270555555555</v>
      </c>
      <c r="Q77">
        <f t="shared" si="13"/>
        <v>17.742065555555556</v>
      </c>
      <c r="R77">
        <f t="shared" si="13"/>
        <v>17.667860555555553</v>
      </c>
      <c r="S77">
        <f t="shared" si="13"/>
        <v>17.593655555555554</v>
      </c>
      <c r="T77">
        <f t="shared" si="13"/>
        <v>17.519450555555554</v>
      </c>
      <c r="U77">
        <f t="shared" si="11"/>
        <v>17.445245555555552</v>
      </c>
      <c r="V77">
        <f t="shared" si="11"/>
        <v>17.371040555555552</v>
      </c>
      <c r="W77">
        <f t="shared" si="11"/>
        <v>17.296835555555553</v>
      </c>
      <c r="X77">
        <f t="shared" si="11"/>
        <v>17.222630555555554</v>
      </c>
      <c r="Y77">
        <f t="shared" si="11"/>
        <v>17.148425555555555</v>
      </c>
      <c r="Z77">
        <f t="shared" si="11"/>
        <v>17.074220555555552</v>
      </c>
      <c r="AA77">
        <f t="shared" si="11"/>
        <v>17.000015555555553</v>
      </c>
      <c r="AB77">
        <f t="shared" si="11"/>
        <v>16.925810555555554</v>
      </c>
      <c r="AC77">
        <f t="shared" si="11"/>
        <v>16.851605555555551</v>
      </c>
      <c r="AD77">
        <f t="shared" si="11"/>
        <v>15.515915555555555</v>
      </c>
    </row>
    <row r="78" spans="2:30" x14ac:dyDescent="0.2">
      <c r="B78" s="7">
        <v>44646</v>
      </c>
      <c r="C78" s="8">
        <v>15.361111111111107</v>
      </c>
      <c r="D78">
        <f t="shared" si="14"/>
        <v>18.637286111111109</v>
      </c>
      <c r="E78">
        <f t="shared" si="13"/>
        <v>18.563081111111106</v>
      </c>
      <c r="F78">
        <f t="shared" si="13"/>
        <v>18.488876111111107</v>
      </c>
      <c r="G78">
        <f t="shared" si="13"/>
        <v>18.414671111111108</v>
      </c>
      <c r="H78">
        <f t="shared" si="13"/>
        <v>18.340466111111109</v>
      </c>
      <c r="I78">
        <f t="shared" si="13"/>
        <v>18.266261111111106</v>
      </c>
      <c r="J78">
        <f t="shared" si="13"/>
        <v>18.192056111111107</v>
      </c>
      <c r="K78">
        <f t="shared" si="13"/>
        <v>18.117851111111108</v>
      </c>
      <c r="L78">
        <f t="shared" si="13"/>
        <v>18.043646111111109</v>
      </c>
      <c r="M78">
        <f t="shared" si="13"/>
        <v>17.969441111111106</v>
      </c>
      <c r="N78">
        <f t="shared" si="13"/>
        <v>17.895236111111107</v>
      </c>
      <c r="O78">
        <f t="shared" si="13"/>
        <v>17.821031111111107</v>
      </c>
      <c r="P78">
        <f t="shared" si="13"/>
        <v>17.746826111111108</v>
      </c>
      <c r="Q78">
        <f t="shared" si="13"/>
        <v>17.672621111111106</v>
      </c>
      <c r="R78">
        <f t="shared" si="13"/>
        <v>17.598416111111106</v>
      </c>
      <c r="S78">
        <f t="shared" si="13"/>
        <v>17.524211111111107</v>
      </c>
      <c r="T78">
        <f t="shared" si="13"/>
        <v>17.450006111111108</v>
      </c>
      <c r="U78">
        <f t="shared" si="11"/>
        <v>17.375801111111109</v>
      </c>
      <c r="V78">
        <f t="shared" si="11"/>
        <v>17.301596111111106</v>
      </c>
      <c r="W78">
        <f t="shared" si="11"/>
        <v>17.227391111111107</v>
      </c>
      <c r="X78">
        <f t="shared" si="11"/>
        <v>17.153186111111108</v>
      </c>
      <c r="Y78">
        <f t="shared" si="11"/>
        <v>17.078981111111105</v>
      </c>
      <c r="Z78">
        <f t="shared" si="11"/>
        <v>17.004776111111106</v>
      </c>
      <c r="AA78">
        <f t="shared" si="11"/>
        <v>16.930571111111107</v>
      </c>
      <c r="AB78">
        <f t="shared" si="11"/>
        <v>16.856366111111107</v>
      </c>
      <c r="AC78">
        <f t="shared" si="11"/>
        <v>16.782161111111108</v>
      </c>
      <c r="AD78">
        <f t="shared" si="11"/>
        <v>15.446471111111109</v>
      </c>
    </row>
    <row r="79" spans="2:30" x14ac:dyDescent="0.2">
      <c r="B79" s="7">
        <v>44647</v>
      </c>
      <c r="C79" s="8">
        <v>16.857638888888886</v>
      </c>
      <c r="D79">
        <f t="shared" si="14"/>
        <v>20.133813888888888</v>
      </c>
      <c r="E79">
        <f t="shared" si="13"/>
        <v>20.059608888888885</v>
      </c>
      <c r="F79">
        <f t="shared" si="13"/>
        <v>19.985403888888886</v>
      </c>
      <c r="G79">
        <f t="shared" si="13"/>
        <v>19.911198888888887</v>
      </c>
      <c r="H79">
        <f t="shared" si="13"/>
        <v>19.836993888888887</v>
      </c>
      <c r="I79">
        <f t="shared" si="13"/>
        <v>19.762788888888885</v>
      </c>
      <c r="J79">
        <f t="shared" si="13"/>
        <v>19.688583888888886</v>
      </c>
      <c r="K79">
        <f t="shared" si="13"/>
        <v>19.614378888888886</v>
      </c>
      <c r="L79">
        <f t="shared" si="13"/>
        <v>19.540173888888887</v>
      </c>
      <c r="M79">
        <f t="shared" si="13"/>
        <v>19.465968888888884</v>
      </c>
      <c r="N79">
        <f t="shared" si="13"/>
        <v>19.391763888888885</v>
      </c>
      <c r="O79">
        <f t="shared" si="13"/>
        <v>19.317558888888886</v>
      </c>
      <c r="P79">
        <f t="shared" si="13"/>
        <v>19.243353888888887</v>
      </c>
      <c r="Q79">
        <f t="shared" si="13"/>
        <v>19.169148888888884</v>
      </c>
      <c r="R79">
        <f t="shared" si="13"/>
        <v>19.094943888888885</v>
      </c>
      <c r="S79">
        <f t="shared" si="13"/>
        <v>19.020738888888886</v>
      </c>
      <c r="T79">
        <f t="shared" si="13"/>
        <v>18.946533888888887</v>
      </c>
      <c r="U79">
        <f t="shared" si="11"/>
        <v>18.872328888888887</v>
      </c>
      <c r="V79">
        <f t="shared" si="11"/>
        <v>18.798123888888885</v>
      </c>
      <c r="W79">
        <f t="shared" si="11"/>
        <v>18.723918888888885</v>
      </c>
      <c r="X79">
        <f t="shared" si="11"/>
        <v>18.649713888888886</v>
      </c>
      <c r="Y79">
        <f t="shared" si="11"/>
        <v>18.575508888888884</v>
      </c>
      <c r="Z79">
        <f t="shared" si="11"/>
        <v>18.501303888888884</v>
      </c>
      <c r="AA79">
        <f t="shared" si="11"/>
        <v>18.427098888888885</v>
      </c>
      <c r="AB79">
        <f t="shared" si="11"/>
        <v>18.352893888888886</v>
      </c>
      <c r="AC79">
        <f t="shared" si="11"/>
        <v>18.278688888888887</v>
      </c>
      <c r="AD79">
        <f t="shared" si="11"/>
        <v>16.942998888888887</v>
      </c>
    </row>
    <row r="80" spans="2:30" x14ac:dyDescent="0.2">
      <c r="B80" s="7">
        <v>44648</v>
      </c>
      <c r="C80" s="8">
        <v>16.303472222222215</v>
      </c>
      <c r="D80">
        <f t="shared" si="14"/>
        <v>19.579647222222214</v>
      </c>
      <c r="E80">
        <f t="shared" si="13"/>
        <v>19.505442222222214</v>
      </c>
      <c r="F80">
        <f t="shared" si="13"/>
        <v>19.431237222222215</v>
      </c>
      <c r="G80">
        <f t="shared" si="13"/>
        <v>19.357032222222216</v>
      </c>
      <c r="H80">
        <f t="shared" si="13"/>
        <v>19.282827222222217</v>
      </c>
      <c r="I80">
        <f t="shared" si="13"/>
        <v>19.208622222222214</v>
      </c>
      <c r="J80">
        <f t="shared" si="13"/>
        <v>19.134417222222215</v>
      </c>
      <c r="K80">
        <f t="shared" si="13"/>
        <v>19.060212222222216</v>
      </c>
      <c r="L80">
        <f t="shared" si="13"/>
        <v>18.986007222222216</v>
      </c>
      <c r="M80">
        <f t="shared" si="13"/>
        <v>18.911802222222214</v>
      </c>
      <c r="N80">
        <f t="shared" si="13"/>
        <v>18.837597222222215</v>
      </c>
      <c r="O80">
        <f t="shared" si="13"/>
        <v>18.763392222222215</v>
      </c>
      <c r="P80">
        <f t="shared" si="13"/>
        <v>18.689187222222216</v>
      </c>
      <c r="Q80">
        <f t="shared" si="13"/>
        <v>18.614982222222217</v>
      </c>
      <c r="R80">
        <f t="shared" si="13"/>
        <v>18.540777222222214</v>
      </c>
      <c r="S80">
        <f t="shared" si="13"/>
        <v>18.466572222222215</v>
      </c>
      <c r="T80">
        <f t="shared" si="13"/>
        <v>18.392367222222216</v>
      </c>
      <c r="U80">
        <f t="shared" si="11"/>
        <v>18.318162222222213</v>
      </c>
      <c r="V80">
        <f t="shared" si="11"/>
        <v>18.243957222222214</v>
      </c>
      <c r="W80">
        <f t="shared" si="11"/>
        <v>18.169752222222215</v>
      </c>
      <c r="X80">
        <f t="shared" si="11"/>
        <v>18.095547222222216</v>
      </c>
      <c r="Y80">
        <f t="shared" si="11"/>
        <v>18.021342222222216</v>
      </c>
      <c r="Z80">
        <f t="shared" si="11"/>
        <v>17.947137222222214</v>
      </c>
      <c r="AA80">
        <f t="shared" si="11"/>
        <v>17.872932222222214</v>
      </c>
      <c r="AB80">
        <f t="shared" si="11"/>
        <v>17.798727222222215</v>
      </c>
      <c r="AC80">
        <f t="shared" si="11"/>
        <v>17.724522222222213</v>
      </c>
      <c r="AD80">
        <f t="shared" si="11"/>
        <v>16.388832222222216</v>
      </c>
    </row>
    <row r="81" spans="2:30" x14ac:dyDescent="0.2">
      <c r="B81" s="7">
        <v>44649</v>
      </c>
      <c r="C81" s="8">
        <v>16.225694444444436</v>
      </c>
      <c r="D81">
        <f t="shared" si="14"/>
        <v>19.501869444444438</v>
      </c>
      <c r="E81">
        <f t="shared" si="13"/>
        <v>19.427664444444435</v>
      </c>
      <c r="F81">
        <f t="shared" si="13"/>
        <v>19.353459444444436</v>
      </c>
      <c r="G81">
        <f t="shared" si="13"/>
        <v>19.279254444444437</v>
      </c>
      <c r="H81">
        <f t="shared" si="13"/>
        <v>19.205049444444438</v>
      </c>
      <c r="I81">
        <f t="shared" si="13"/>
        <v>19.130844444444435</v>
      </c>
      <c r="J81">
        <f t="shared" si="13"/>
        <v>19.056639444444436</v>
      </c>
      <c r="K81">
        <f t="shared" si="13"/>
        <v>18.982434444444436</v>
      </c>
      <c r="L81">
        <f t="shared" si="13"/>
        <v>18.908229444444437</v>
      </c>
      <c r="M81">
        <f t="shared" si="13"/>
        <v>18.834024444444434</v>
      </c>
      <c r="N81">
        <f t="shared" si="13"/>
        <v>18.759819444444435</v>
      </c>
      <c r="O81">
        <f t="shared" si="13"/>
        <v>18.685614444444436</v>
      </c>
      <c r="P81">
        <f t="shared" si="13"/>
        <v>18.611409444444437</v>
      </c>
      <c r="Q81">
        <f t="shared" si="13"/>
        <v>18.537204444444434</v>
      </c>
      <c r="R81">
        <f t="shared" si="13"/>
        <v>18.462999444444435</v>
      </c>
      <c r="S81">
        <f t="shared" si="13"/>
        <v>18.388794444444436</v>
      </c>
      <c r="T81">
        <f t="shared" si="13"/>
        <v>18.314589444444437</v>
      </c>
      <c r="U81">
        <f t="shared" si="11"/>
        <v>18.240384444444437</v>
      </c>
      <c r="V81">
        <f t="shared" si="11"/>
        <v>18.166179444444435</v>
      </c>
      <c r="W81">
        <f t="shared" si="11"/>
        <v>18.091974444444435</v>
      </c>
      <c r="X81">
        <f t="shared" si="11"/>
        <v>18.017769444444436</v>
      </c>
      <c r="Y81">
        <f t="shared" si="11"/>
        <v>17.943564444444434</v>
      </c>
      <c r="Z81">
        <f t="shared" si="11"/>
        <v>17.869359444444434</v>
      </c>
      <c r="AA81">
        <f t="shared" si="11"/>
        <v>17.795154444444435</v>
      </c>
      <c r="AB81">
        <f t="shared" si="11"/>
        <v>17.720949444444436</v>
      </c>
      <c r="AC81">
        <f t="shared" si="11"/>
        <v>17.646744444444437</v>
      </c>
      <c r="AD81">
        <f t="shared" si="11"/>
        <v>16.311054444444437</v>
      </c>
    </row>
    <row r="82" spans="2:30" x14ac:dyDescent="0.2">
      <c r="B82" s="7">
        <v>44650</v>
      </c>
      <c r="C82" s="8">
        <v>14.420138888888882</v>
      </c>
      <c r="D82">
        <f t="shared" si="14"/>
        <v>17.696313888888881</v>
      </c>
      <c r="E82">
        <f t="shared" si="13"/>
        <v>17.622108888888881</v>
      </c>
      <c r="F82">
        <f t="shared" si="13"/>
        <v>17.547903888888882</v>
      </c>
      <c r="G82">
        <f t="shared" si="13"/>
        <v>17.473698888888883</v>
      </c>
      <c r="H82">
        <f t="shared" si="13"/>
        <v>17.399493888888884</v>
      </c>
      <c r="I82">
        <f t="shared" si="13"/>
        <v>17.325288888888881</v>
      </c>
      <c r="J82">
        <f t="shared" si="13"/>
        <v>17.251083888888882</v>
      </c>
      <c r="K82">
        <f t="shared" si="13"/>
        <v>17.176878888888883</v>
      </c>
      <c r="L82">
        <f t="shared" si="13"/>
        <v>17.102673888888884</v>
      </c>
      <c r="M82">
        <f t="shared" si="13"/>
        <v>17.028468888888881</v>
      </c>
      <c r="N82">
        <f t="shared" si="13"/>
        <v>16.954263888888882</v>
      </c>
      <c r="O82">
        <f t="shared" si="13"/>
        <v>16.880058888888883</v>
      </c>
      <c r="P82">
        <f t="shared" si="13"/>
        <v>16.805853888888883</v>
      </c>
      <c r="Q82">
        <f t="shared" si="13"/>
        <v>16.731648888888884</v>
      </c>
      <c r="R82">
        <f t="shared" si="13"/>
        <v>16.657443888888881</v>
      </c>
      <c r="S82">
        <f t="shared" si="13"/>
        <v>16.583238888888882</v>
      </c>
      <c r="T82">
        <f t="shared" si="13"/>
        <v>16.509033888888883</v>
      </c>
      <c r="U82">
        <f t="shared" si="11"/>
        <v>16.43482888888888</v>
      </c>
      <c r="V82">
        <f t="shared" si="11"/>
        <v>16.360623888888881</v>
      </c>
      <c r="W82">
        <f t="shared" si="11"/>
        <v>16.286418888888882</v>
      </c>
      <c r="X82">
        <f t="shared" si="11"/>
        <v>16.212213888888883</v>
      </c>
      <c r="Y82">
        <f t="shared" si="11"/>
        <v>16.138008888888884</v>
      </c>
      <c r="Z82">
        <f t="shared" si="11"/>
        <v>16.063803888888881</v>
      </c>
      <c r="AA82">
        <f t="shared" si="11"/>
        <v>15.989598888888882</v>
      </c>
      <c r="AB82">
        <f t="shared" si="11"/>
        <v>15.915393888888882</v>
      </c>
      <c r="AC82">
        <f t="shared" si="11"/>
        <v>15.841188888888881</v>
      </c>
      <c r="AD82">
        <f t="shared" si="11"/>
        <v>14.505498888888884</v>
      </c>
    </row>
    <row r="83" spans="2:30" x14ac:dyDescent="0.2">
      <c r="B83" s="7">
        <v>44651</v>
      </c>
      <c r="C83" s="8">
        <v>9.9402777777777764</v>
      </c>
      <c r="D83">
        <f t="shared" si="14"/>
        <v>13.216452777777777</v>
      </c>
      <c r="E83">
        <f t="shared" si="13"/>
        <v>13.142247777777776</v>
      </c>
      <c r="F83">
        <f t="shared" si="13"/>
        <v>13.068042777777777</v>
      </c>
      <c r="G83">
        <f t="shared" si="13"/>
        <v>12.993837777777777</v>
      </c>
      <c r="H83">
        <f t="shared" si="13"/>
        <v>12.919632777777776</v>
      </c>
      <c r="I83">
        <f t="shared" si="13"/>
        <v>12.845427777777777</v>
      </c>
      <c r="J83">
        <f t="shared" si="13"/>
        <v>12.771222777777776</v>
      </c>
      <c r="K83">
        <f t="shared" si="13"/>
        <v>12.697017777777777</v>
      </c>
      <c r="L83">
        <f t="shared" si="13"/>
        <v>12.622812777777776</v>
      </c>
      <c r="M83">
        <f t="shared" si="13"/>
        <v>12.548607777777777</v>
      </c>
      <c r="N83">
        <f t="shared" si="13"/>
        <v>12.474402777777776</v>
      </c>
      <c r="O83">
        <f t="shared" si="13"/>
        <v>12.400197777777777</v>
      </c>
      <c r="P83">
        <f t="shared" si="13"/>
        <v>12.325992777777778</v>
      </c>
      <c r="Q83">
        <f t="shared" si="13"/>
        <v>12.251787777777777</v>
      </c>
      <c r="R83">
        <f t="shared" si="13"/>
        <v>12.177582777777776</v>
      </c>
      <c r="S83">
        <f t="shared" si="13"/>
        <v>12.103377777777776</v>
      </c>
      <c r="T83">
        <f t="shared" si="13"/>
        <v>12.029172777777777</v>
      </c>
      <c r="U83">
        <f t="shared" si="11"/>
        <v>11.954967777777776</v>
      </c>
      <c r="V83">
        <f t="shared" si="11"/>
        <v>11.880762777777775</v>
      </c>
      <c r="W83">
        <f t="shared" si="11"/>
        <v>11.806557777777776</v>
      </c>
      <c r="X83">
        <f t="shared" si="11"/>
        <v>11.732352777777777</v>
      </c>
      <c r="Y83">
        <f t="shared" si="11"/>
        <v>11.658147777777776</v>
      </c>
      <c r="Z83">
        <f t="shared" si="11"/>
        <v>11.583942777777775</v>
      </c>
      <c r="AA83">
        <f t="shared" si="11"/>
        <v>11.509737777777776</v>
      </c>
      <c r="AB83">
        <f t="shared" si="11"/>
        <v>11.435532777777777</v>
      </c>
      <c r="AC83">
        <f t="shared" si="11"/>
        <v>11.361327777777776</v>
      </c>
      <c r="AD83">
        <f t="shared" si="11"/>
        <v>10.025637777777778</v>
      </c>
    </row>
    <row r="84" spans="2:30" x14ac:dyDescent="0.2">
      <c r="B84" s="7">
        <v>44652</v>
      </c>
      <c r="C84" s="8">
        <v>7.0201388888888898</v>
      </c>
      <c r="D84">
        <f t="shared" si="14"/>
        <v>10.296313888888889</v>
      </c>
      <c r="E84">
        <f t="shared" si="13"/>
        <v>10.22210888888889</v>
      </c>
      <c r="F84">
        <f t="shared" si="13"/>
        <v>10.147903888888891</v>
      </c>
      <c r="G84">
        <f t="shared" si="13"/>
        <v>10.07369888888889</v>
      </c>
      <c r="H84">
        <f t="shared" si="13"/>
        <v>9.9994938888888907</v>
      </c>
      <c r="I84">
        <f t="shared" si="13"/>
        <v>9.9252888888888897</v>
      </c>
      <c r="J84">
        <f t="shared" si="13"/>
        <v>9.8510838888888905</v>
      </c>
      <c r="K84">
        <f t="shared" si="13"/>
        <v>9.7768788888888896</v>
      </c>
      <c r="L84">
        <f t="shared" si="13"/>
        <v>9.7026738888888904</v>
      </c>
      <c r="M84">
        <f t="shared" si="13"/>
        <v>9.6284688888888894</v>
      </c>
      <c r="N84">
        <f t="shared" si="13"/>
        <v>9.5542638888888902</v>
      </c>
      <c r="O84">
        <f t="shared" si="13"/>
        <v>9.480058888888891</v>
      </c>
      <c r="P84">
        <f t="shared" si="13"/>
        <v>9.4058538888888901</v>
      </c>
      <c r="Q84">
        <f t="shared" si="13"/>
        <v>9.3316488888888891</v>
      </c>
      <c r="R84">
        <f t="shared" si="13"/>
        <v>9.2574438888888899</v>
      </c>
      <c r="S84">
        <f t="shared" si="13"/>
        <v>9.1832388888888907</v>
      </c>
      <c r="T84">
        <f t="shared" ref="T84" si="15">(-1.4841*T$3+3.6472)+$C84</f>
        <v>9.1090338888888898</v>
      </c>
      <c r="U84">
        <f t="shared" si="11"/>
        <v>9.0348288888888888</v>
      </c>
      <c r="V84">
        <f t="shared" si="11"/>
        <v>8.9606238888888896</v>
      </c>
      <c r="W84">
        <f t="shared" si="11"/>
        <v>8.8864188888888904</v>
      </c>
      <c r="X84">
        <f t="shared" si="11"/>
        <v>8.8122138888888895</v>
      </c>
      <c r="Y84">
        <f t="shared" si="11"/>
        <v>8.7380088888888885</v>
      </c>
      <c r="Z84">
        <f t="shared" si="11"/>
        <v>8.6638038888888893</v>
      </c>
      <c r="AA84">
        <f t="shared" si="11"/>
        <v>8.5895988888888901</v>
      </c>
      <c r="AB84">
        <f t="shared" si="11"/>
        <v>8.5153938888888892</v>
      </c>
      <c r="AC84">
        <f t="shared" si="11"/>
        <v>8.4411888888888882</v>
      </c>
      <c r="AD84">
        <f t="shared" si="11"/>
        <v>7.1054988888888904</v>
      </c>
    </row>
    <row r="85" spans="2:30" x14ac:dyDescent="0.2">
      <c r="B85" s="7">
        <v>44653</v>
      </c>
      <c r="C85" s="8">
        <v>8.8805555555555546</v>
      </c>
      <c r="D85">
        <f t="shared" si="14"/>
        <v>12.156730555555555</v>
      </c>
      <c r="E85">
        <f t="shared" ref="E85:T100" si="16">(-1.4841*E$3+3.6472)+$C85</f>
        <v>12.082525555555556</v>
      </c>
      <c r="F85">
        <f t="shared" si="16"/>
        <v>12.008320555555555</v>
      </c>
      <c r="G85">
        <f t="shared" si="16"/>
        <v>11.934115555555554</v>
      </c>
      <c r="H85">
        <f t="shared" si="16"/>
        <v>11.859910555555555</v>
      </c>
      <c r="I85">
        <f t="shared" si="16"/>
        <v>11.785705555555555</v>
      </c>
      <c r="J85">
        <f t="shared" si="16"/>
        <v>11.711500555555554</v>
      </c>
      <c r="K85">
        <f t="shared" si="16"/>
        <v>11.637295555555555</v>
      </c>
      <c r="L85">
        <f t="shared" si="16"/>
        <v>11.563090555555554</v>
      </c>
      <c r="M85">
        <f t="shared" si="16"/>
        <v>11.488885555555555</v>
      </c>
      <c r="N85">
        <f t="shared" si="16"/>
        <v>11.414680555555556</v>
      </c>
      <c r="O85">
        <f t="shared" si="16"/>
        <v>11.340475555555555</v>
      </c>
      <c r="P85">
        <f t="shared" si="16"/>
        <v>11.266270555555554</v>
      </c>
      <c r="Q85">
        <f t="shared" si="16"/>
        <v>11.192065555555555</v>
      </c>
      <c r="R85">
        <f t="shared" si="16"/>
        <v>11.117860555555556</v>
      </c>
      <c r="S85">
        <f t="shared" si="16"/>
        <v>11.043655555555555</v>
      </c>
      <c r="T85">
        <f t="shared" si="16"/>
        <v>10.969450555555554</v>
      </c>
      <c r="U85">
        <f t="shared" si="11"/>
        <v>10.895245555555555</v>
      </c>
      <c r="V85">
        <f t="shared" si="11"/>
        <v>10.821040555555555</v>
      </c>
      <c r="W85">
        <f t="shared" si="11"/>
        <v>10.746835555555554</v>
      </c>
      <c r="X85">
        <f t="shared" si="11"/>
        <v>10.672630555555553</v>
      </c>
      <c r="Y85">
        <f t="shared" si="11"/>
        <v>10.598425555555554</v>
      </c>
      <c r="Z85">
        <f t="shared" si="11"/>
        <v>10.524220555555555</v>
      </c>
      <c r="AA85">
        <f t="shared" si="11"/>
        <v>10.450015555555554</v>
      </c>
      <c r="AB85">
        <f t="shared" si="11"/>
        <v>10.375810555555553</v>
      </c>
      <c r="AC85">
        <f t="shared" si="11"/>
        <v>10.301605555555554</v>
      </c>
      <c r="AD85">
        <f t="shared" si="11"/>
        <v>8.9659155555555543</v>
      </c>
    </row>
    <row r="86" spans="2:30" x14ac:dyDescent="0.2">
      <c r="B86" s="7">
        <v>44654</v>
      </c>
      <c r="C86" s="8">
        <v>10.315972222222221</v>
      </c>
      <c r="D86">
        <f t="shared" si="14"/>
        <v>13.592147222222222</v>
      </c>
      <c r="E86">
        <f t="shared" si="16"/>
        <v>13.517942222222221</v>
      </c>
      <c r="F86">
        <f t="shared" si="16"/>
        <v>13.443737222222222</v>
      </c>
      <c r="G86">
        <f t="shared" si="16"/>
        <v>13.369532222222222</v>
      </c>
      <c r="H86">
        <f t="shared" si="16"/>
        <v>13.295327222222221</v>
      </c>
      <c r="I86">
        <f t="shared" si="16"/>
        <v>13.221122222222222</v>
      </c>
      <c r="J86">
        <f t="shared" si="16"/>
        <v>13.146917222222221</v>
      </c>
      <c r="K86">
        <f t="shared" si="16"/>
        <v>13.072712222222222</v>
      </c>
      <c r="L86">
        <f t="shared" si="16"/>
        <v>12.998507222222221</v>
      </c>
      <c r="M86">
        <f t="shared" si="16"/>
        <v>12.924302222222222</v>
      </c>
      <c r="N86">
        <f t="shared" si="16"/>
        <v>12.850097222222221</v>
      </c>
      <c r="O86">
        <f t="shared" si="16"/>
        <v>12.775892222222222</v>
      </c>
      <c r="P86">
        <f t="shared" si="16"/>
        <v>12.701687222222223</v>
      </c>
      <c r="Q86">
        <f t="shared" si="16"/>
        <v>12.627482222222222</v>
      </c>
      <c r="R86">
        <f t="shared" si="16"/>
        <v>12.553277222222221</v>
      </c>
      <c r="S86">
        <f t="shared" si="16"/>
        <v>12.479072222222221</v>
      </c>
      <c r="T86">
        <f t="shared" si="16"/>
        <v>12.404867222222222</v>
      </c>
      <c r="U86">
        <f t="shared" si="11"/>
        <v>12.330662222222221</v>
      </c>
      <c r="V86">
        <f t="shared" si="11"/>
        <v>12.25645722222222</v>
      </c>
      <c r="W86">
        <f t="shared" si="11"/>
        <v>12.182252222222221</v>
      </c>
      <c r="X86">
        <f t="shared" si="11"/>
        <v>12.108047222222222</v>
      </c>
      <c r="Y86">
        <f t="shared" si="11"/>
        <v>12.033842222222221</v>
      </c>
      <c r="Z86">
        <f t="shared" si="11"/>
        <v>11.95963722222222</v>
      </c>
      <c r="AA86">
        <f t="shared" si="11"/>
        <v>11.885432222222221</v>
      </c>
      <c r="AB86">
        <f t="shared" si="11"/>
        <v>11.811227222222222</v>
      </c>
      <c r="AC86">
        <f t="shared" si="11"/>
        <v>11.737022222222221</v>
      </c>
      <c r="AD86">
        <f t="shared" si="11"/>
        <v>10.401332222222223</v>
      </c>
    </row>
    <row r="87" spans="2:30" x14ac:dyDescent="0.2">
      <c r="B87" s="7">
        <v>44655</v>
      </c>
      <c r="C87" s="8">
        <v>10.055555555555554</v>
      </c>
      <c r="D87">
        <f t="shared" si="14"/>
        <v>13.331730555555554</v>
      </c>
      <c r="E87">
        <f t="shared" si="16"/>
        <v>13.257525555555553</v>
      </c>
      <c r="F87">
        <f t="shared" si="16"/>
        <v>13.183320555555554</v>
      </c>
      <c r="G87">
        <f t="shared" si="16"/>
        <v>13.109115555555555</v>
      </c>
      <c r="H87">
        <f t="shared" si="16"/>
        <v>13.034910555555554</v>
      </c>
      <c r="I87">
        <f t="shared" si="16"/>
        <v>12.960705555555554</v>
      </c>
      <c r="J87">
        <f t="shared" si="16"/>
        <v>12.886500555555553</v>
      </c>
      <c r="K87">
        <f t="shared" si="16"/>
        <v>12.812295555555554</v>
      </c>
      <c r="L87">
        <f t="shared" si="16"/>
        <v>12.738090555555553</v>
      </c>
      <c r="M87">
        <f t="shared" si="16"/>
        <v>12.663885555555554</v>
      </c>
      <c r="N87">
        <f t="shared" si="16"/>
        <v>12.589680555555553</v>
      </c>
      <c r="O87">
        <f t="shared" si="16"/>
        <v>12.515475555555554</v>
      </c>
      <c r="P87">
        <f t="shared" si="16"/>
        <v>12.441270555555555</v>
      </c>
      <c r="Q87">
        <f t="shared" si="16"/>
        <v>12.367065555555554</v>
      </c>
      <c r="R87">
        <f t="shared" si="16"/>
        <v>12.292860555555553</v>
      </c>
      <c r="S87">
        <f t="shared" si="16"/>
        <v>12.218655555555554</v>
      </c>
      <c r="T87">
        <f t="shared" si="16"/>
        <v>12.144450555555554</v>
      </c>
      <c r="U87">
        <f t="shared" si="11"/>
        <v>12.070245555555553</v>
      </c>
      <c r="V87">
        <f t="shared" si="11"/>
        <v>11.996040555555552</v>
      </c>
      <c r="W87">
        <f t="shared" si="11"/>
        <v>11.921835555555553</v>
      </c>
      <c r="X87">
        <f t="shared" si="11"/>
        <v>11.847630555555554</v>
      </c>
      <c r="Y87">
        <f t="shared" si="11"/>
        <v>11.773425555555553</v>
      </c>
      <c r="Z87">
        <f t="shared" si="11"/>
        <v>11.699220555555552</v>
      </c>
      <c r="AA87">
        <f t="shared" si="11"/>
        <v>11.625015555555553</v>
      </c>
      <c r="AB87">
        <f t="shared" si="11"/>
        <v>11.550810555555554</v>
      </c>
      <c r="AC87">
        <f t="shared" si="11"/>
        <v>11.476605555555553</v>
      </c>
      <c r="AD87">
        <f t="shared" si="11"/>
        <v>10.140915555555555</v>
      </c>
    </row>
    <row r="88" spans="2:30" x14ac:dyDescent="0.2">
      <c r="B88" s="7">
        <v>44656</v>
      </c>
      <c r="C88" s="8">
        <v>12.981944444444441</v>
      </c>
      <c r="D88">
        <f t="shared" si="14"/>
        <v>16.258119444444439</v>
      </c>
      <c r="E88">
        <f t="shared" si="16"/>
        <v>16.18391444444444</v>
      </c>
      <c r="F88">
        <f t="shared" si="16"/>
        <v>16.109709444444441</v>
      </c>
      <c r="G88">
        <f t="shared" si="16"/>
        <v>16.035504444444442</v>
      </c>
      <c r="H88">
        <f t="shared" si="16"/>
        <v>15.961299444444441</v>
      </c>
      <c r="I88">
        <f t="shared" si="16"/>
        <v>15.887094444444442</v>
      </c>
      <c r="J88">
        <f t="shared" si="16"/>
        <v>15.812889444444441</v>
      </c>
      <c r="K88">
        <f t="shared" si="16"/>
        <v>15.738684444444441</v>
      </c>
      <c r="L88">
        <f t="shared" si="16"/>
        <v>15.66447944444444</v>
      </c>
      <c r="M88">
        <f t="shared" si="16"/>
        <v>15.590274444444441</v>
      </c>
      <c r="N88">
        <f t="shared" si="16"/>
        <v>15.51606944444444</v>
      </c>
      <c r="O88">
        <f t="shared" si="16"/>
        <v>15.441864444444441</v>
      </c>
      <c r="P88">
        <f t="shared" si="16"/>
        <v>15.367659444444442</v>
      </c>
      <c r="Q88">
        <f t="shared" si="16"/>
        <v>15.293454444444441</v>
      </c>
      <c r="R88">
        <f t="shared" si="16"/>
        <v>15.21924944444444</v>
      </c>
      <c r="S88">
        <f t="shared" si="16"/>
        <v>15.145044444444441</v>
      </c>
      <c r="T88">
        <f t="shared" si="16"/>
        <v>15.070839444444442</v>
      </c>
      <c r="U88">
        <f t="shared" si="11"/>
        <v>14.996634444444441</v>
      </c>
      <c r="V88">
        <f t="shared" si="11"/>
        <v>14.92242944444444</v>
      </c>
      <c r="W88">
        <f t="shared" si="11"/>
        <v>14.84822444444444</v>
      </c>
      <c r="X88">
        <f t="shared" si="11"/>
        <v>14.774019444444441</v>
      </c>
      <c r="Y88">
        <f t="shared" si="11"/>
        <v>14.69981444444444</v>
      </c>
      <c r="Z88">
        <f t="shared" si="11"/>
        <v>14.625609444444439</v>
      </c>
      <c r="AA88">
        <f t="shared" si="11"/>
        <v>14.55140444444444</v>
      </c>
      <c r="AB88">
        <f t="shared" si="11"/>
        <v>14.477199444444441</v>
      </c>
      <c r="AC88">
        <f t="shared" si="11"/>
        <v>14.40299444444444</v>
      </c>
      <c r="AD88">
        <f t="shared" si="11"/>
        <v>13.067304444444442</v>
      </c>
    </row>
    <row r="89" spans="2:30" x14ac:dyDescent="0.2">
      <c r="B89" s="7">
        <v>44657</v>
      </c>
      <c r="C89" s="8">
        <v>13.167361111111106</v>
      </c>
      <c r="D89">
        <f t="shared" si="14"/>
        <v>16.443536111111108</v>
      </c>
      <c r="E89">
        <f t="shared" si="16"/>
        <v>16.369331111111105</v>
      </c>
      <c r="F89">
        <f t="shared" si="16"/>
        <v>16.295126111111106</v>
      </c>
      <c r="G89">
        <f t="shared" si="16"/>
        <v>16.220921111111107</v>
      </c>
      <c r="H89">
        <f t="shared" si="16"/>
        <v>16.146716111111107</v>
      </c>
      <c r="I89">
        <f t="shared" si="16"/>
        <v>16.072511111111105</v>
      </c>
      <c r="J89">
        <f t="shared" si="16"/>
        <v>15.998306111111106</v>
      </c>
      <c r="K89">
        <f t="shared" si="16"/>
        <v>15.924101111111106</v>
      </c>
      <c r="L89">
        <f t="shared" si="16"/>
        <v>15.849896111111105</v>
      </c>
      <c r="M89">
        <f t="shared" si="16"/>
        <v>15.775691111111106</v>
      </c>
      <c r="N89">
        <f t="shared" si="16"/>
        <v>15.701486111111105</v>
      </c>
      <c r="O89">
        <f t="shared" si="16"/>
        <v>15.627281111111106</v>
      </c>
      <c r="P89">
        <f t="shared" si="16"/>
        <v>15.553076111111107</v>
      </c>
      <c r="Q89">
        <f t="shared" si="16"/>
        <v>15.478871111111106</v>
      </c>
      <c r="R89">
        <f t="shared" si="16"/>
        <v>15.404666111111105</v>
      </c>
      <c r="S89">
        <f t="shared" si="16"/>
        <v>15.330461111111106</v>
      </c>
      <c r="T89">
        <f t="shared" si="16"/>
        <v>15.256256111111107</v>
      </c>
      <c r="U89">
        <f t="shared" si="11"/>
        <v>15.182051111111106</v>
      </c>
      <c r="V89">
        <f t="shared" si="11"/>
        <v>15.107846111111105</v>
      </c>
      <c r="W89">
        <f t="shared" si="11"/>
        <v>15.033641111111105</v>
      </c>
      <c r="X89">
        <f t="shared" si="11"/>
        <v>14.959436111111106</v>
      </c>
      <c r="Y89">
        <f t="shared" si="11"/>
        <v>14.885231111111105</v>
      </c>
      <c r="Z89">
        <f t="shared" si="11"/>
        <v>14.811026111111104</v>
      </c>
      <c r="AA89">
        <f t="shared" si="11"/>
        <v>14.736821111111105</v>
      </c>
      <c r="AB89">
        <f t="shared" si="11"/>
        <v>14.662616111111106</v>
      </c>
      <c r="AC89">
        <f t="shared" si="11"/>
        <v>14.588411111111105</v>
      </c>
      <c r="AD89">
        <f t="shared" si="11"/>
        <v>13.252721111111107</v>
      </c>
    </row>
    <row r="90" spans="2:30" x14ac:dyDescent="0.2">
      <c r="B90" s="7">
        <v>44658</v>
      </c>
      <c r="C90" s="8">
        <v>12.753472222222218</v>
      </c>
      <c r="D90">
        <f t="shared" si="14"/>
        <v>16.029647222222216</v>
      </c>
      <c r="E90">
        <f t="shared" si="16"/>
        <v>15.955442222222217</v>
      </c>
      <c r="F90">
        <f t="shared" si="16"/>
        <v>15.881237222222218</v>
      </c>
      <c r="G90">
        <f t="shared" si="16"/>
        <v>15.807032222222219</v>
      </c>
      <c r="H90">
        <f t="shared" si="16"/>
        <v>15.732827222222218</v>
      </c>
      <c r="I90">
        <f t="shared" si="16"/>
        <v>15.658622222222219</v>
      </c>
      <c r="J90">
        <f t="shared" si="16"/>
        <v>15.584417222222218</v>
      </c>
      <c r="K90">
        <f t="shared" si="16"/>
        <v>15.510212222222219</v>
      </c>
      <c r="L90">
        <f t="shared" si="16"/>
        <v>15.436007222222218</v>
      </c>
      <c r="M90">
        <f t="shared" si="16"/>
        <v>15.361802222222218</v>
      </c>
      <c r="N90">
        <f t="shared" si="16"/>
        <v>15.287597222222217</v>
      </c>
      <c r="O90">
        <f t="shared" si="16"/>
        <v>15.213392222222218</v>
      </c>
      <c r="P90">
        <f t="shared" si="16"/>
        <v>15.139187222222219</v>
      </c>
      <c r="Q90">
        <f t="shared" si="16"/>
        <v>15.064982222222218</v>
      </c>
      <c r="R90">
        <f t="shared" si="16"/>
        <v>14.990777222222217</v>
      </c>
      <c r="S90">
        <f t="shared" si="16"/>
        <v>14.916572222222218</v>
      </c>
      <c r="T90">
        <f t="shared" si="16"/>
        <v>14.842367222222219</v>
      </c>
      <c r="U90">
        <f t="shared" si="11"/>
        <v>14.768162222222218</v>
      </c>
      <c r="V90">
        <f t="shared" si="11"/>
        <v>14.693957222222217</v>
      </c>
      <c r="W90">
        <f t="shared" si="11"/>
        <v>14.619752222222218</v>
      </c>
      <c r="X90">
        <f t="shared" si="11"/>
        <v>14.545547222222218</v>
      </c>
      <c r="Y90">
        <f t="shared" si="11"/>
        <v>14.471342222222217</v>
      </c>
      <c r="Z90">
        <f t="shared" si="11"/>
        <v>14.397137222222216</v>
      </c>
      <c r="AA90">
        <f t="shared" si="11"/>
        <v>14.322932222222217</v>
      </c>
      <c r="AB90">
        <f t="shared" si="11"/>
        <v>14.248727222222218</v>
      </c>
      <c r="AC90">
        <f t="shared" si="11"/>
        <v>14.174522222222217</v>
      </c>
      <c r="AD90">
        <f t="shared" si="11"/>
        <v>12.838832222222219</v>
      </c>
    </row>
    <row r="91" spans="2:30" x14ac:dyDescent="0.2">
      <c r="B91" s="7">
        <v>44659</v>
      </c>
      <c r="C91" s="8">
        <v>11.435416666666669</v>
      </c>
      <c r="D91">
        <f t="shared" si="14"/>
        <v>14.711591666666669</v>
      </c>
      <c r="E91">
        <f t="shared" si="16"/>
        <v>14.637386666666668</v>
      </c>
      <c r="F91">
        <f t="shared" si="16"/>
        <v>14.563181666666669</v>
      </c>
      <c r="G91">
        <f t="shared" si="16"/>
        <v>14.48897666666667</v>
      </c>
      <c r="H91">
        <f t="shared" si="16"/>
        <v>14.414771666666669</v>
      </c>
      <c r="I91">
        <f t="shared" si="16"/>
        <v>14.340566666666669</v>
      </c>
      <c r="J91">
        <f t="shared" si="16"/>
        <v>14.266361666666668</v>
      </c>
      <c r="K91">
        <f t="shared" si="16"/>
        <v>14.192156666666669</v>
      </c>
      <c r="L91">
        <f t="shared" si="16"/>
        <v>14.117951666666668</v>
      </c>
      <c r="M91">
        <f t="shared" si="16"/>
        <v>14.043746666666669</v>
      </c>
      <c r="N91">
        <f t="shared" si="16"/>
        <v>13.969541666666668</v>
      </c>
      <c r="O91">
        <f t="shared" si="16"/>
        <v>13.895336666666669</v>
      </c>
      <c r="P91">
        <f t="shared" si="16"/>
        <v>13.82113166666667</v>
      </c>
      <c r="Q91">
        <f t="shared" si="16"/>
        <v>13.746926666666669</v>
      </c>
      <c r="R91">
        <f t="shared" si="16"/>
        <v>13.672721666666668</v>
      </c>
      <c r="S91">
        <f t="shared" si="16"/>
        <v>13.598516666666669</v>
      </c>
      <c r="T91">
        <f t="shared" si="16"/>
        <v>13.524311666666669</v>
      </c>
      <c r="U91">
        <f t="shared" ref="U91:AD116" si="17">(-1.4841*U$3+3.6472)+$C91</f>
        <v>13.450106666666668</v>
      </c>
      <c r="V91">
        <f t="shared" si="17"/>
        <v>13.375901666666667</v>
      </c>
      <c r="W91">
        <f t="shared" si="17"/>
        <v>13.301696666666668</v>
      </c>
      <c r="X91">
        <f t="shared" si="17"/>
        <v>13.227491666666669</v>
      </c>
      <c r="Y91">
        <f t="shared" si="17"/>
        <v>13.153286666666668</v>
      </c>
      <c r="Z91">
        <f t="shared" si="17"/>
        <v>13.079081666666667</v>
      </c>
      <c r="AA91">
        <f t="shared" si="17"/>
        <v>13.004876666666668</v>
      </c>
      <c r="AB91">
        <f t="shared" si="17"/>
        <v>12.930671666666669</v>
      </c>
      <c r="AC91">
        <f t="shared" si="17"/>
        <v>12.856466666666668</v>
      </c>
      <c r="AD91">
        <f t="shared" si="17"/>
        <v>11.52077666666667</v>
      </c>
    </row>
    <row r="92" spans="2:30" x14ac:dyDescent="0.2">
      <c r="B92" s="7">
        <v>44660</v>
      </c>
      <c r="C92" s="8">
        <v>11.301388888888884</v>
      </c>
      <c r="D92">
        <f t="shared" si="14"/>
        <v>14.577563888888884</v>
      </c>
      <c r="E92">
        <f t="shared" si="16"/>
        <v>14.503358888888883</v>
      </c>
      <c r="F92">
        <f t="shared" si="16"/>
        <v>14.429153888888884</v>
      </c>
      <c r="G92">
        <f t="shared" si="16"/>
        <v>14.354948888888885</v>
      </c>
      <c r="H92">
        <f t="shared" si="16"/>
        <v>14.280743888888884</v>
      </c>
      <c r="I92">
        <f t="shared" si="16"/>
        <v>14.206538888888884</v>
      </c>
      <c r="J92">
        <f t="shared" si="16"/>
        <v>14.132333888888883</v>
      </c>
      <c r="K92">
        <f t="shared" si="16"/>
        <v>14.058128888888884</v>
      </c>
      <c r="L92">
        <f t="shared" si="16"/>
        <v>13.983923888888883</v>
      </c>
      <c r="M92">
        <f t="shared" si="16"/>
        <v>13.909718888888884</v>
      </c>
      <c r="N92">
        <f t="shared" si="16"/>
        <v>13.835513888888883</v>
      </c>
      <c r="O92">
        <f t="shared" si="16"/>
        <v>13.761308888888884</v>
      </c>
      <c r="P92">
        <f t="shared" si="16"/>
        <v>13.687103888888885</v>
      </c>
      <c r="Q92">
        <f t="shared" si="16"/>
        <v>13.612898888888884</v>
      </c>
      <c r="R92">
        <f t="shared" si="16"/>
        <v>13.538693888888883</v>
      </c>
      <c r="S92">
        <f t="shared" si="16"/>
        <v>13.464488888888884</v>
      </c>
      <c r="T92">
        <f t="shared" si="16"/>
        <v>13.390283888888884</v>
      </c>
      <c r="U92">
        <f t="shared" si="17"/>
        <v>13.316078888888883</v>
      </c>
      <c r="V92">
        <f t="shared" si="17"/>
        <v>13.241873888888883</v>
      </c>
      <c r="W92">
        <f t="shared" si="17"/>
        <v>13.167668888888883</v>
      </c>
      <c r="X92">
        <f t="shared" si="17"/>
        <v>13.093463888888884</v>
      </c>
      <c r="Y92">
        <f t="shared" si="17"/>
        <v>13.019258888888883</v>
      </c>
      <c r="Z92">
        <f t="shared" si="17"/>
        <v>12.945053888888882</v>
      </c>
      <c r="AA92">
        <f t="shared" si="17"/>
        <v>12.870848888888883</v>
      </c>
      <c r="AB92">
        <f t="shared" si="17"/>
        <v>12.796643888888884</v>
      </c>
      <c r="AC92">
        <f t="shared" si="17"/>
        <v>12.722438888888883</v>
      </c>
      <c r="AD92">
        <f t="shared" si="17"/>
        <v>11.386748888888885</v>
      </c>
    </row>
    <row r="93" spans="2:30" x14ac:dyDescent="0.2">
      <c r="B93" s="7">
        <v>44661</v>
      </c>
      <c r="C93" s="8">
        <v>13.143055555555552</v>
      </c>
      <c r="D93">
        <f t="shared" si="14"/>
        <v>16.419230555555551</v>
      </c>
      <c r="E93">
        <f t="shared" si="16"/>
        <v>16.345025555555551</v>
      </c>
      <c r="F93">
        <f t="shared" si="16"/>
        <v>16.270820555555552</v>
      </c>
      <c r="G93">
        <f t="shared" si="16"/>
        <v>16.196615555555553</v>
      </c>
      <c r="H93">
        <f t="shared" si="16"/>
        <v>16.122410555555554</v>
      </c>
      <c r="I93">
        <f t="shared" si="16"/>
        <v>16.048205555555551</v>
      </c>
      <c r="J93">
        <f t="shared" si="16"/>
        <v>15.974000555555552</v>
      </c>
      <c r="K93">
        <f t="shared" si="16"/>
        <v>15.899795555555553</v>
      </c>
      <c r="L93">
        <f t="shared" si="16"/>
        <v>15.825590555555552</v>
      </c>
      <c r="M93">
        <f t="shared" si="16"/>
        <v>15.751385555555553</v>
      </c>
      <c r="N93">
        <f t="shared" si="16"/>
        <v>15.677180555555552</v>
      </c>
      <c r="O93">
        <f t="shared" si="16"/>
        <v>15.602975555555552</v>
      </c>
      <c r="P93">
        <f t="shared" si="16"/>
        <v>15.528770555555553</v>
      </c>
      <c r="Q93">
        <f t="shared" si="16"/>
        <v>15.454565555555552</v>
      </c>
      <c r="R93">
        <f t="shared" si="16"/>
        <v>15.380360555555551</v>
      </c>
      <c r="S93">
        <f t="shared" si="16"/>
        <v>15.306155555555552</v>
      </c>
      <c r="T93">
        <f t="shared" si="16"/>
        <v>15.231950555555553</v>
      </c>
      <c r="U93">
        <f t="shared" si="17"/>
        <v>15.157745555555552</v>
      </c>
      <c r="V93">
        <f t="shared" si="17"/>
        <v>15.083540555555551</v>
      </c>
      <c r="W93">
        <f t="shared" si="17"/>
        <v>15.009335555555552</v>
      </c>
      <c r="X93">
        <f t="shared" si="17"/>
        <v>14.935130555555553</v>
      </c>
      <c r="Y93">
        <f t="shared" si="17"/>
        <v>14.860925555555552</v>
      </c>
      <c r="Z93">
        <f t="shared" si="17"/>
        <v>14.786720555555551</v>
      </c>
      <c r="AA93">
        <f t="shared" si="17"/>
        <v>14.712515555555552</v>
      </c>
      <c r="AB93">
        <f t="shared" si="17"/>
        <v>14.638310555555552</v>
      </c>
      <c r="AC93">
        <f t="shared" si="17"/>
        <v>14.564105555555551</v>
      </c>
      <c r="AD93">
        <f t="shared" si="17"/>
        <v>13.228415555555554</v>
      </c>
    </row>
    <row r="94" spans="2:30" x14ac:dyDescent="0.2">
      <c r="B94" s="7">
        <v>44662</v>
      </c>
      <c r="C94" s="8">
        <v>15.343055555555548</v>
      </c>
      <c r="D94">
        <f t="shared" si="14"/>
        <v>18.619230555555546</v>
      </c>
      <c r="E94">
        <f t="shared" si="16"/>
        <v>18.545025555555547</v>
      </c>
      <c r="F94">
        <f t="shared" si="16"/>
        <v>18.470820555555548</v>
      </c>
      <c r="G94">
        <f t="shared" si="16"/>
        <v>18.396615555555549</v>
      </c>
      <c r="H94">
        <f t="shared" si="16"/>
        <v>18.32241055555555</v>
      </c>
      <c r="I94">
        <f t="shared" si="16"/>
        <v>18.248205555555547</v>
      </c>
      <c r="J94">
        <f t="shared" si="16"/>
        <v>18.174000555555548</v>
      </c>
      <c r="K94">
        <f t="shared" si="16"/>
        <v>18.099795555555549</v>
      </c>
      <c r="L94">
        <f t="shared" si="16"/>
        <v>18.025590555555549</v>
      </c>
      <c r="M94">
        <f t="shared" si="16"/>
        <v>17.951385555555547</v>
      </c>
      <c r="N94">
        <f t="shared" si="16"/>
        <v>17.877180555555547</v>
      </c>
      <c r="O94">
        <f t="shared" si="16"/>
        <v>17.802975555555548</v>
      </c>
      <c r="P94">
        <f t="shared" si="16"/>
        <v>17.728770555555549</v>
      </c>
      <c r="Q94">
        <f t="shared" si="16"/>
        <v>17.65456555555555</v>
      </c>
      <c r="R94">
        <f t="shared" si="16"/>
        <v>17.580360555555547</v>
      </c>
      <c r="S94">
        <f t="shared" si="16"/>
        <v>17.506155555555548</v>
      </c>
      <c r="T94">
        <f t="shared" si="16"/>
        <v>17.431950555555549</v>
      </c>
      <c r="U94">
        <f t="shared" si="17"/>
        <v>17.357745555555546</v>
      </c>
      <c r="V94">
        <f t="shared" si="17"/>
        <v>17.283540555555547</v>
      </c>
      <c r="W94">
        <f t="shared" si="17"/>
        <v>17.209335555555548</v>
      </c>
      <c r="X94">
        <f t="shared" si="17"/>
        <v>17.135130555555548</v>
      </c>
      <c r="Y94">
        <f t="shared" si="17"/>
        <v>17.060925555555549</v>
      </c>
      <c r="Z94">
        <f t="shared" si="17"/>
        <v>16.986720555555546</v>
      </c>
      <c r="AA94">
        <f t="shared" si="17"/>
        <v>16.912515555555547</v>
      </c>
      <c r="AB94">
        <f t="shared" si="17"/>
        <v>16.838310555555548</v>
      </c>
      <c r="AC94">
        <f t="shared" si="17"/>
        <v>16.764105555555545</v>
      </c>
      <c r="AD94">
        <f t="shared" si="17"/>
        <v>15.428415555555549</v>
      </c>
    </row>
    <row r="95" spans="2:30" x14ac:dyDescent="0.2">
      <c r="B95" s="7">
        <v>44663</v>
      </c>
      <c r="C95" s="8">
        <v>16.343749999999989</v>
      </c>
      <c r="D95">
        <f t="shared" si="14"/>
        <v>19.619924999999988</v>
      </c>
      <c r="E95">
        <f t="shared" si="16"/>
        <v>19.545719999999989</v>
      </c>
      <c r="F95">
        <f t="shared" si="16"/>
        <v>19.471514999999989</v>
      </c>
      <c r="G95">
        <f t="shared" si="16"/>
        <v>19.39730999999999</v>
      </c>
      <c r="H95">
        <f t="shared" si="16"/>
        <v>19.323104999999991</v>
      </c>
      <c r="I95">
        <f t="shared" si="16"/>
        <v>19.248899999999988</v>
      </c>
      <c r="J95">
        <f t="shared" si="16"/>
        <v>19.174694999999989</v>
      </c>
      <c r="K95">
        <f t="shared" si="16"/>
        <v>19.10048999999999</v>
      </c>
      <c r="L95">
        <f t="shared" si="16"/>
        <v>19.026284999999991</v>
      </c>
      <c r="M95">
        <f t="shared" si="16"/>
        <v>18.952079999999988</v>
      </c>
      <c r="N95">
        <f t="shared" si="16"/>
        <v>18.877874999999989</v>
      </c>
      <c r="O95">
        <f t="shared" si="16"/>
        <v>18.80366999999999</v>
      </c>
      <c r="P95">
        <f t="shared" si="16"/>
        <v>18.72946499999999</v>
      </c>
      <c r="Q95">
        <f t="shared" si="16"/>
        <v>18.655259999999991</v>
      </c>
      <c r="R95">
        <f t="shared" si="16"/>
        <v>18.581054999999989</v>
      </c>
      <c r="S95">
        <f t="shared" si="16"/>
        <v>18.506849999999989</v>
      </c>
      <c r="T95">
        <f t="shared" si="16"/>
        <v>18.43264499999999</v>
      </c>
      <c r="U95">
        <f t="shared" si="17"/>
        <v>18.358439999999987</v>
      </c>
      <c r="V95">
        <f t="shared" si="17"/>
        <v>18.284234999999988</v>
      </c>
      <c r="W95">
        <f t="shared" si="17"/>
        <v>18.210029999999989</v>
      </c>
      <c r="X95">
        <f t="shared" si="17"/>
        <v>18.13582499999999</v>
      </c>
      <c r="Y95">
        <f t="shared" si="17"/>
        <v>18.061619999999991</v>
      </c>
      <c r="Z95">
        <f t="shared" si="17"/>
        <v>17.987414999999988</v>
      </c>
      <c r="AA95">
        <f t="shared" si="17"/>
        <v>17.913209999999989</v>
      </c>
      <c r="AB95">
        <f t="shared" si="17"/>
        <v>17.83900499999999</v>
      </c>
      <c r="AC95">
        <f t="shared" si="17"/>
        <v>17.764799999999987</v>
      </c>
      <c r="AD95">
        <f t="shared" si="17"/>
        <v>16.429109999999991</v>
      </c>
    </row>
    <row r="96" spans="2:30" x14ac:dyDescent="0.2">
      <c r="B96" s="7">
        <v>44664</v>
      </c>
      <c r="C96" s="8">
        <v>18.493749999999991</v>
      </c>
      <c r="D96">
        <f t="shared" si="14"/>
        <v>21.769924999999994</v>
      </c>
      <c r="E96">
        <f t="shared" si="16"/>
        <v>21.695719999999991</v>
      </c>
      <c r="F96">
        <f t="shared" si="16"/>
        <v>21.621514999999992</v>
      </c>
      <c r="G96">
        <f t="shared" si="16"/>
        <v>21.547309999999992</v>
      </c>
      <c r="H96">
        <f t="shared" si="16"/>
        <v>21.473104999999993</v>
      </c>
      <c r="I96">
        <f t="shared" si="16"/>
        <v>21.39889999999999</v>
      </c>
      <c r="J96">
        <f t="shared" si="16"/>
        <v>21.324694999999991</v>
      </c>
      <c r="K96">
        <f t="shared" si="16"/>
        <v>21.250489999999992</v>
      </c>
      <c r="L96">
        <f t="shared" si="16"/>
        <v>21.176284999999993</v>
      </c>
      <c r="M96">
        <f t="shared" si="16"/>
        <v>21.10207999999999</v>
      </c>
      <c r="N96">
        <f t="shared" si="16"/>
        <v>21.027874999999991</v>
      </c>
      <c r="O96">
        <f t="shared" si="16"/>
        <v>20.953669999999992</v>
      </c>
      <c r="P96">
        <f t="shared" si="16"/>
        <v>20.879464999999993</v>
      </c>
      <c r="Q96">
        <f t="shared" si="16"/>
        <v>20.80525999999999</v>
      </c>
      <c r="R96">
        <f t="shared" si="16"/>
        <v>20.731054999999991</v>
      </c>
      <c r="S96">
        <f t="shared" si="16"/>
        <v>20.656849999999991</v>
      </c>
      <c r="T96">
        <f t="shared" si="16"/>
        <v>20.582644999999992</v>
      </c>
      <c r="U96">
        <f t="shared" si="17"/>
        <v>20.508439999999993</v>
      </c>
      <c r="V96">
        <f t="shared" si="17"/>
        <v>20.43423499999999</v>
      </c>
      <c r="W96">
        <f t="shared" si="17"/>
        <v>20.360029999999991</v>
      </c>
      <c r="X96">
        <f t="shared" si="17"/>
        <v>20.285824999999992</v>
      </c>
      <c r="Y96">
        <f t="shared" si="17"/>
        <v>20.211619999999989</v>
      </c>
      <c r="Z96">
        <f t="shared" si="17"/>
        <v>20.13741499999999</v>
      </c>
      <c r="AA96">
        <f t="shared" si="17"/>
        <v>20.063209999999991</v>
      </c>
      <c r="AB96">
        <f t="shared" si="17"/>
        <v>19.989004999999992</v>
      </c>
      <c r="AC96">
        <f t="shared" si="17"/>
        <v>19.914799999999993</v>
      </c>
      <c r="AD96">
        <f t="shared" si="17"/>
        <v>18.579109999999993</v>
      </c>
    </row>
    <row r="97" spans="2:30" x14ac:dyDescent="0.2">
      <c r="B97" s="7">
        <v>44665</v>
      </c>
      <c r="C97" s="8">
        <v>19.843749999999996</v>
      </c>
      <c r="D97">
        <f t="shared" si="14"/>
        <v>23.119924999999995</v>
      </c>
      <c r="E97">
        <f t="shared" si="16"/>
        <v>23.045719999999996</v>
      </c>
      <c r="F97">
        <f t="shared" si="16"/>
        <v>22.971514999999997</v>
      </c>
      <c r="G97">
        <f t="shared" si="16"/>
        <v>22.897309999999997</v>
      </c>
      <c r="H97">
        <f t="shared" si="16"/>
        <v>22.823104999999998</v>
      </c>
      <c r="I97">
        <f t="shared" si="16"/>
        <v>22.748899999999995</v>
      </c>
      <c r="J97">
        <f t="shared" si="16"/>
        <v>22.674694999999996</v>
      </c>
      <c r="K97">
        <f t="shared" si="16"/>
        <v>22.600489999999997</v>
      </c>
      <c r="L97">
        <f t="shared" si="16"/>
        <v>22.526284999999998</v>
      </c>
      <c r="M97">
        <f t="shared" si="16"/>
        <v>22.452079999999995</v>
      </c>
      <c r="N97">
        <f t="shared" si="16"/>
        <v>22.377874999999996</v>
      </c>
      <c r="O97">
        <f t="shared" si="16"/>
        <v>22.303669999999997</v>
      </c>
      <c r="P97">
        <f t="shared" si="16"/>
        <v>22.229464999999998</v>
      </c>
      <c r="Q97">
        <f t="shared" si="16"/>
        <v>22.155259999999998</v>
      </c>
      <c r="R97">
        <f t="shared" si="16"/>
        <v>22.081054999999996</v>
      </c>
      <c r="S97">
        <f t="shared" si="16"/>
        <v>22.006849999999996</v>
      </c>
      <c r="T97">
        <f t="shared" si="16"/>
        <v>21.932644999999997</v>
      </c>
      <c r="U97">
        <f t="shared" si="17"/>
        <v>21.858439999999995</v>
      </c>
      <c r="V97">
        <f t="shared" si="17"/>
        <v>21.784234999999995</v>
      </c>
      <c r="W97">
        <f t="shared" si="17"/>
        <v>21.710029999999996</v>
      </c>
      <c r="X97">
        <f t="shared" si="17"/>
        <v>21.635824999999997</v>
      </c>
      <c r="Y97">
        <f t="shared" si="17"/>
        <v>21.561619999999998</v>
      </c>
      <c r="Z97">
        <f t="shared" si="17"/>
        <v>21.487414999999995</v>
      </c>
      <c r="AA97">
        <f t="shared" si="17"/>
        <v>21.413209999999996</v>
      </c>
      <c r="AB97">
        <f t="shared" si="17"/>
        <v>21.339004999999997</v>
      </c>
      <c r="AC97">
        <f t="shared" si="17"/>
        <v>21.264799999999994</v>
      </c>
      <c r="AD97">
        <f t="shared" si="17"/>
        <v>19.929109999999998</v>
      </c>
    </row>
    <row r="98" spans="2:30" x14ac:dyDescent="0.2">
      <c r="B98" s="7">
        <v>44666</v>
      </c>
      <c r="C98" s="8">
        <v>19.886111111111102</v>
      </c>
      <c r="D98">
        <f t="shared" si="14"/>
        <v>23.162286111111101</v>
      </c>
      <c r="E98">
        <f t="shared" si="16"/>
        <v>23.088081111111102</v>
      </c>
      <c r="F98">
        <f t="shared" si="16"/>
        <v>23.013876111111102</v>
      </c>
      <c r="G98">
        <f t="shared" si="16"/>
        <v>22.939671111111103</v>
      </c>
      <c r="H98">
        <f t="shared" si="16"/>
        <v>22.865466111111104</v>
      </c>
      <c r="I98">
        <f t="shared" si="16"/>
        <v>22.791261111111101</v>
      </c>
      <c r="J98">
        <f t="shared" si="16"/>
        <v>22.717056111111102</v>
      </c>
      <c r="K98">
        <f t="shared" si="16"/>
        <v>22.642851111111103</v>
      </c>
      <c r="L98">
        <f t="shared" si="16"/>
        <v>22.568646111111104</v>
      </c>
      <c r="M98">
        <f t="shared" si="16"/>
        <v>22.494441111111101</v>
      </c>
      <c r="N98">
        <f t="shared" si="16"/>
        <v>22.420236111111102</v>
      </c>
      <c r="O98">
        <f t="shared" si="16"/>
        <v>22.346031111111103</v>
      </c>
      <c r="P98">
        <f t="shared" si="16"/>
        <v>22.271826111111103</v>
      </c>
      <c r="Q98">
        <f t="shared" si="16"/>
        <v>22.197621111111104</v>
      </c>
      <c r="R98">
        <f t="shared" si="16"/>
        <v>22.123416111111101</v>
      </c>
      <c r="S98">
        <f t="shared" si="16"/>
        <v>22.049211111111102</v>
      </c>
      <c r="T98">
        <f t="shared" si="16"/>
        <v>21.975006111111103</v>
      </c>
      <c r="U98">
        <f t="shared" si="17"/>
        <v>21.9008011111111</v>
      </c>
      <c r="V98">
        <f t="shared" si="17"/>
        <v>21.826596111111101</v>
      </c>
      <c r="W98">
        <f t="shared" si="17"/>
        <v>21.752391111111102</v>
      </c>
      <c r="X98">
        <f t="shared" si="17"/>
        <v>21.678186111111103</v>
      </c>
      <c r="Y98">
        <f t="shared" si="17"/>
        <v>21.603981111111104</v>
      </c>
      <c r="Z98">
        <f t="shared" si="17"/>
        <v>21.529776111111101</v>
      </c>
      <c r="AA98">
        <f t="shared" si="17"/>
        <v>21.455571111111102</v>
      </c>
      <c r="AB98">
        <f t="shared" si="17"/>
        <v>21.381366111111102</v>
      </c>
      <c r="AC98">
        <f t="shared" si="17"/>
        <v>21.3071611111111</v>
      </c>
      <c r="AD98">
        <f t="shared" si="17"/>
        <v>19.971471111111104</v>
      </c>
    </row>
    <row r="99" spans="2:30" x14ac:dyDescent="0.2">
      <c r="B99" s="7">
        <v>44667</v>
      </c>
      <c r="C99" s="8">
        <v>19.031249999999993</v>
      </c>
      <c r="D99">
        <f t="shared" si="14"/>
        <v>22.307424999999995</v>
      </c>
      <c r="E99">
        <f t="shared" si="16"/>
        <v>22.233219999999992</v>
      </c>
      <c r="F99">
        <f t="shared" si="16"/>
        <v>22.159014999999993</v>
      </c>
      <c r="G99">
        <f t="shared" si="16"/>
        <v>22.084809999999994</v>
      </c>
      <c r="H99">
        <f t="shared" si="16"/>
        <v>22.010604999999995</v>
      </c>
      <c r="I99">
        <f t="shared" si="16"/>
        <v>21.936399999999992</v>
      </c>
      <c r="J99">
        <f t="shared" si="16"/>
        <v>21.862194999999993</v>
      </c>
      <c r="K99">
        <f t="shared" si="16"/>
        <v>21.787989999999994</v>
      </c>
      <c r="L99">
        <f t="shared" si="16"/>
        <v>21.713784999999994</v>
      </c>
      <c r="M99">
        <f t="shared" si="16"/>
        <v>21.639579999999992</v>
      </c>
      <c r="N99">
        <f t="shared" si="16"/>
        <v>21.565374999999992</v>
      </c>
      <c r="O99">
        <f t="shared" si="16"/>
        <v>21.491169999999993</v>
      </c>
      <c r="P99">
        <f t="shared" si="16"/>
        <v>21.416964999999994</v>
      </c>
      <c r="Q99">
        <f t="shared" si="16"/>
        <v>21.342759999999991</v>
      </c>
      <c r="R99">
        <f t="shared" si="16"/>
        <v>21.268554999999992</v>
      </c>
      <c r="S99">
        <f t="shared" si="16"/>
        <v>21.194349999999993</v>
      </c>
      <c r="T99">
        <f t="shared" si="16"/>
        <v>21.120144999999994</v>
      </c>
      <c r="U99">
        <f t="shared" si="17"/>
        <v>21.045939999999995</v>
      </c>
      <c r="V99">
        <f t="shared" si="17"/>
        <v>20.971734999999992</v>
      </c>
      <c r="W99">
        <f t="shared" si="17"/>
        <v>20.897529999999993</v>
      </c>
      <c r="X99">
        <f t="shared" si="17"/>
        <v>20.823324999999993</v>
      </c>
      <c r="Y99">
        <f t="shared" si="17"/>
        <v>20.749119999999991</v>
      </c>
      <c r="Z99">
        <f t="shared" si="17"/>
        <v>20.674914999999991</v>
      </c>
      <c r="AA99">
        <f t="shared" si="17"/>
        <v>20.600709999999992</v>
      </c>
      <c r="AB99">
        <f t="shared" si="17"/>
        <v>20.526504999999993</v>
      </c>
      <c r="AC99">
        <f t="shared" si="17"/>
        <v>20.452299999999994</v>
      </c>
      <c r="AD99">
        <f t="shared" si="17"/>
        <v>19.116609999999994</v>
      </c>
    </row>
    <row r="100" spans="2:30" x14ac:dyDescent="0.2">
      <c r="B100" s="7">
        <v>44668</v>
      </c>
      <c r="C100" s="8">
        <v>18.329166666666659</v>
      </c>
      <c r="D100">
        <f t="shared" si="14"/>
        <v>21.605341666666661</v>
      </c>
      <c r="E100">
        <f t="shared" si="16"/>
        <v>21.531136666666658</v>
      </c>
      <c r="F100">
        <f t="shared" si="16"/>
        <v>21.456931666666659</v>
      </c>
      <c r="G100">
        <f t="shared" si="16"/>
        <v>21.38272666666666</v>
      </c>
      <c r="H100">
        <f t="shared" si="16"/>
        <v>21.30852166666666</v>
      </c>
      <c r="I100">
        <f t="shared" si="16"/>
        <v>21.234316666666658</v>
      </c>
      <c r="J100">
        <f t="shared" si="16"/>
        <v>21.160111666666658</v>
      </c>
      <c r="K100">
        <f t="shared" si="16"/>
        <v>21.085906666666659</v>
      </c>
      <c r="L100">
        <f t="shared" si="16"/>
        <v>21.01170166666666</v>
      </c>
      <c r="M100">
        <f t="shared" si="16"/>
        <v>20.937496666666657</v>
      </c>
      <c r="N100">
        <f t="shared" si="16"/>
        <v>20.863291666666658</v>
      </c>
      <c r="O100">
        <f t="shared" si="16"/>
        <v>20.789086666666659</v>
      </c>
      <c r="P100">
        <f t="shared" si="16"/>
        <v>20.71488166666666</v>
      </c>
      <c r="Q100">
        <f t="shared" si="16"/>
        <v>20.640676666666657</v>
      </c>
      <c r="R100">
        <f t="shared" si="16"/>
        <v>20.566471666666658</v>
      </c>
      <c r="S100">
        <f t="shared" si="16"/>
        <v>20.492266666666659</v>
      </c>
      <c r="T100">
        <f t="shared" ref="T100" si="18">(-1.4841*T$3+3.6472)+$C100</f>
        <v>20.418061666666659</v>
      </c>
      <c r="U100">
        <f t="shared" si="17"/>
        <v>20.34385666666666</v>
      </c>
      <c r="V100">
        <f t="shared" si="17"/>
        <v>20.269651666666658</v>
      </c>
      <c r="W100">
        <f t="shared" si="17"/>
        <v>20.195446666666658</v>
      </c>
      <c r="X100">
        <f t="shared" si="17"/>
        <v>20.121241666666659</v>
      </c>
      <c r="Y100">
        <f t="shared" si="17"/>
        <v>20.047036666666656</v>
      </c>
      <c r="Z100">
        <f t="shared" si="17"/>
        <v>19.972831666666657</v>
      </c>
      <c r="AA100">
        <f t="shared" si="17"/>
        <v>19.898626666666658</v>
      </c>
      <c r="AB100">
        <f t="shared" si="17"/>
        <v>19.824421666666659</v>
      </c>
      <c r="AC100">
        <f t="shared" si="17"/>
        <v>19.75021666666666</v>
      </c>
      <c r="AD100">
        <f t="shared" si="17"/>
        <v>18.41452666666666</v>
      </c>
    </row>
    <row r="101" spans="2:30" x14ac:dyDescent="0.2">
      <c r="B101" s="7">
        <v>44669</v>
      </c>
      <c r="C101" s="8">
        <v>19.133333333333329</v>
      </c>
      <c r="D101">
        <f t="shared" si="14"/>
        <v>22.409508333333328</v>
      </c>
      <c r="E101">
        <f t="shared" ref="E101:T116" si="19">(-1.4841*E$3+3.6472)+$C101</f>
        <v>22.335303333333329</v>
      </c>
      <c r="F101">
        <f t="shared" si="19"/>
        <v>22.261098333333329</v>
      </c>
      <c r="G101">
        <f t="shared" si="19"/>
        <v>22.18689333333333</v>
      </c>
      <c r="H101">
        <f t="shared" si="19"/>
        <v>22.112688333333331</v>
      </c>
      <c r="I101">
        <f t="shared" si="19"/>
        <v>22.038483333333328</v>
      </c>
      <c r="J101">
        <f t="shared" si="19"/>
        <v>21.964278333333329</v>
      </c>
      <c r="K101">
        <f t="shared" si="19"/>
        <v>21.89007333333333</v>
      </c>
      <c r="L101">
        <f t="shared" si="19"/>
        <v>21.815868333333331</v>
      </c>
      <c r="M101">
        <f t="shared" si="19"/>
        <v>21.741663333333328</v>
      </c>
      <c r="N101">
        <f t="shared" si="19"/>
        <v>21.667458333333329</v>
      </c>
      <c r="O101">
        <f t="shared" si="19"/>
        <v>21.59325333333333</v>
      </c>
      <c r="P101">
        <f t="shared" si="19"/>
        <v>21.51904833333333</v>
      </c>
      <c r="Q101">
        <f t="shared" si="19"/>
        <v>21.444843333333331</v>
      </c>
      <c r="R101">
        <f t="shared" si="19"/>
        <v>21.370638333333329</v>
      </c>
      <c r="S101">
        <f t="shared" si="19"/>
        <v>21.296433333333329</v>
      </c>
      <c r="T101">
        <f t="shared" si="19"/>
        <v>21.22222833333333</v>
      </c>
      <c r="U101">
        <f t="shared" si="17"/>
        <v>21.148023333333327</v>
      </c>
      <c r="V101">
        <f t="shared" si="17"/>
        <v>21.073818333333328</v>
      </c>
      <c r="W101">
        <f t="shared" si="17"/>
        <v>20.999613333333329</v>
      </c>
      <c r="X101">
        <f t="shared" si="17"/>
        <v>20.92540833333333</v>
      </c>
      <c r="Y101">
        <f t="shared" si="17"/>
        <v>20.851203333333331</v>
      </c>
      <c r="Z101">
        <f t="shared" si="17"/>
        <v>20.776998333333328</v>
      </c>
      <c r="AA101">
        <f t="shared" si="17"/>
        <v>20.702793333333329</v>
      </c>
      <c r="AB101">
        <f t="shared" si="17"/>
        <v>20.62858833333333</v>
      </c>
      <c r="AC101">
        <f t="shared" si="17"/>
        <v>20.554383333333327</v>
      </c>
      <c r="AD101">
        <f t="shared" si="17"/>
        <v>19.218693333333331</v>
      </c>
    </row>
    <row r="102" spans="2:30" x14ac:dyDescent="0.2">
      <c r="B102" s="7">
        <v>44670</v>
      </c>
      <c r="C102" s="8">
        <v>19.240277777777777</v>
      </c>
      <c r="D102">
        <f t="shared" si="14"/>
        <v>22.516452777777779</v>
      </c>
      <c r="E102">
        <f t="shared" si="19"/>
        <v>22.442247777777776</v>
      </c>
      <c r="F102">
        <f t="shared" si="19"/>
        <v>22.368042777777777</v>
      </c>
      <c r="G102">
        <f t="shared" si="19"/>
        <v>22.293837777777778</v>
      </c>
      <c r="H102">
        <f t="shared" si="19"/>
        <v>22.219632777777779</v>
      </c>
      <c r="I102">
        <f t="shared" si="19"/>
        <v>22.145427777777776</v>
      </c>
      <c r="J102">
        <f t="shared" si="19"/>
        <v>22.071222777777777</v>
      </c>
      <c r="K102">
        <f t="shared" si="19"/>
        <v>21.997017777777778</v>
      </c>
      <c r="L102">
        <f t="shared" si="19"/>
        <v>21.922812777777779</v>
      </c>
      <c r="M102">
        <f t="shared" si="19"/>
        <v>21.848607777777776</v>
      </c>
      <c r="N102">
        <f t="shared" si="19"/>
        <v>21.774402777777777</v>
      </c>
      <c r="O102">
        <f t="shared" si="19"/>
        <v>21.700197777777777</v>
      </c>
      <c r="P102">
        <f t="shared" si="19"/>
        <v>21.625992777777778</v>
      </c>
      <c r="Q102">
        <f t="shared" si="19"/>
        <v>21.551787777777776</v>
      </c>
      <c r="R102">
        <f t="shared" si="19"/>
        <v>21.477582777777776</v>
      </c>
      <c r="S102">
        <f t="shared" si="19"/>
        <v>21.403377777777777</v>
      </c>
      <c r="T102">
        <f t="shared" si="19"/>
        <v>21.329172777777778</v>
      </c>
      <c r="U102">
        <f t="shared" si="17"/>
        <v>21.254967777777779</v>
      </c>
      <c r="V102">
        <f t="shared" si="17"/>
        <v>21.180762777777776</v>
      </c>
      <c r="W102">
        <f t="shared" si="17"/>
        <v>21.106557777777777</v>
      </c>
      <c r="X102">
        <f t="shared" si="17"/>
        <v>21.032352777777778</v>
      </c>
      <c r="Y102">
        <f t="shared" si="17"/>
        <v>20.958147777777775</v>
      </c>
      <c r="Z102">
        <f t="shared" si="17"/>
        <v>20.883942777777776</v>
      </c>
      <c r="AA102">
        <f t="shared" si="17"/>
        <v>20.809737777777777</v>
      </c>
      <c r="AB102">
        <f t="shared" si="17"/>
        <v>20.735532777777777</v>
      </c>
      <c r="AC102">
        <f t="shared" si="17"/>
        <v>20.661327777777778</v>
      </c>
      <c r="AD102">
        <f t="shared" si="17"/>
        <v>19.325637777777779</v>
      </c>
    </row>
    <row r="103" spans="2:30" x14ac:dyDescent="0.2">
      <c r="B103" s="7">
        <v>44671</v>
      </c>
      <c r="C103" s="8">
        <v>18.450277777777771</v>
      </c>
      <c r="D103">
        <f t="shared" si="14"/>
        <v>21.726452777777773</v>
      </c>
      <c r="E103">
        <f t="shared" si="19"/>
        <v>21.65224777777777</v>
      </c>
      <c r="F103">
        <f t="shared" si="19"/>
        <v>21.578042777777771</v>
      </c>
      <c r="G103">
        <f t="shared" si="19"/>
        <v>21.503837777777772</v>
      </c>
      <c r="H103">
        <f t="shared" si="19"/>
        <v>21.429632777777773</v>
      </c>
      <c r="I103">
        <f t="shared" si="19"/>
        <v>21.35542777777777</v>
      </c>
      <c r="J103">
        <f t="shared" si="19"/>
        <v>21.281222777777771</v>
      </c>
      <c r="K103">
        <f t="shared" si="19"/>
        <v>21.207017777777772</v>
      </c>
      <c r="L103">
        <f t="shared" si="19"/>
        <v>21.132812777777772</v>
      </c>
      <c r="M103">
        <f t="shared" si="19"/>
        <v>21.05860777777777</v>
      </c>
      <c r="N103">
        <f t="shared" si="19"/>
        <v>20.98440277777777</v>
      </c>
      <c r="O103">
        <f t="shared" si="19"/>
        <v>20.910197777777771</v>
      </c>
      <c r="P103">
        <f t="shared" si="19"/>
        <v>20.835992777777772</v>
      </c>
      <c r="Q103">
        <f t="shared" si="19"/>
        <v>20.761787777777769</v>
      </c>
      <c r="R103">
        <f t="shared" si="19"/>
        <v>20.68758277777777</v>
      </c>
      <c r="S103">
        <f t="shared" si="19"/>
        <v>20.613377777777771</v>
      </c>
      <c r="T103">
        <f t="shared" si="19"/>
        <v>20.539172777777772</v>
      </c>
      <c r="U103">
        <f t="shared" si="17"/>
        <v>20.464967777777773</v>
      </c>
      <c r="V103">
        <f t="shared" si="17"/>
        <v>20.39076277777777</v>
      </c>
      <c r="W103">
        <f t="shared" si="17"/>
        <v>20.316557777777771</v>
      </c>
      <c r="X103">
        <f t="shared" si="17"/>
        <v>20.242352777777771</v>
      </c>
      <c r="Y103">
        <f t="shared" si="17"/>
        <v>20.168147777777769</v>
      </c>
      <c r="Z103">
        <f t="shared" si="17"/>
        <v>20.093942777777769</v>
      </c>
      <c r="AA103">
        <f t="shared" si="17"/>
        <v>20.01973777777777</v>
      </c>
      <c r="AB103">
        <f t="shared" si="17"/>
        <v>19.945532777777771</v>
      </c>
      <c r="AC103">
        <f t="shared" si="17"/>
        <v>19.871327777777772</v>
      </c>
      <c r="AD103">
        <f t="shared" si="17"/>
        <v>18.535637777777772</v>
      </c>
    </row>
    <row r="104" spans="2:30" x14ac:dyDescent="0.2">
      <c r="B104" s="7">
        <v>44672</v>
      </c>
      <c r="C104" s="8">
        <v>18.177847222222212</v>
      </c>
      <c r="D104">
        <f t="shared" si="14"/>
        <v>21.454022222222214</v>
      </c>
      <c r="E104">
        <f t="shared" si="19"/>
        <v>21.379817222222211</v>
      </c>
      <c r="F104">
        <f t="shared" si="19"/>
        <v>21.305612222222212</v>
      </c>
      <c r="G104">
        <f t="shared" si="19"/>
        <v>21.231407222222213</v>
      </c>
      <c r="H104">
        <f t="shared" si="19"/>
        <v>21.157202222222214</v>
      </c>
      <c r="I104">
        <f t="shared" si="19"/>
        <v>21.082997222222211</v>
      </c>
      <c r="J104">
        <f t="shared" si="19"/>
        <v>21.008792222222212</v>
      </c>
      <c r="K104">
        <f t="shared" si="19"/>
        <v>20.934587222222213</v>
      </c>
      <c r="L104">
        <f t="shared" si="19"/>
        <v>20.860382222222213</v>
      </c>
      <c r="M104">
        <f t="shared" si="19"/>
        <v>20.786177222222211</v>
      </c>
      <c r="N104">
        <f t="shared" si="19"/>
        <v>20.711972222222212</v>
      </c>
      <c r="O104">
        <f t="shared" si="19"/>
        <v>20.637767222222212</v>
      </c>
      <c r="P104">
        <f t="shared" si="19"/>
        <v>20.563562222222213</v>
      </c>
      <c r="Q104">
        <f t="shared" si="19"/>
        <v>20.48935722222221</v>
      </c>
      <c r="R104">
        <f t="shared" si="19"/>
        <v>20.415152222222211</v>
      </c>
      <c r="S104">
        <f t="shared" si="19"/>
        <v>20.340947222222212</v>
      </c>
      <c r="T104">
        <f t="shared" si="19"/>
        <v>20.266742222222213</v>
      </c>
      <c r="U104">
        <f t="shared" si="17"/>
        <v>20.192537222222214</v>
      </c>
      <c r="V104">
        <f t="shared" si="17"/>
        <v>20.118332222222211</v>
      </c>
      <c r="W104">
        <f t="shared" si="17"/>
        <v>20.044127222222212</v>
      </c>
      <c r="X104">
        <f t="shared" si="17"/>
        <v>19.969922222222213</v>
      </c>
      <c r="Y104">
        <f t="shared" si="17"/>
        <v>19.89571722222221</v>
      </c>
      <c r="Z104">
        <f t="shared" si="17"/>
        <v>19.821512222222211</v>
      </c>
      <c r="AA104">
        <f t="shared" si="17"/>
        <v>19.747307222222211</v>
      </c>
      <c r="AB104">
        <f t="shared" si="17"/>
        <v>19.673102222222212</v>
      </c>
      <c r="AC104">
        <f t="shared" si="17"/>
        <v>19.598897222222213</v>
      </c>
      <c r="AD104">
        <f t="shared" si="17"/>
        <v>18.263207222222213</v>
      </c>
    </row>
    <row r="105" spans="2:30" x14ac:dyDescent="0.2">
      <c r="B105" s="7">
        <v>44673</v>
      </c>
      <c r="C105" s="8">
        <v>18.153472222222213</v>
      </c>
      <c r="D105">
        <f t="shared" si="14"/>
        <v>21.429647222222215</v>
      </c>
      <c r="E105">
        <f t="shared" si="19"/>
        <v>21.355442222222212</v>
      </c>
      <c r="F105">
        <f t="shared" si="19"/>
        <v>21.281237222222213</v>
      </c>
      <c r="G105">
        <f t="shared" si="19"/>
        <v>21.207032222222214</v>
      </c>
      <c r="H105">
        <f t="shared" si="19"/>
        <v>21.132827222222215</v>
      </c>
      <c r="I105">
        <f t="shared" si="19"/>
        <v>21.058622222222212</v>
      </c>
      <c r="J105">
        <f t="shared" si="19"/>
        <v>20.984417222222213</v>
      </c>
      <c r="K105">
        <f t="shared" si="19"/>
        <v>20.910212222222214</v>
      </c>
      <c r="L105">
        <f t="shared" si="19"/>
        <v>20.836007222222214</v>
      </c>
      <c r="M105">
        <f t="shared" si="19"/>
        <v>20.761802222222212</v>
      </c>
      <c r="N105">
        <f t="shared" si="19"/>
        <v>20.687597222222212</v>
      </c>
      <c r="O105">
        <f t="shared" si="19"/>
        <v>20.613392222222213</v>
      </c>
      <c r="P105">
        <f t="shared" si="19"/>
        <v>20.539187222222214</v>
      </c>
      <c r="Q105">
        <f t="shared" si="19"/>
        <v>20.464982222222211</v>
      </c>
      <c r="R105">
        <f t="shared" si="19"/>
        <v>20.390777222222212</v>
      </c>
      <c r="S105">
        <f t="shared" si="19"/>
        <v>20.316572222222213</v>
      </c>
      <c r="T105">
        <f t="shared" si="19"/>
        <v>20.242367222222214</v>
      </c>
      <c r="U105">
        <f t="shared" si="17"/>
        <v>20.168162222222215</v>
      </c>
      <c r="V105">
        <f t="shared" si="17"/>
        <v>20.093957222222212</v>
      </c>
      <c r="W105">
        <f t="shared" si="17"/>
        <v>20.019752222222213</v>
      </c>
      <c r="X105">
        <f t="shared" si="17"/>
        <v>19.945547222222213</v>
      </c>
      <c r="Y105">
        <f t="shared" si="17"/>
        <v>19.871342222222211</v>
      </c>
      <c r="Z105">
        <f t="shared" si="17"/>
        <v>19.797137222222212</v>
      </c>
      <c r="AA105">
        <f t="shared" si="17"/>
        <v>19.722932222222212</v>
      </c>
      <c r="AB105">
        <f t="shared" si="17"/>
        <v>19.648727222222213</v>
      </c>
      <c r="AC105">
        <f t="shared" si="17"/>
        <v>19.574522222222214</v>
      </c>
      <c r="AD105">
        <f t="shared" si="17"/>
        <v>18.238832222222214</v>
      </c>
    </row>
    <row r="106" spans="2:30" x14ac:dyDescent="0.2">
      <c r="B106" s="7">
        <v>44674</v>
      </c>
      <c r="C106" s="8">
        <v>17.890972222222224</v>
      </c>
      <c r="D106">
        <f t="shared" si="14"/>
        <v>21.167147222222226</v>
      </c>
      <c r="E106">
        <f t="shared" si="19"/>
        <v>21.092942222222224</v>
      </c>
      <c r="F106">
        <f t="shared" si="19"/>
        <v>21.018737222222224</v>
      </c>
      <c r="G106">
        <f t="shared" si="19"/>
        <v>20.944532222222225</v>
      </c>
      <c r="H106">
        <f t="shared" si="19"/>
        <v>20.870327222222226</v>
      </c>
      <c r="I106">
        <f t="shared" si="19"/>
        <v>20.796122222222223</v>
      </c>
      <c r="J106">
        <f t="shared" si="19"/>
        <v>20.721917222222224</v>
      </c>
      <c r="K106">
        <f t="shared" si="19"/>
        <v>20.647712222222225</v>
      </c>
      <c r="L106">
        <f t="shared" si="19"/>
        <v>20.573507222222226</v>
      </c>
      <c r="M106">
        <f t="shared" si="19"/>
        <v>20.499302222222223</v>
      </c>
      <c r="N106">
        <f t="shared" si="19"/>
        <v>20.425097222222224</v>
      </c>
      <c r="O106">
        <f t="shared" si="19"/>
        <v>20.350892222222225</v>
      </c>
      <c r="P106">
        <f t="shared" si="19"/>
        <v>20.276687222222225</v>
      </c>
      <c r="Q106">
        <f t="shared" si="19"/>
        <v>20.202482222222223</v>
      </c>
      <c r="R106">
        <f t="shared" si="19"/>
        <v>20.128277222222223</v>
      </c>
      <c r="S106">
        <f t="shared" si="19"/>
        <v>20.054072222222224</v>
      </c>
      <c r="T106">
        <f t="shared" si="19"/>
        <v>19.979867222222225</v>
      </c>
      <c r="U106">
        <f t="shared" si="17"/>
        <v>19.905662222222226</v>
      </c>
      <c r="V106">
        <f t="shared" si="17"/>
        <v>19.831457222222223</v>
      </c>
      <c r="W106">
        <f t="shared" si="17"/>
        <v>19.757252222222224</v>
      </c>
      <c r="X106">
        <f t="shared" si="17"/>
        <v>19.683047222222225</v>
      </c>
      <c r="Y106">
        <f t="shared" si="17"/>
        <v>19.608842222222222</v>
      </c>
      <c r="Z106">
        <f t="shared" si="17"/>
        <v>19.534637222222223</v>
      </c>
      <c r="AA106">
        <f t="shared" si="17"/>
        <v>19.460432222222224</v>
      </c>
      <c r="AB106">
        <f t="shared" si="17"/>
        <v>19.386227222222224</v>
      </c>
      <c r="AC106">
        <f t="shared" si="17"/>
        <v>19.312022222222225</v>
      </c>
      <c r="AD106">
        <f t="shared" si="17"/>
        <v>17.976332222222226</v>
      </c>
    </row>
    <row r="107" spans="2:30" x14ac:dyDescent="0.2">
      <c r="B107" s="7">
        <v>44675</v>
      </c>
      <c r="C107" s="8">
        <v>17.61666666666666</v>
      </c>
      <c r="D107">
        <f t="shared" si="14"/>
        <v>20.892841666666662</v>
      </c>
      <c r="E107">
        <f t="shared" si="19"/>
        <v>20.818636666666659</v>
      </c>
      <c r="F107">
        <f t="shared" si="19"/>
        <v>20.74443166666666</v>
      </c>
      <c r="G107">
        <f t="shared" si="19"/>
        <v>20.670226666666661</v>
      </c>
      <c r="H107">
        <f t="shared" si="19"/>
        <v>20.596021666666662</v>
      </c>
      <c r="I107">
        <f t="shared" si="19"/>
        <v>20.521816666666659</v>
      </c>
      <c r="J107">
        <f t="shared" si="19"/>
        <v>20.44761166666666</v>
      </c>
      <c r="K107">
        <f t="shared" si="19"/>
        <v>20.373406666666661</v>
      </c>
      <c r="L107">
        <f t="shared" si="19"/>
        <v>20.299201666666661</v>
      </c>
      <c r="M107">
        <f t="shared" si="19"/>
        <v>20.224996666666659</v>
      </c>
      <c r="N107">
        <f t="shared" si="19"/>
        <v>20.15079166666666</v>
      </c>
      <c r="O107">
        <f t="shared" si="19"/>
        <v>20.07658666666666</v>
      </c>
      <c r="P107">
        <f t="shared" si="19"/>
        <v>20.002381666666661</v>
      </c>
      <c r="Q107">
        <f t="shared" si="19"/>
        <v>19.928176666666658</v>
      </c>
      <c r="R107">
        <f t="shared" si="19"/>
        <v>19.853971666666659</v>
      </c>
      <c r="S107">
        <f t="shared" si="19"/>
        <v>19.77976666666666</v>
      </c>
      <c r="T107">
        <f t="shared" si="19"/>
        <v>19.705561666666661</v>
      </c>
      <c r="U107">
        <f t="shared" si="17"/>
        <v>19.631356666666662</v>
      </c>
      <c r="V107">
        <f t="shared" si="17"/>
        <v>19.557151666666659</v>
      </c>
      <c r="W107">
        <f t="shared" si="17"/>
        <v>19.48294666666666</v>
      </c>
      <c r="X107">
        <f t="shared" si="17"/>
        <v>19.408741666666661</v>
      </c>
      <c r="Y107">
        <f t="shared" si="17"/>
        <v>19.334536666666658</v>
      </c>
      <c r="Z107">
        <f t="shared" si="17"/>
        <v>19.260331666666659</v>
      </c>
      <c r="AA107">
        <f t="shared" si="17"/>
        <v>19.186126666666659</v>
      </c>
      <c r="AB107">
        <f t="shared" si="17"/>
        <v>19.11192166666666</v>
      </c>
      <c r="AC107">
        <f t="shared" si="17"/>
        <v>19.037716666666661</v>
      </c>
      <c r="AD107">
        <f t="shared" si="17"/>
        <v>17.702026666666661</v>
      </c>
    </row>
    <row r="108" spans="2:30" x14ac:dyDescent="0.2">
      <c r="B108" s="7">
        <v>44676</v>
      </c>
      <c r="C108" s="8">
        <v>14.546527777777772</v>
      </c>
      <c r="D108">
        <f t="shared" si="14"/>
        <v>17.822702777777771</v>
      </c>
      <c r="E108">
        <f t="shared" si="19"/>
        <v>17.748497777777771</v>
      </c>
      <c r="F108">
        <f t="shared" si="19"/>
        <v>17.674292777777772</v>
      </c>
      <c r="G108">
        <f t="shared" si="19"/>
        <v>17.600087777777773</v>
      </c>
      <c r="H108">
        <f t="shared" si="19"/>
        <v>17.525882777777774</v>
      </c>
      <c r="I108">
        <f t="shared" si="19"/>
        <v>17.451677777777771</v>
      </c>
      <c r="J108">
        <f t="shared" si="19"/>
        <v>17.377472777777772</v>
      </c>
      <c r="K108">
        <f t="shared" si="19"/>
        <v>17.303267777777773</v>
      </c>
      <c r="L108">
        <f t="shared" si="19"/>
        <v>17.229062777777774</v>
      </c>
      <c r="M108">
        <f t="shared" si="19"/>
        <v>17.154857777777771</v>
      </c>
      <c r="N108">
        <f t="shared" si="19"/>
        <v>17.080652777777772</v>
      </c>
      <c r="O108">
        <f t="shared" si="19"/>
        <v>17.006447777777773</v>
      </c>
      <c r="P108">
        <f t="shared" si="19"/>
        <v>16.932242777777773</v>
      </c>
      <c r="Q108">
        <f t="shared" si="19"/>
        <v>16.858037777777774</v>
      </c>
      <c r="R108">
        <f t="shared" si="19"/>
        <v>16.783832777777771</v>
      </c>
      <c r="S108">
        <f t="shared" si="19"/>
        <v>16.709627777777772</v>
      </c>
      <c r="T108">
        <f t="shared" si="19"/>
        <v>16.635422777777773</v>
      </c>
      <c r="U108">
        <f t="shared" si="17"/>
        <v>16.56121777777777</v>
      </c>
      <c r="V108">
        <f t="shared" si="17"/>
        <v>16.487012777777771</v>
      </c>
      <c r="W108">
        <f t="shared" si="17"/>
        <v>16.412807777777772</v>
      </c>
      <c r="X108">
        <f t="shared" si="17"/>
        <v>16.338602777777773</v>
      </c>
      <c r="Y108">
        <f t="shared" si="17"/>
        <v>16.264397777777774</v>
      </c>
      <c r="Z108">
        <f t="shared" si="17"/>
        <v>16.190192777777771</v>
      </c>
      <c r="AA108">
        <f t="shared" si="17"/>
        <v>16.115987777777772</v>
      </c>
      <c r="AB108">
        <f t="shared" si="17"/>
        <v>16.041782777777772</v>
      </c>
      <c r="AC108">
        <f t="shared" si="17"/>
        <v>15.967577777777771</v>
      </c>
      <c r="AD108">
        <f t="shared" si="17"/>
        <v>14.631887777777774</v>
      </c>
    </row>
    <row r="109" spans="2:30" x14ac:dyDescent="0.2">
      <c r="B109" s="7">
        <v>44677</v>
      </c>
      <c r="C109" s="8">
        <v>16.359027777777779</v>
      </c>
      <c r="D109">
        <f t="shared" si="14"/>
        <v>19.635202777777778</v>
      </c>
      <c r="E109">
        <f t="shared" si="19"/>
        <v>19.560997777777779</v>
      </c>
      <c r="F109">
        <f t="shared" si="19"/>
        <v>19.486792777777779</v>
      </c>
      <c r="G109">
        <f t="shared" si="19"/>
        <v>19.41258777777778</v>
      </c>
      <c r="H109">
        <f t="shared" si="19"/>
        <v>19.338382777777781</v>
      </c>
      <c r="I109">
        <f t="shared" si="19"/>
        <v>19.264177777777778</v>
      </c>
      <c r="J109">
        <f t="shared" si="19"/>
        <v>19.189972777777779</v>
      </c>
      <c r="K109">
        <f t="shared" si="19"/>
        <v>19.11576777777778</v>
      </c>
      <c r="L109">
        <f t="shared" si="19"/>
        <v>19.041562777777781</v>
      </c>
      <c r="M109">
        <f t="shared" si="19"/>
        <v>18.967357777777778</v>
      </c>
      <c r="N109">
        <f t="shared" si="19"/>
        <v>18.893152777777779</v>
      </c>
      <c r="O109">
        <f t="shared" si="19"/>
        <v>18.81894777777778</v>
      </c>
      <c r="P109">
        <f t="shared" si="19"/>
        <v>18.74474277777778</v>
      </c>
      <c r="Q109">
        <f t="shared" si="19"/>
        <v>18.670537777777781</v>
      </c>
      <c r="R109">
        <f t="shared" si="19"/>
        <v>18.596332777777778</v>
      </c>
      <c r="S109">
        <f t="shared" si="19"/>
        <v>18.522127777777779</v>
      </c>
      <c r="T109">
        <f t="shared" si="19"/>
        <v>18.44792277777778</v>
      </c>
      <c r="U109">
        <f t="shared" si="17"/>
        <v>18.373717777777777</v>
      </c>
      <c r="V109">
        <f t="shared" si="17"/>
        <v>18.299512777777778</v>
      </c>
      <c r="W109">
        <f t="shared" si="17"/>
        <v>18.225307777777779</v>
      </c>
      <c r="X109">
        <f t="shared" si="17"/>
        <v>18.15110277777778</v>
      </c>
      <c r="Y109">
        <f t="shared" si="17"/>
        <v>18.076897777777781</v>
      </c>
      <c r="Z109">
        <f t="shared" si="17"/>
        <v>18.002692777777778</v>
      </c>
      <c r="AA109">
        <f t="shared" si="17"/>
        <v>17.928487777777779</v>
      </c>
      <c r="AB109">
        <f t="shared" si="17"/>
        <v>17.85428277777778</v>
      </c>
      <c r="AC109">
        <f t="shared" si="17"/>
        <v>17.780077777777777</v>
      </c>
      <c r="AD109">
        <f t="shared" si="17"/>
        <v>16.444387777777781</v>
      </c>
    </row>
    <row r="110" spans="2:30" x14ac:dyDescent="0.2">
      <c r="B110" s="7">
        <v>44678</v>
      </c>
      <c r="C110" s="8">
        <v>16.283333333333328</v>
      </c>
      <c r="D110">
        <f t="shared" si="14"/>
        <v>19.559508333333326</v>
      </c>
      <c r="E110">
        <f t="shared" si="19"/>
        <v>19.485303333333327</v>
      </c>
      <c r="F110">
        <f t="shared" si="19"/>
        <v>19.411098333333328</v>
      </c>
      <c r="G110">
        <f t="shared" si="19"/>
        <v>19.336893333333329</v>
      </c>
      <c r="H110">
        <f t="shared" si="19"/>
        <v>19.26268833333333</v>
      </c>
      <c r="I110">
        <f t="shared" si="19"/>
        <v>19.188483333333327</v>
      </c>
      <c r="J110">
        <f t="shared" si="19"/>
        <v>19.114278333333328</v>
      </c>
      <c r="K110">
        <f t="shared" si="19"/>
        <v>19.040073333333329</v>
      </c>
      <c r="L110">
        <f t="shared" si="19"/>
        <v>18.965868333333329</v>
      </c>
      <c r="M110">
        <f t="shared" si="19"/>
        <v>18.891663333333327</v>
      </c>
      <c r="N110">
        <f t="shared" si="19"/>
        <v>18.817458333333327</v>
      </c>
      <c r="O110">
        <f t="shared" si="19"/>
        <v>18.743253333333328</v>
      </c>
      <c r="P110">
        <f t="shared" si="19"/>
        <v>18.669048333333329</v>
      </c>
      <c r="Q110">
        <f t="shared" si="19"/>
        <v>18.59484333333333</v>
      </c>
      <c r="R110">
        <f t="shared" si="19"/>
        <v>18.520638333333327</v>
      </c>
      <c r="S110">
        <f t="shared" si="19"/>
        <v>18.446433333333328</v>
      </c>
      <c r="T110">
        <f t="shared" si="19"/>
        <v>18.372228333333329</v>
      </c>
      <c r="U110">
        <f t="shared" si="17"/>
        <v>18.298023333333326</v>
      </c>
      <c r="V110">
        <f t="shared" si="17"/>
        <v>18.223818333333327</v>
      </c>
      <c r="W110">
        <f t="shared" si="17"/>
        <v>18.149613333333328</v>
      </c>
      <c r="X110">
        <f t="shared" si="17"/>
        <v>18.075408333333328</v>
      </c>
      <c r="Y110">
        <f t="shared" si="17"/>
        <v>18.001203333333329</v>
      </c>
      <c r="Z110">
        <f t="shared" si="17"/>
        <v>17.926998333333326</v>
      </c>
      <c r="AA110">
        <f t="shared" si="17"/>
        <v>17.852793333333327</v>
      </c>
      <c r="AB110">
        <f t="shared" si="17"/>
        <v>17.778588333333328</v>
      </c>
      <c r="AC110">
        <f t="shared" si="17"/>
        <v>17.704383333333325</v>
      </c>
      <c r="AD110">
        <f t="shared" si="17"/>
        <v>16.368693333333329</v>
      </c>
    </row>
    <row r="111" spans="2:30" x14ac:dyDescent="0.2">
      <c r="B111" s="7">
        <v>44679</v>
      </c>
      <c r="C111" s="8">
        <v>16.572222222222212</v>
      </c>
      <c r="D111">
        <f t="shared" si="14"/>
        <v>19.848397222222211</v>
      </c>
      <c r="E111">
        <f t="shared" si="19"/>
        <v>19.774192222222212</v>
      </c>
      <c r="F111">
        <f t="shared" si="19"/>
        <v>19.699987222222212</v>
      </c>
      <c r="G111">
        <f t="shared" si="19"/>
        <v>19.625782222222213</v>
      </c>
      <c r="H111">
        <f t="shared" si="19"/>
        <v>19.551577222222214</v>
      </c>
      <c r="I111">
        <f t="shared" si="19"/>
        <v>19.477372222222211</v>
      </c>
      <c r="J111">
        <f t="shared" si="19"/>
        <v>19.403167222222212</v>
      </c>
      <c r="K111">
        <f t="shared" si="19"/>
        <v>19.328962222222213</v>
      </c>
      <c r="L111">
        <f t="shared" si="19"/>
        <v>19.254757222222214</v>
      </c>
      <c r="M111">
        <f t="shared" si="19"/>
        <v>19.180552222222211</v>
      </c>
      <c r="N111">
        <f t="shared" si="19"/>
        <v>19.106347222222212</v>
      </c>
      <c r="O111">
        <f t="shared" si="19"/>
        <v>19.032142222222213</v>
      </c>
      <c r="P111">
        <f t="shared" si="19"/>
        <v>18.957937222222213</v>
      </c>
      <c r="Q111">
        <f t="shared" si="19"/>
        <v>18.883732222222214</v>
      </c>
      <c r="R111">
        <f t="shared" si="19"/>
        <v>18.809527222222211</v>
      </c>
      <c r="S111">
        <f t="shared" si="19"/>
        <v>18.735322222222212</v>
      </c>
      <c r="T111">
        <f t="shared" si="19"/>
        <v>18.661117222222213</v>
      </c>
      <c r="U111">
        <f t="shared" si="17"/>
        <v>18.58691222222221</v>
      </c>
      <c r="V111">
        <f t="shared" si="17"/>
        <v>18.512707222222211</v>
      </c>
      <c r="W111">
        <f t="shared" si="17"/>
        <v>18.438502222222212</v>
      </c>
      <c r="X111">
        <f t="shared" si="17"/>
        <v>18.364297222222213</v>
      </c>
      <c r="Y111">
        <f t="shared" si="17"/>
        <v>18.290092222222214</v>
      </c>
      <c r="Z111">
        <f t="shared" si="17"/>
        <v>18.215887222222211</v>
      </c>
      <c r="AA111">
        <f t="shared" si="17"/>
        <v>18.141682222222212</v>
      </c>
      <c r="AB111">
        <f t="shared" si="17"/>
        <v>18.067477222222212</v>
      </c>
      <c r="AC111">
        <f t="shared" si="17"/>
        <v>17.99327222222221</v>
      </c>
      <c r="AD111">
        <f t="shared" si="17"/>
        <v>16.657582222222214</v>
      </c>
    </row>
    <row r="112" spans="2:30" x14ac:dyDescent="0.2">
      <c r="B112" s="7">
        <v>44680</v>
      </c>
      <c r="C112" s="8">
        <v>15.756249999999994</v>
      </c>
      <c r="D112">
        <f t="shared" si="14"/>
        <v>19.032424999999996</v>
      </c>
      <c r="E112">
        <f t="shared" si="19"/>
        <v>18.958219999999994</v>
      </c>
      <c r="F112">
        <f t="shared" si="19"/>
        <v>18.884014999999994</v>
      </c>
      <c r="G112">
        <f t="shared" si="19"/>
        <v>18.809809999999995</v>
      </c>
      <c r="H112">
        <f t="shared" si="19"/>
        <v>18.735604999999996</v>
      </c>
      <c r="I112">
        <f t="shared" si="19"/>
        <v>18.661399999999993</v>
      </c>
      <c r="J112">
        <f t="shared" si="19"/>
        <v>18.587194999999994</v>
      </c>
      <c r="K112">
        <f t="shared" si="19"/>
        <v>18.512989999999995</v>
      </c>
      <c r="L112">
        <f t="shared" si="19"/>
        <v>18.438784999999996</v>
      </c>
      <c r="M112">
        <f t="shared" si="19"/>
        <v>18.364579999999993</v>
      </c>
      <c r="N112">
        <f t="shared" si="19"/>
        <v>18.290374999999994</v>
      </c>
      <c r="O112">
        <f t="shared" si="19"/>
        <v>18.216169999999995</v>
      </c>
      <c r="P112">
        <f t="shared" si="19"/>
        <v>18.141964999999995</v>
      </c>
      <c r="Q112">
        <f t="shared" si="19"/>
        <v>18.067759999999993</v>
      </c>
      <c r="R112">
        <f t="shared" si="19"/>
        <v>17.993554999999994</v>
      </c>
      <c r="S112">
        <f t="shared" si="19"/>
        <v>17.919349999999994</v>
      </c>
      <c r="T112">
        <f t="shared" si="19"/>
        <v>17.845144999999995</v>
      </c>
      <c r="U112">
        <f t="shared" si="17"/>
        <v>17.770939999999996</v>
      </c>
      <c r="V112">
        <f t="shared" si="17"/>
        <v>17.696734999999993</v>
      </c>
      <c r="W112">
        <f t="shared" si="17"/>
        <v>17.622529999999994</v>
      </c>
      <c r="X112">
        <f t="shared" si="17"/>
        <v>17.548324999999995</v>
      </c>
      <c r="Y112">
        <f t="shared" si="17"/>
        <v>17.474119999999992</v>
      </c>
      <c r="Z112">
        <f t="shared" si="17"/>
        <v>17.399914999999993</v>
      </c>
      <c r="AA112">
        <f t="shared" si="17"/>
        <v>17.325709999999994</v>
      </c>
      <c r="AB112">
        <f t="shared" si="17"/>
        <v>17.251504999999995</v>
      </c>
      <c r="AC112">
        <f t="shared" si="17"/>
        <v>17.177299999999995</v>
      </c>
      <c r="AD112">
        <f t="shared" si="17"/>
        <v>15.841609999999996</v>
      </c>
    </row>
    <row r="113" spans="2:30" x14ac:dyDescent="0.2">
      <c r="B113" s="7">
        <v>44681</v>
      </c>
      <c r="C113" s="8">
        <v>16.149305555555546</v>
      </c>
      <c r="D113">
        <f t="shared" si="14"/>
        <v>19.425480555555545</v>
      </c>
      <c r="E113">
        <f t="shared" si="19"/>
        <v>19.351275555555546</v>
      </c>
      <c r="F113">
        <f t="shared" si="19"/>
        <v>19.277070555555547</v>
      </c>
      <c r="G113">
        <f t="shared" si="19"/>
        <v>19.202865555555547</v>
      </c>
      <c r="H113">
        <f t="shared" si="19"/>
        <v>19.128660555555548</v>
      </c>
      <c r="I113">
        <f t="shared" si="19"/>
        <v>19.054455555555545</v>
      </c>
      <c r="J113">
        <f t="shared" si="19"/>
        <v>18.980250555555546</v>
      </c>
      <c r="K113">
        <f t="shared" si="19"/>
        <v>18.906045555555547</v>
      </c>
      <c r="L113">
        <f t="shared" si="19"/>
        <v>18.831840555555548</v>
      </c>
      <c r="M113">
        <f t="shared" si="19"/>
        <v>18.757635555555545</v>
      </c>
      <c r="N113">
        <f t="shared" si="19"/>
        <v>18.683430555555546</v>
      </c>
      <c r="O113">
        <f t="shared" si="19"/>
        <v>18.609225555555547</v>
      </c>
      <c r="P113">
        <f t="shared" si="19"/>
        <v>18.535020555555548</v>
      </c>
      <c r="Q113">
        <f t="shared" si="19"/>
        <v>18.460815555555548</v>
      </c>
      <c r="R113">
        <f t="shared" si="19"/>
        <v>18.386610555555546</v>
      </c>
      <c r="S113">
        <f t="shared" si="19"/>
        <v>18.312405555555546</v>
      </c>
      <c r="T113">
        <f t="shared" si="19"/>
        <v>18.238200555555547</v>
      </c>
      <c r="U113">
        <f t="shared" si="17"/>
        <v>18.163995555555545</v>
      </c>
      <c r="V113">
        <f t="shared" si="17"/>
        <v>18.089790555555545</v>
      </c>
      <c r="W113">
        <f t="shared" si="17"/>
        <v>18.015585555555546</v>
      </c>
      <c r="X113">
        <f t="shared" si="17"/>
        <v>17.941380555555547</v>
      </c>
      <c r="Y113">
        <f t="shared" si="17"/>
        <v>17.867175555555548</v>
      </c>
      <c r="Z113">
        <f t="shared" si="17"/>
        <v>17.792970555555545</v>
      </c>
      <c r="AA113">
        <f t="shared" si="17"/>
        <v>17.718765555555546</v>
      </c>
      <c r="AB113">
        <f t="shared" si="17"/>
        <v>17.644560555555547</v>
      </c>
      <c r="AC113">
        <f t="shared" si="17"/>
        <v>17.570355555555544</v>
      </c>
      <c r="AD113">
        <f t="shared" si="17"/>
        <v>16.234665555555548</v>
      </c>
    </row>
    <row r="114" spans="2:30" x14ac:dyDescent="0.2">
      <c r="B114" s="7">
        <v>44682</v>
      </c>
      <c r="C114" s="8">
        <v>18.176388888888884</v>
      </c>
      <c r="D114">
        <f t="shared" si="14"/>
        <v>21.452563888888882</v>
      </c>
      <c r="E114">
        <f t="shared" si="19"/>
        <v>21.378358888888883</v>
      </c>
      <c r="F114">
        <f t="shared" si="19"/>
        <v>21.304153888888884</v>
      </c>
      <c r="G114">
        <f t="shared" si="19"/>
        <v>21.229948888888885</v>
      </c>
      <c r="H114">
        <f t="shared" si="19"/>
        <v>21.155743888888885</v>
      </c>
      <c r="I114">
        <f t="shared" si="19"/>
        <v>21.081538888888883</v>
      </c>
      <c r="J114">
        <f t="shared" si="19"/>
        <v>21.007333888888883</v>
      </c>
      <c r="K114">
        <f t="shared" si="19"/>
        <v>20.933128888888884</v>
      </c>
      <c r="L114">
        <f t="shared" si="19"/>
        <v>20.858923888888885</v>
      </c>
      <c r="M114">
        <f t="shared" si="19"/>
        <v>20.784718888888882</v>
      </c>
      <c r="N114">
        <f t="shared" si="19"/>
        <v>20.710513888888883</v>
      </c>
      <c r="O114">
        <f t="shared" si="19"/>
        <v>20.636308888888884</v>
      </c>
      <c r="P114">
        <f t="shared" si="19"/>
        <v>20.562103888888885</v>
      </c>
      <c r="Q114">
        <f t="shared" si="19"/>
        <v>20.487898888888886</v>
      </c>
      <c r="R114">
        <f t="shared" si="19"/>
        <v>20.413693888888883</v>
      </c>
      <c r="S114">
        <f t="shared" si="19"/>
        <v>20.339488888888884</v>
      </c>
      <c r="T114">
        <f t="shared" si="19"/>
        <v>20.265283888888884</v>
      </c>
      <c r="U114">
        <f t="shared" si="17"/>
        <v>20.191078888888882</v>
      </c>
      <c r="V114">
        <f t="shared" si="17"/>
        <v>20.116873888888883</v>
      </c>
      <c r="W114">
        <f t="shared" si="17"/>
        <v>20.042668888888883</v>
      </c>
      <c r="X114">
        <f t="shared" si="17"/>
        <v>19.968463888888884</v>
      </c>
      <c r="Y114">
        <f t="shared" si="17"/>
        <v>19.894258888888885</v>
      </c>
      <c r="Z114">
        <f t="shared" si="17"/>
        <v>19.820053888888882</v>
      </c>
      <c r="AA114">
        <f t="shared" si="17"/>
        <v>19.745848888888883</v>
      </c>
      <c r="AB114">
        <f t="shared" si="17"/>
        <v>19.671643888888884</v>
      </c>
      <c r="AC114">
        <f t="shared" si="17"/>
        <v>19.597438888888881</v>
      </c>
      <c r="AD114">
        <f t="shared" si="17"/>
        <v>18.261748888888885</v>
      </c>
    </row>
    <row r="115" spans="2:30" x14ac:dyDescent="0.2">
      <c r="B115" s="7">
        <v>44683</v>
      </c>
      <c r="C115" s="8">
        <v>19.186805555555544</v>
      </c>
      <c r="D115">
        <f t="shared" si="14"/>
        <v>22.462980555555546</v>
      </c>
      <c r="E115">
        <f t="shared" si="19"/>
        <v>22.388775555555544</v>
      </c>
      <c r="F115">
        <f t="shared" si="19"/>
        <v>22.314570555555544</v>
      </c>
      <c r="G115">
        <f t="shared" si="19"/>
        <v>22.240365555555545</v>
      </c>
      <c r="H115">
        <f t="shared" si="19"/>
        <v>22.166160555555546</v>
      </c>
      <c r="I115">
        <f t="shared" si="19"/>
        <v>22.091955555555543</v>
      </c>
      <c r="J115">
        <f t="shared" si="19"/>
        <v>22.017750555555544</v>
      </c>
      <c r="K115">
        <f t="shared" si="19"/>
        <v>21.943545555555545</v>
      </c>
      <c r="L115">
        <f t="shared" si="19"/>
        <v>21.869340555555546</v>
      </c>
      <c r="M115">
        <f t="shared" si="19"/>
        <v>21.795135555555543</v>
      </c>
      <c r="N115">
        <f t="shared" si="19"/>
        <v>21.720930555555544</v>
      </c>
      <c r="O115">
        <f t="shared" si="19"/>
        <v>21.646725555555545</v>
      </c>
      <c r="P115">
        <f t="shared" si="19"/>
        <v>21.572520555555545</v>
      </c>
      <c r="Q115">
        <f t="shared" si="19"/>
        <v>21.498315555555543</v>
      </c>
      <c r="R115">
        <f t="shared" si="19"/>
        <v>21.424110555555544</v>
      </c>
      <c r="S115">
        <f t="shared" si="19"/>
        <v>21.349905555555544</v>
      </c>
      <c r="T115">
        <f t="shared" si="19"/>
        <v>21.275700555555545</v>
      </c>
      <c r="U115">
        <f t="shared" si="17"/>
        <v>21.201495555555546</v>
      </c>
      <c r="V115">
        <f t="shared" si="17"/>
        <v>21.127290555555543</v>
      </c>
      <c r="W115">
        <f t="shared" si="17"/>
        <v>21.053085555555544</v>
      </c>
      <c r="X115">
        <f t="shared" si="17"/>
        <v>20.978880555555545</v>
      </c>
      <c r="Y115">
        <f t="shared" si="17"/>
        <v>20.904675555555542</v>
      </c>
      <c r="Z115">
        <f t="shared" si="17"/>
        <v>20.830470555555543</v>
      </c>
      <c r="AA115">
        <f t="shared" si="17"/>
        <v>20.756265555555544</v>
      </c>
      <c r="AB115">
        <f t="shared" si="17"/>
        <v>20.682060555555545</v>
      </c>
      <c r="AC115">
        <f t="shared" si="17"/>
        <v>20.607855555555545</v>
      </c>
      <c r="AD115">
        <f t="shared" si="17"/>
        <v>19.272165555555546</v>
      </c>
    </row>
    <row r="116" spans="2:30" x14ac:dyDescent="0.2">
      <c r="B116" s="7">
        <v>44684</v>
      </c>
      <c r="C116" s="8">
        <v>17.240972222222215</v>
      </c>
      <c r="D116">
        <f t="shared" si="14"/>
        <v>20.517147222222214</v>
      </c>
      <c r="E116">
        <f t="shared" si="19"/>
        <v>20.442942222222214</v>
      </c>
      <c r="F116">
        <f t="shared" si="19"/>
        <v>20.368737222222215</v>
      </c>
      <c r="G116">
        <f t="shared" si="19"/>
        <v>20.294532222222216</v>
      </c>
      <c r="H116">
        <f t="shared" si="19"/>
        <v>20.220327222222217</v>
      </c>
      <c r="I116">
        <f t="shared" si="19"/>
        <v>20.146122222222214</v>
      </c>
      <c r="J116">
        <f t="shared" si="19"/>
        <v>20.071917222222215</v>
      </c>
      <c r="K116">
        <f t="shared" si="19"/>
        <v>19.997712222222216</v>
      </c>
      <c r="L116">
        <f t="shared" si="19"/>
        <v>19.923507222222216</v>
      </c>
      <c r="M116">
        <f t="shared" si="19"/>
        <v>19.849302222222214</v>
      </c>
      <c r="N116">
        <f t="shared" si="19"/>
        <v>19.775097222222215</v>
      </c>
      <c r="O116">
        <f t="shared" si="19"/>
        <v>19.700892222222215</v>
      </c>
      <c r="P116">
        <f t="shared" si="19"/>
        <v>19.626687222222216</v>
      </c>
      <c r="Q116">
        <f t="shared" si="19"/>
        <v>19.552482222222217</v>
      </c>
      <c r="R116">
        <f t="shared" si="19"/>
        <v>19.478277222222214</v>
      </c>
      <c r="S116">
        <f t="shared" si="19"/>
        <v>19.404072222222215</v>
      </c>
      <c r="T116">
        <f t="shared" ref="T116" si="20">(-1.4841*T$3+3.6472)+$C116</f>
        <v>19.329867222222216</v>
      </c>
      <c r="U116">
        <f t="shared" si="17"/>
        <v>19.255662222222213</v>
      </c>
      <c r="V116">
        <f t="shared" si="17"/>
        <v>19.181457222222214</v>
      </c>
      <c r="W116">
        <f t="shared" si="17"/>
        <v>19.107252222222215</v>
      </c>
      <c r="X116">
        <f t="shared" si="17"/>
        <v>19.033047222222216</v>
      </c>
      <c r="Y116">
        <f t="shared" si="17"/>
        <v>18.958842222222216</v>
      </c>
      <c r="Z116">
        <f t="shared" ref="U116:AD141" si="21">(-1.4841*Z$3+3.6472)+$C116</f>
        <v>18.884637222222214</v>
      </c>
      <c r="AA116">
        <f t="shared" si="21"/>
        <v>18.810432222222214</v>
      </c>
      <c r="AB116">
        <f t="shared" si="21"/>
        <v>18.736227222222215</v>
      </c>
      <c r="AC116">
        <f t="shared" si="21"/>
        <v>18.662022222222213</v>
      </c>
      <c r="AD116">
        <f t="shared" si="21"/>
        <v>17.326332222222216</v>
      </c>
    </row>
    <row r="117" spans="2:30" x14ac:dyDescent="0.2">
      <c r="B117" s="7">
        <v>44685</v>
      </c>
      <c r="C117" s="8">
        <v>15.872727272727271</v>
      </c>
      <c r="D117">
        <f t="shared" si="14"/>
        <v>19.14890227272727</v>
      </c>
      <c r="E117">
        <f t="shared" ref="E117:T132" si="22">(-1.4841*E$3+3.6472)+$C117</f>
        <v>19.074697272727271</v>
      </c>
      <c r="F117">
        <f t="shared" si="22"/>
        <v>19.000492272727271</v>
      </c>
      <c r="G117">
        <f t="shared" si="22"/>
        <v>18.926287272727272</v>
      </c>
      <c r="H117">
        <f t="shared" si="22"/>
        <v>18.852082272727273</v>
      </c>
      <c r="I117">
        <f t="shared" si="22"/>
        <v>18.77787727272727</v>
      </c>
      <c r="J117">
        <f t="shared" si="22"/>
        <v>18.703672272727271</v>
      </c>
      <c r="K117">
        <f t="shared" si="22"/>
        <v>18.629467272727272</v>
      </c>
      <c r="L117">
        <f t="shared" si="22"/>
        <v>18.555262272727273</v>
      </c>
      <c r="M117">
        <f t="shared" si="22"/>
        <v>18.48105727272727</v>
      </c>
      <c r="N117">
        <f t="shared" si="22"/>
        <v>18.406852272727271</v>
      </c>
      <c r="O117">
        <f t="shared" si="22"/>
        <v>18.332647272727272</v>
      </c>
      <c r="P117">
        <f t="shared" si="22"/>
        <v>18.258442272727272</v>
      </c>
      <c r="Q117">
        <f t="shared" si="22"/>
        <v>18.184237272727273</v>
      </c>
      <c r="R117">
        <f t="shared" si="22"/>
        <v>18.11003227272727</v>
      </c>
      <c r="S117">
        <f t="shared" si="22"/>
        <v>18.035827272727271</v>
      </c>
      <c r="T117">
        <f t="shared" si="22"/>
        <v>17.961622272727272</v>
      </c>
      <c r="U117">
        <f t="shared" si="21"/>
        <v>17.887417272727269</v>
      </c>
      <c r="V117">
        <f t="shared" si="21"/>
        <v>17.81321227272727</v>
      </c>
      <c r="W117">
        <f t="shared" si="21"/>
        <v>17.739007272727271</v>
      </c>
      <c r="X117">
        <f t="shared" si="21"/>
        <v>17.664802272727272</v>
      </c>
      <c r="Y117">
        <f t="shared" si="21"/>
        <v>17.590597272727273</v>
      </c>
      <c r="Z117">
        <f t="shared" si="21"/>
        <v>17.51639227272727</v>
      </c>
      <c r="AA117">
        <f t="shared" si="21"/>
        <v>17.442187272727271</v>
      </c>
      <c r="AB117">
        <f t="shared" si="21"/>
        <v>17.367982272727271</v>
      </c>
      <c r="AC117">
        <f t="shared" si="21"/>
        <v>17.293777272727269</v>
      </c>
      <c r="AD117">
        <f t="shared" si="21"/>
        <v>15.958087272727273</v>
      </c>
    </row>
    <row r="118" spans="2:30" x14ac:dyDescent="0.2">
      <c r="B118" s="7">
        <v>44687</v>
      </c>
      <c r="C118" s="8">
        <v>25.441791044776117</v>
      </c>
      <c r="D118">
        <f t="shared" si="14"/>
        <v>28.717966044776119</v>
      </c>
      <c r="E118">
        <f t="shared" si="22"/>
        <v>28.643761044776117</v>
      </c>
      <c r="F118">
        <f t="shared" si="22"/>
        <v>28.569556044776117</v>
      </c>
      <c r="G118">
        <f t="shared" si="22"/>
        <v>28.495351044776118</v>
      </c>
      <c r="H118">
        <f t="shared" si="22"/>
        <v>28.421146044776119</v>
      </c>
      <c r="I118">
        <f t="shared" si="22"/>
        <v>28.346941044776116</v>
      </c>
      <c r="J118">
        <f t="shared" si="22"/>
        <v>28.272736044776117</v>
      </c>
      <c r="K118">
        <f t="shared" si="22"/>
        <v>28.198531044776118</v>
      </c>
      <c r="L118">
        <f t="shared" si="22"/>
        <v>28.124326044776119</v>
      </c>
      <c r="M118">
        <f t="shared" si="22"/>
        <v>28.050121044776116</v>
      </c>
      <c r="N118">
        <f t="shared" si="22"/>
        <v>27.975916044776117</v>
      </c>
      <c r="O118">
        <f t="shared" si="22"/>
        <v>27.901711044776118</v>
      </c>
      <c r="P118">
        <f t="shared" si="22"/>
        <v>27.827506044776118</v>
      </c>
      <c r="Q118">
        <f t="shared" si="22"/>
        <v>27.753301044776116</v>
      </c>
      <c r="R118">
        <f t="shared" si="22"/>
        <v>27.679096044776117</v>
      </c>
      <c r="S118">
        <f t="shared" si="22"/>
        <v>27.604891044776117</v>
      </c>
      <c r="T118">
        <f t="shared" si="22"/>
        <v>27.530686044776118</v>
      </c>
      <c r="U118">
        <f t="shared" si="21"/>
        <v>27.456481044776119</v>
      </c>
      <c r="V118">
        <f t="shared" si="21"/>
        <v>27.382276044776116</v>
      </c>
      <c r="W118">
        <f t="shared" si="21"/>
        <v>27.308071044776117</v>
      </c>
      <c r="X118">
        <f t="shared" si="21"/>
        <v>27.233866044776118</v>
      </c>
      <c r="Y118">
        <f t="shared" si="21"/>
        <v>27.159661044776115</v>
      </c>
      <c r="Z118">
        <f t="shared" si="21"/>
        <v>27.085456044776116</v>
      </c>
      <c r="AA118">
        <f t="shared" si="21"/>
        <v>27.011251044776117</v>
      </c>
      <c r="AB118">
        <f t="shared" si="21"/>
        <v>26.937046044776118</v>
      </c>
      <c r="AC118">
        <f t="shared" si="21"/>
        <v>26.862841044776118</v>
      </c>
      <c r="AD118">
        <f t="shared" si="21"/>
        <v>25.527151044776119</v>
      </c>
    </row>
    <row r="119" spans="2:30" x14ac:dyDescent="0.2">
      <c r="B119" s="7">
        <v>44688</v>
      </c>
      <c r="C119" s="8">
        <v>23.047916666666673</v>
      </c>
      <c r="D119">
        <f t="shared" si="14"/>
        <v>26.324091666666675</v>
      </c>
      <c r="E119">
        <f t="shared" si="22"/>
        <v>26.249886666666672</v>
      </c>
      <c r="F119">
        <f t="shared" si="22"/>
        <v>26.175681666666673</v>
      </c>
      <c r="G119">
        <f t="shared" si="22"/>
        <v>26.101476666666674</v>
      </c>
      <c r="H119">
        <f t="shared" si="22"/>
        <v>26.027271666666675</v>
      </c>
      <c r="I119">
        <f t="shared" si="22"/>
        <v>25.953066666666672</v>
      </c>
      <c r="J119">
        <f t="shared" si="22"/>
        <v>25.878861666666673</v>
      </c>
      <c r="K119">
        <f t="shared" si="22"/>
        <v>25.804656666666673</v>
      </c>
      <c r="L119">
        <f t="shared" si="22"/>
        <v>25.730451666666674</v>
      </c>
      <c r="M119">
        <f t="shared" si="22"/>
        <v>25.656246666666672</v>
      </c>
      <c r="N119">
        <f t="shared" si="22"/>
        <v>25.582041666666672</v>
      </c>
      <c r="O119">
        <f t="shared" si="22"/>
        <v>25.507836666666673</v>
      </c>
      <c r="P119">
        <f t="shared" si="22"/>
        <v>25.433631666666674</v>
      </c>
      <c r="Q119">
        <f t="shared" si="22"/>
        <v>25.359426666666671</v>
      </c>
      <c r="R119">
        <f t="shared" si="22"/>
        <v>25.285221666666672</v>
      </c>
      <c r="S119">
        <f t="shared" si="22"/>
        <v>25.211016666666673</v>
      </c>
      <c r="T119">
        <f t="shared" si="22"/>
        <v>25.136811666666674</v>
      </c>
      <c r="U119">
        <f t="shared" si="21"/>
        <v>25.062606666666674</v>
      </c>
      <c r="V119">
        <f t="shared" si="21"/>
        <v>24.988401666666672</v>
      </c>
      <c r="W119">
        <f t="shared" si="21"/>
        <v>24.914196666666673</v>
      </c>
      <c r="X119">
        <f t="shared" si="21"/>
        <v>24.839991666666673</v>
      </c>
      <c r="Y119">
        <f t="shared" si="21"/>
        <v>24.765786666666671</v>
      </c>
      <c r="Z119">
        <f t="shared" si="21"/>
        <v>24.691581666666671</v>
      </c>
      <c r="AA119">
        <f t="shared" si="21"/>
        <v>24.617376666666672</v>
      </c>
      <c r="AB119">
        <f t="shared" si="21"/>
        <v>24.543171666666673</v>
      </c>
      <c r="AC119">
        <f t="shared" si="21"/>
        <v>24.468966666666674</v>
      </c>
      <c r="AD119">
        <f t="shared" si="21"/>
        <v>23.133276666666674</v>
      </c>
    </row>
    <row r="120" spans="2:30" x14ac:dyDescent="0.2">
      <c r="B120" s="7">
        <v>44689</v>
      </c>
      <c r="C120" s="8">
        <v>21.111805555555549</v>
      </c>
      <c r="D120">
        <f t="shared" si="14"/>
        <v>24.387980555555551</v>
      </c>
      <c r="E120">
        <f t="shared" si="22"/>
        <v>24.313775555555548</v>
      </c>
      <c r="F120">
        <f t="shared" si="22"/>
        <v>24.239570555555549</v>
      </c>
      <c r="G120">
        <f t="shared" si="22"/>
        <v>24.16536555555555</v>
      </c>
      <c r="H120">
        <f t="shared" si="22"/>
        <v>24.09116055555555</v>
      </c>
      <c r="I120">
        <f t="shared" si="22"/>
        <v>24.016955555555548</v>
      </c>
      <c r="J120">
        <f t="shared" si="22"/>
        <v>23.942750555555548</v>
      </c>
      <c r="K120">
        <f t="shared" si="22"/>
        <v>23.868545555555549</v>
      </c>
      <c r="L120">
        <f t="shared" si="22"/>
        <v>23.79434055555555</v>
      </c>
      <c r="M120">
        <f t="shared" si="22"/>
        <v>23.720135555555547</v>
      </c>
      <c r="N120">
        <f t="shared" si="22"/>
        <v>23.645930555555548</v>
      </c>
      <c r="O120">
        <f t="shared" si="22"/>
        <v>23.571725555555549</v>
      </c>
      <c r="P120">
        <f t="shared" si="22"/>
        <v>23.49752055555555</v>
      </c>
      <c r="Q120">
        <f t="shared" si="22"/>
        <v>23.423315555555547</v>
      </c>
      <c r="R120">
        <f t="shared" si="22"/>
        <v>23.349110555555548</v>
      </c>
      <c r="S120">
        <f t="shared" si="22"/>
        <v>23.274905555555549</v>
      </c>
      <c r="T120">
        <f t="shared" si="22"/>
        <v>23.200700555555549</v>
      </c>
      <c r="U120">
        <f t="shared" si="21"/>
        <v>23.12649555555555</v>
      </c>
      <c r="V120">
        <f t="shared" si="21"/>
        <v>23.052290555555548</v>
      </c>
      <c r="W120">
        <f t="shared" si="21"/>
        <v>22.978085555555548</v>
      </c>
      <c r="X120">
        <f t="shared" si="21"/>
        <v>22.903880555555549</v>
      </c>
      <c r="Y120">
        <f t="shared" si="21"/>
        <v>22.829675555555546</v>
      </c>
      <c r="Z120">
        <f t="shared" si="21"/>
        <v>22.755470555555547</v>
      </c>
      <c r="AA120">
        <f t="shared" si="21"/>
        <v>22.681265555555548</v>
      </c>
      <c r="AB120">
        <f t="shared" si="21"/>
        <v>22.607060555555549</v>
      </c>
      <c r="AC120">
        <f t="shared" si="21"/>
        <v>22.53285555555555</v>
      </c>
      <c r="AD120">
        <f t="shared" si="21"/>
        <v>21.19716555555555</v>
      </c>
    </row>
    <row r="121" spans="2:30" x14ac:dyDescent="0.2">
      <c r="B121" s="7">
        <v>44690</v>
      </c>
      <c r="C121" s="8">
        <v>22.131944444444454</v>
      </c>
      <c r="D121">
        <f t="shared" si="14"/>
        <v>25.408119444444452</v>
      </c>
      <c r="E121">
        <f t="shared" si="22"/>
        <v>25.333914444444453</v>
      </c>
      <c r="F121">
        <f t="shared" si="22"/>
        <v>25.259709444444454</v>
      </c>
      <c r="G121">
        <f t="shared" si="22"/>
        <v>25.185504444444454</v>
      </c>
      <c r="H121">
        <f t="shared" si="22"/>
        <v>25.111299444444455</v>
      </c>
      <c r="I121">
        <f t="shared" si="22"/>
        <v>25.037094444444453</v>
      </c>
      <c r="J121">
        <f t="shared" si="22"/>
        <v>24.962889444444453</v>
      </c>
      <c r="K121">
        <f t="shared" si="22"/>
        <v>24.888684444444454</v>
      </c>
      <c r="L121">
        <f t="shared" si="22"/>
        <v>24.814479444444455</v>
      </c>
      <c r="M121">
        <f t="shared" si="22"/>
        <v>24.740274444444452</v>
      </c>
      <c r="N121">
        <f t="shared" si="22"/>
        <v>24.666069444444453</v>
      </c>
      <c r="O121">
        <f t="shared" si="22"/>
        <v>24.591864444444454</v>
      </c>
      <c r="P121">
        <f t="shared" si="22"/>
        <v>24.517659444444455</v>
      </c>
      <c r="Q121">
        <f t="shared" si="22"/>
        <v>24.443454444444455</v>
      </c>
      <c r="R121">
        <f t="shared" si="22"/>
        <v>24.369249444444453</v>
      </c>
      <c r="S121">
        <f t="shared" si="22"/>
        <v>24.295044444444454</v>
      </c>
      <c r="T121">
        <f t="shared" si="22"/>
        <v>24.220839444444454</v>
      </c>
      <c r="U121">
        <f t="shared" si="21"/>
        <v>24.146634444444452</v>
      </c>
      <c r="V121">
        <f t="shared" si="21"/>
        <v>24.072429444444452</v>
      </c>
      <c r="W121">
        <f t="shared" si="21"/>
        <v>23.998224444444453</v>
      </c>
      <c r="X121">
        <f t="shared" si="21"/>
        <v>23.924019444444454</v>
      </c>
      <c r="Y121">
        <f t="shared" si="21"/>
        <v>23.849814444444455</v>
      </c>
      <c r="Z121">
        <f t="shared" si="21"/>
        <v>23.775609444444452</v>
      </c>
      <c r="AA121">
        <f t="shared" si="21"/>
        <v>23.701404444444453</v>
      </c>
      <c r="AB121">
        <f t="shared" si="21"/>
        <v>23.627199444444454</v>
      </c>
      <c r="AC121">
        <f t="shared" si="21"/>
        <v>23.552994444444451</v>
      </c>
      <c r="AD121">
        <f t="shared" si="21"/>
        <v>22.217304444444455</v>
      </c>
    </row>
    <row r="122" spans="2:30" x14ac:dyDescent="0.2">
      <c r="B122" s="7">
        <v>44691</v>
      </c>
      <c r="C122" s="8">
        <v>21.320138888888891</v>
      </c>
      <c r="D122">
        <f t="shared" si="14"/>
        <v>24.596313888888893</v>
      </c>
      <c r="E122">
        <f t="shared" si="22"/>
        <v>24.522108888888891</v>
      </c>
      <c r="F122">
        <f t="shared" si="22"/>
        <v>24.447903888888892</v>
      </c>
      <c r="G122">
        <f t="shared" si="22"/>
        <v>24.373698888888892</v>
      </c>
      <c r="H122">
        <f t="shared" si="22"/>
        <v>24.299493888888893</v>
      </c>
      <c r="I122">
        <f t="shared" si="22"/>
        <v>24.22528888888889</v>
      </c>
      <c r="J122">
        <f t="shared" si="22"/>
        <v>24.151083888888891</v>
      </c>
      <c r="K122">
        <f t="shared" si="22"/>
        <v>24.076878888888892</v>
      </c>
      <c r="L122">
        <f t="shared" si="22"/>
        <v>24.002673888888893</v>
      </c>
      <c r="M122">
        <f t="shared" si="22"/>
        <v>23.92846888888889</v>
      </c>
      <c r="N122">
        <f t="shared" si="22"/>
        <v>23.854263888888891</v>
      </c>
      <c r="O122">
        <f t="shared" si="22"/>
        <v>23.780058888888892</v>
      </c>
      <c r="P122">
        <f t="shared" si="22"/>
        <v>23.705853888888893</v>
      </c>
      <c r="Q122">
        <f t="shared" si="22"/>
        <v>23.63164888888889</v>
      </c>
      <c r="R122">
        <f t="shared" si="22"/>
        <v>23.557443888888891</v>
      </c>
      <c r="S122">
        <f t="shared" si="22"/>
        <v>23.483238888888891</v>
      </c>
      <c r="T122">
        <f t="shared" si="22"/>
        <v>23.409033888888892</v>
      </c>
      <c r="U122">
        <f t="shared" si="21"/>
        <v>23.334828888888893</v>
      </c>
      <c r="V122">
        <f t="shared" si="21"/>
        <v>23.26062388888889</v>
      </c>
      <c r="W122">
        <f t="shared" si="21"/>
        <v>23.186418888888891</v>
      </c>
      <c r="X122">
        <f t="shared" si="21"/>
        <v>23.112213888888892</v>
      </c>
      <c r="Y122">
        <f t="shared" si="21"/>
        <v>23.038008888888889</v>
      </c>
      <c r="Z122">
        <f t="shared" si="21"/>
        <v>22.96380388888889</v>
      </c>
      <c r="AA122">
        <f t="shared" si="21"/>
        <v>22.889598888888891</v>
      </c>
      <c r="AB122">
        <f t="shared" si="21"/>
        <v>22.815393888888892</v>
      </c>
      <c r="AC122">
        <f t="shared" si="21"/>
        <v>22.741188888888892</v>
      </c>
      <c r="AD122">
        <f t="shared" si="21"/>
        <v>21.405498888888893</v>
      </c>
    </row>
    <row r="123" spans="2:30" x14ac:dyDescent="0.2">
      <c r="B123" s="7">
        <v>44692</v>
      </c>
      <c r="C123" s="8">
        <v>20.77624999999999</v>
      </c>
      <c r="D123">
        <f t="shared" si="14"/>
        <v>24.052424999999992</v>
      </c>
      <c r="E123">
        <f t="shared" si="22"/>
        <v>23.97821999999999</v>
      </c>
      <c r="F123">
        <f t="shared" si="22"/>
        <v>23.90401499999999</v>
      </c>
      <c r="G123">
        <f t="shared" si="22"/>
        <v>23.829809999999991</v>
      </c>
      <c r="H123">
        <f t="shared" si="22"/>
        <v>23.755604999999992</v>
      </c>
      <c r="I123">
        <f t="shared" si="22"/>
        <v>23.681399999999989</v>
      </c>
      <c r="J123">
        <f t="shared" si="22"/>
        <v>23.60719499999999</v>
      </c>
      <c r="K123">
        <f t="shared" si="22"/>
        <v>23.532989999999991</v>
      </c>
      <c r="L123">
        <f t="shared" si="22"/>
        <v>23.458784999999992</v>
      </c>
      <c r="M123">
        <f t="shared" si="22"/>
        <v>23.384579999999989</v>
      </c>
      <c r="N123">
        <f t="shared" si="22"/>
        <v>23.31037499999999</v>
      </c>
      <c r="O123">
        <f t="shared" si="22"/>
        <v>23.236169999999991</v>
      </c>
      <c r="P123">
        <f t="shared" si="22"/>
        <v>23.161964999999991</v>
      </c>
      <c r="Q123">
        <f t="shared" si="22"/>
        <v>23.087759999999989</v>
      </c>
      <c r="R123">
        <f t="shared" si="22"/>
        <v>23.01355499999999</v>
      </c>
      <c r="S123">
        <f t="shared" si="22"/>
        <v>22.93934999999999</v>
      </c>
      <c r="T123">
        <f t="shared" si="22"/>
        <v>22.865144999999991</v>
      </c>
      <c r="U123">
        <f t="shared" si="21"/>
        <v>22.790939999999992</v>
      </c>
      <c r="V123">
        <f t="shared" si="21"/>
        <v>22.716734999999989</v>
      </c>
      <c r="W123">
        <f t="shared" si="21"/>
        <v>22.64252999999999</v>
      </c>
      <c r="X123">
        <f t="shared" si="21"/>
        <v>22.568324999999991</v>
      </c>
      <c r="Y123">
        <f t="shared" si="21"/>
        <v>22.494119999999988</v>
      </c>
      <c r="Z123">
        <f t="shared" si="21"/>
        <v>22.419914999999989</v>
      </c>
      <c r="AA123">
        <f t="shared" si="21"/>
        <v>22.34570999999999</v>
      </c>
      <c r="AB123">
        <f t="shared" si="21"/>
        <v>22.271504999999991</v>
      </c>
      <c r="AC123">
        <f t="shared" si="21"/>
        <v>22.197299999999991</v>
      </c>
      <c r="AD123">
        <f t="shared" si="21"/>
        <v>20.861609999999992</v>
      </c>
    </row>
    <row r="124" spans="2:30" x14ac:dyDescent="0.2">
      <c r="B124" s="7">
        <v>44693</v>
      </c>
      <c r="C124" s="8">
        <v>21.345277777777781</v>
      </c>
      <c r="D124">
        <f t="shared" si="14"/>
        <v>24.621452777777783</v>
      </c>
      <c r="E124">
        <f t="shared" si="22"/>
        <v>24.54724777777778</v>
      </c>
      <c r="F124">
        <f t="shared" si="22"/>
        <v>24.473042777777781</v>
      </c>
      <c r="G124">
        <f t="shared" si="22"/>
        <v>24.398837777777782</v>
      </c>
      <c r="H124">
        <f t="shared" si="22"/>
        <v>24.324632777777783</v>
      </c>
      <c r="I124">
        <f t="shared" si="22"/>
        <v>24.25042777777778</v>
      </c>
      <c r="J124">
        <f t="shared" si="22"/>
        <v>24.176222777777781</v>
      </c>
      <c r="K124">
        <f t="shared" si="22"/>
        <v>24.102017777777782</v>
      </c>
      <c r="L124">
        <f t="shared" si="22"/>
        <v>24.027812777777783</v>
      </c>
      <c r="M124">
        <f t="shared" si="22"/>
        <v>23.95360777777778</v>
      </c>
      <c r="N124">
        <f t="shared" si="22"/>
        <v>23.879402777777781</v>
      </c>
      <c r="O124">
        <f t="shared" si="22"/>
        <v>23.805197777777781</v>
      </c>
      <c r="P124">
        <f t="shared" si="22"/>
        <v>23.730992777777782</v>
      </c>
      <c r="Q124">
        <f t="shared" si="22"/>
        <v>23.65678777777778</v>
      </c>
      <c r="R124">
        <f t="shared" si="22"/>
        <v>23.58258277777778</v>
      </c>
      <c r="S124">
        <f t="shared" si="22"/>
        <v>23.508377777777781</v>
      </c>
      <c r="T124">
        <f t="shared" si="22"/>
        <v>23.434172777777782</v>
      </c>
      <c r="U124">
        <f t="shared" si="21"/>
        <v>23.359967777777783</v>
      </c>
      <c r="V124">
        <f t="shared" si="21"/>
        <v>23.28576277777778</v>
      </c>
      <c r="W124">
        <f t="shared" si="21"/>
        <v>23.211557777777781</v>
      </c>
      <c r="X124">
        <f t="shared" si="21"/>
        <v>23.137352777777782</v>
      </c>
      <c r="Y124">
        <f t="shared" si="21"/>
        <v>23.063147777777779</v>
      </c>
      <c r="Z124">
        <f t="shared" si="21"/>
        <v>22.98894277777778</v>
      </c>
      <c r="AA124">
        <f t="shared" si="21"/>
        <v>22.914737777777781</v>
      </c>
      <c r="AB124">
        <f t="shared" si="21"/>
        <v>22.840532777777781</v>
      </c>
      <c r="AC124">
        <f t="shared" si="21"/>
        <v>22.766327777777782</v>
      </c>
      <c r="AD124">
        <f t="shared" si="21"/>
        <v>21.430637777777783</v>
      </c>
    </row>
    <row r="125" spans="2:30" x14ac:dyDescent="0.2">
      <c r="B125" s="7">
        <v>44694</v>
      </c>
      <c r="C125" s="8">
        <v>21.654861111111114</v>
      </c>
      <c r="D125">
        <f t="shared" si="14"/>
        <v>24.931036111111112</v>
      </c>
      <c r="E125">
        <f t="shared" si="22"/>
        <v>24.856831111111113</v>
      </c>
      <c r="F125">
        <f t="shared" si="22"/>
        <v>24.782626111111114</v>
      </c>
      <c r="G125">
        <f t="shared" si="22"/>
        <v>24.708421111111114</v>
      </c>
      <c r="H125">
        <f t="shared" si="22"/>
        <v>24.634216111111115</v>
      </c>
      <c r="I125">
        <f t="shared" si="22"/>
        <v>24.560011111111113</v>
      </c>
      <c r="J125">
        <f t="shared" si="22"/>
        <v>24.485806111111113</v>
      </c>
      <c r="K125">
        <f t="shared" si="22"/>
        <v>24.411601111111114</v>
      </c>
      <c r="L125">
        <f t="shared" si="22"/>
        <v>24.337396111111115</v>
      </c>
      <c r="M125">
        <f t="shared" si="22"/>
        <v>24.263191111111112</v>
      </c>
      <c r="N125">
        <f t="shared" si="22"/>
        <v>24.188986111111113</v>
      </c>
      <c r="O125">
        <f t="shared" si="22"/>
        <v>24.114781111111114</v>
      </c>
      <c r="P125">
        <f t="shared" si="22"/>
        <v>24.040576111111115</v>
      </c>
      <c r="Q125">
        <f t="shared" si="22"/>
        <v>23.966371111111116</v>
      </c>
      <c r="R125">
        <f t="shared" si="22"/>
        <v>23.892166111111113</v>
      </c>
      <c r="S125">
        <f t="shared" si="22"/>
        <v>23.817961111111114</v>
      </c>
      <c r="T125">
        <f t="shared" si="22"/>
        <v>23.743756111111114</v>
      </c>
      <c r="U125">
        <f t="shared" si="21"/>
        <v>23.669551111111112</v>
      </c>
      <c r="V125">
        <f t="shared" si="21"/>
        <v>23.595346111111112</v>
      </c>
      <c r="W125">
        <f t="shared" si="21"/>
        <v>23.521141111111113</v>
      </c>
      <c r="X125">
        <f t="shared" si="21"/>
        <v>23.446936111111114</v>
      </c>
      <c r="Y125">
        <f t="shared" si="21"/>
        <v>23.372731111111115</v>
      </c>
      <c r="Z125">
        <f t="shared" si="21"/>
        <v>23.298526111111112</v>
      </c>
      <c r="AA125">
        <f t="shared" si="21"/>
        <v>23.224321111111113</v>
      </c>
      <c r="AB125">
        <f t="shared" si="21"/>
        <v>23.150116111111114</v>
      </c>
      <c r="AC125">
        <f t="shared" si="21"/>
        <v>23.075911111111111</v>
      </c>
      <c r="AD125">
        <f t="shared" si="21"/>
        <v>21.740221111111115</v>
      </c>
    </row>
    <row r="126" spans="2:30" x14ac:dyDescent="0.2">
      <c r="B126" s="7">
        <v>44695</v>
      </c>
      <c r="C126" s="8">
        <v>22.831250000000008</v>
      </c>
      <c r="D126">
        <f t="shared" si="14"/>
        <v>26.107425000000006</v>
      </c>
      <c r="E126">
        <f t="shared" si="22"/>
        <v>26.033220000000007</v>
      </c>
      <c r="F126">
        <f t="shared" si="22"/>
        <v>25.959015000000008</v>
      </c>
      <c r="G126">
        <f t="shared" si="22"/>
        <v>25.884810000000009</v>
      </c>
      <c r="H126">
        <f t="shared" si="22"/>
        <v>25.81060500000001</v>
      </c>
      <c r="I126">
        <f t="shared" si="22"/>
        <v>25.736400000000007</v>
      </c>
      <c r="J126">
        <f t="shared" si="22"/>
        <v>25.662195000000008</v>
      </c>
      <c r="K126">
        <f t="shared" si="22"/>
        <v>25.587990000000008</v>
      </c>
      <c r="L126">
        <f t="shared" si="22"/>
        <v>25.513785000000009</v>
      </c>
      <c r="M126">
        <f t="shared" si="22"/>
        <v>25.439580000000007</v>
      </c>
      <c r="N126">
        <f t="shared" si="22"/>
        <v>25.365375000000007</v>
      </c>
      <c r="O126">
        <f t="shared" si="22"/>
        <v>25.291170000000008</v>
      </c>
      <c r="P126">
        <f t="shared" si="22"/>
        <v>25.216965000000009</v>
      </c>
      <c r="Q126">
        <f t="shared" si="22"/>
        <v>25.14276000000001</v>
      </c>
      <c r="R126">
        <f t="shared" si="22"/>
        <v>25.068555000000007</v>
      </c>
      <c r="S126">
        <f t="shared" si="22"/>
        <v>24.994350000000008</v>
      </c>
      <c r="T126">
        <f t="shared" si="22"/>
        <v>24.920145000000009</v>
      </c>
      <c r="U126">
        <f t="shared" si="21"/>
        <v>24.845940000000006</v>
      </c>
      <c r="V126">
        <f t="shared" si="21"/>
        <v>24.771735000000007</v>
      </c>
      <c r="W126">
        <f t="shared" si="21"/>
        <v>24.697530000000008</v>
      </c>
      <c r="X126">
        <f t="shared" si="21"/>
        <v>24.623325000000008</v>
      </c>
      <c r="Y126">
        <f t="shared" si="21"/>
        <v>24.549120000000009</v>
      </c>
      <c r="Z126">
        <f t="shared" si="21"/>
        <v>24.474915000000006</v>
      </c>
      <c r="AA126">
        <f t="shared" si="21"/>
        <v>24.400710000000007</v>
      </c>
      <c r="AB126">
        <f t="shared" si="21"/>
        <v>24.326505000000008</v>
      </c>
      <c r="AC126">
        <f t="shared" si="21"/>
        <v>24.252300000000005</v>
      </c>
      <c r="AD126">
        <f t="shared" si="21"/>
        <v>22.916610000000009</v>
      </c>
    </row>
    <row r="127" spans="2:30" x14ac:dyDescent="0.2">
      <c r="B127" s="7">
        <v>44696</v>
      </c>
      <c r="C127" s="8">
        <v>23.708333333333336</v>
      </c>
      <c r="D127">
        <f t="shared" si="14"/>
        <v>26.984508333333338</v>
      </c>
      <c r="E127">
        <f t="shared" si="22"/>
        <v>26.910303333333335</v>
      </c>
      <c r="F127">
        <f t="shared" si="22"/>
        <v>26.836098333333336</v>
      </c>
      <c r="G127">
        <f t="shared" si="22"/>
        <v>26.761893333333337</v>
      </c>
      <c r="H127">
        <f t="shared" si="22"/>
        <v>26.687688333333337</v>
      </c>
      <c r="I127">
        <f t="shared" si="22"/>
        <v>26.613483333333335</v>
      </c>
      <c r="J127">
        <f t="shared" si="22"/>
        <v>26.539278333333336</v>
      </c>
      <c r="K127">
        <f t="shared" si="22"/>
        <v>26.465073333333336</v>
      </c>
      <c r="L127">
        <f t="shared" si="22"/>
        <v>26.390868333333337</v>
      </c>
      <c r="M127">
        <f t="shared" si="22"/>
        <v>26.316663333333334</v>
      </c>
      <c r="N127">
        <f t="shared" si="22"/>
        <v>26.242458333333335</v>
      </c>
      <c r="O127">
        <f t="shared" si="22"/>
        <v>26.168253333333336</v>
      </c>
      <c r="P127">
        <f t="shared" si="22"/>
        <v>26.094048333333337</v>
      </c>
      <c r="Q127">
        <f t="shared" si="22"/>
        <v>26.019843333333334</v>
      </c>
      <c r="R127">
        <f t="shared" si="22"/>
        <v>25.945638333333335</v>
      </c>
      <c r="S127">
        <f t="shared" si="22"/>
        <v>25.871433333333336</v>
      </c>
      <c r="T127">
        <f t="shared" si="22"/>
        <v>25.797228333333337</v>
      </c>
      <c r="U127">
        <f t="shared" si="21"/>
        <v>25.723023333333337</v>
      </c>
      <c r="V127">
        <f t="shared" si="21"/>
        <v>25.648818333333335</v>
      </c>
      <c r="W127">
        <f t="shared" si="21"/>
        <v>25.574613333333335</v>
      </c>
      <c r="X127">
        <f t="shared" si="21"/>
        <v>25.500408333333336</v>
      </c>
      <c r="Y127">
        <f t="shared" si="21"/>
        <v>25.426203333333333</v>
      </c>
      <c r="Z127">
        <f t="shared" si="21"/>
        <v>25.351998333333334</v>
      </c>
      <c r="AA127">
        <f t="shared" si="21"/>
        <v>25.277793333333335</v>
      </c>
      <c r="AB127">
        <f t="shared" si="21"/>
        <v>25.203588333333336</v>
      </c>
      <c r="AC127">
        <f t="shared" si="21"/>
        <v>25.129383333333337</v>
      </c>
      <c r="AD127">
        <f t="shared" si="21"/>
        <v>23.793693333333337</v>
      </c>
    </row>
    <row r="128" spans="2:30" x14ac:dyDescent="0.2">
      <c r="B128" s="7">
        <v>44697</v>
      </c>
      <c r="C128" s="8">
        <v>22.804861111111105</v>
      </c>
      <c r="D128">
        <f t="shared" si="14"/>
        <v>26.081036111111104</v>
      </c>
      <c r="E128">
        <f t="shared" si="22"/>
        <v>26.006831111111104</v>
      </c>
      <c r="F128">
        <f t="shared" si="22"/>
        <v>25.932626111111105</v>
      </c>
      <c r="G128">
        <f t="shared" si="22"/>
        <v>25.858421111111106</v>
      </c>
      <c r="H128">
        <f t="shared" si="22"/>
        <v>25.784216111111107</v>
      </c>
      <c r="I128">
        <f t="shared" si="22"/>
        <v>25.710011111111104</v>
      </c>
      <c r="J128">
        <f t="shared" si="22"/>
        <v>25.635806111111105</v>
      </c>
      <c r="K128">
        <f t="shared" si="22"/>
        <v>25.561601111111106</v>
      </c>
      <c r="L128">
        <f t="shared" si="22"/>
        <v>25.487396111111106</v>
      </c>
      <c r="M128">
        <f t="shared" si="22"/>
        <v>25.413191111111104</v>
      </c>
      <c r="N128">
        <f t="shared" si="22"/>
        <v>25.338986111111105</v>
      </c>
      <c r="O128">
        <f t="shared" si="22"/>
        <v>25.264781111111105</v>
      </c>
      <c r="P128">
        <f t="shared" si="22"/>
        <v>25.190576111111106</v>
      </c>
      <c r="Q128">
        <f t="shared" si="22"/>
        <v>25.116371111111107</v>
      </c>
      <c r="R128">
        <f t="shared" si="22"/>
        <v>25.042166111111104</v>
      </c>
      <c r="S128">
        <f t="shared" si="22"/>
        <v>24.967961111111105</v>
      </c>
      <c r="T128">
        <f t="shared" si="22"/>
        <v>24.893756111111106</v>
      </c>
      <c r="U128">
        <f t="shared" si="21"/>
        <v>24.819551111111103</v>
      </c>
      <c r="V128">
        <f t="shared" si="21"/>
        <v>24.745346111111104</v>
      </c>
      <c r="W128">
        <f t="shared" si="21"/>
        <v>24.671141111111105</v>
      </c>
      <c r="X128">
        <f t="shared" si="21"/>
        <v>24.596936111111106</v>
      </c>
      <c r="Y128">
        <f t="shared" si="21"/>
        <v>24.522731111111106</v>
      </c>
      <c r="Z128">
        <f t="shared" si="21"/>
        <v>24.448526111111104</v>
      </c>
      <c r="AA128">
        <f t="shared" si="21"/>
        <v>24.374321111111104</v>
      </c>
      <c r="AB128">
        <f t="shared" si="21"/>
        <v>24.300116111111105</v>
      </c>
      <c r="AC128">
        <f t="shared" si="21"/>
        <v>24.225911111111103</v>
      </c>
      <c r="AD128">
        <f t="shared" si="21"/>
        <v>22.890221111111106</v>
      </c>
    </row>
    <row r="129" spans="2:30" x14ac:dyDescent="0.2">
      <c r="B129" s="7">
        <v>44698</v>
      </c>
      <c r="C129" s="8">
        <v>23.640277777777776</v>
      </c>
      <c r="D129">
        <f t="shared" si="14"/>
        <v>26.916452777777778</v>
      </c>
      <c r="E129">
        <f t="shared" si="22"/>
        <v>26.842247777777775</v>
      </c>
      <c r="F129">
        <f t="shared" si="22"/>
        <v>26.768042777777776</v>
      </c>
      <c r="G129">
        <f t="shared" si="22"/>
        <v>26.693837777777777</v>
      </c>
      <c r="H129">
        <f t="shared" si="22"/>
        <v>26.619632777777777</v>
      </c>
      <c r="I129">
        <f t="shared" si="22"/>
        <v>26.545427777777775</v>
      </c>
      <c r="J129">
        <f t="shared" si="22"/>
        <v>26.471222777777776</v>
      </c>
      <c r="K129">
        <f t="shared" si="22"/>
        <v>26.397017777777776</v>
      </c>
      <c r="L129">
        <f t="shared" si="22"/>
        <v>26.322812777777777</v>
      </c>
      <c r="M129">
        <f t="shared" si="22"/>
        <v>26.248607777777774</v>
      </c>
      <c r="N129">
        <f t="shared" si="22"/>
        <v>26.174402777777775</v>
      </c>
      <c r="O129">
        <f t="shared" si="22"/>
        <v>26.100197777777776</v>
      </c>
      <c r="P129">
        <f t="shared" si="22"/>
        <v>26.025992777777777</v>
      </c>
      <c r="Q129">
        <f t="shared" si="22"/>
        <v>25.951787777777774</v>
      </c>
      <c r="R129">
        <f t="shared" si="22"/>
        <v>25.877582777777775</v>
      </c>
      <c r="S129">
        <f t="shared" si="22"/>
        <v>25.803377777777776</v>
      </c>
      <c r="T129">
        <f t="shared" si="22"/>
        <v>25.729172777777777</v>
      </c>
      <c r="U129">
        <f t="shared" si="21"/>
        <v>25.654967777777777</v>
      </c>
      <c r="V129">
        <f t="shared" si="21"/>
        <v>25.580762777777775</v>
      </c>
      <c r="W129">
        <f t="shared" si="21"/>
        <v>25.506557777777775</v>
      </c>
      <c r="X129">
        <f t="shared" si="21"/>
        <v>25.432352777777776</v>
      </c>
      <c r="Y129">
        <f t="shared" si="21"/>
        <v>25.358147777777774</v>
      </c>
      <c r="Z129">
        <f t="shared" si="21"/>
        <v>25.283942777777774</v>
      </c>
      <c r="AA129">
        <f t="shared" si="21"/>
        <v>25.209737777777775</v>
      </c>
      <c r="AB129">
        <f t="shared" si="21"/>
        <v>25.135532777777776</v>
      </c>
      <c r="AC129">
        <f t="shared" si="21"/>
        <v>25.061327777777777</v>
      </c>
      <c r="AD129">
        <f t="shared" si="21"/>
        <v>23.725637777777777</v>
      </c>
    </row>
    <row r="130" spans="2:30" x14ac:dyDescent="0.2">
      <c r="B130" s="7">
        <v>44699</v>
      </c>
      <c r="C130" s="8">
        <v>25.347222222222225</v>
      </c>
      <c r="D130">
        <f t="shared" si="14"/>
        <v>28.623397222222223</v>
      </c>
      <c r="E130">
        <f t="shared" si="22"/>
        <v>28.549192222222224</v>
      </c>
      <c r="F130">
        <f t="shared" si="22"/>
        <v>28.474987222222225</v>
      </c>
      <c r="G130">
        <f t="shared" si="22"/>
        <v>28.400782222222226</v>
      </c>
      <c r="H130">
        <f t="shared" si="22"/>
        <v>28.326577222222227</v>
      </c>
      <c r="I130">
        <f t="shared" si="22"/>
        <v>28.252372222222224</v>
      </c>
      <c r="J130">
        <f t="shared" si="22"/>
        <v>28.178167222222225</v>
      </c>
      <c r="K130">
        <f t="shared" si="22"/>
        <v>28.103962222222226</v>
      </c>
      <c r="L130">
        <f t="shared" si="22"/>
        <v>28.029757222222226</v>
      </c>
      <c r="M130">
        <f t="shared" si="22"/>
        <v>27.955552222222224</v>
      </c>
      <c r="N130">
        <f t="shared" si="22"/>
        <v>27.881347222222225</v>
      </c>
      <c r="O130">
        <f t="shared" si="22"/>
        <v>27.807142222222225</v>
      </c>
      <c r="P130">
        <f t="shared" si="22"/>
        <v>27.732937222222226</v>
      </c>
      <c r="Q130">
        <f t="shared" si="22"/>
        <v>27.658732222222227</v>
      </c>
      <c r="R130">
        <f t="shared" si="22"/>
        <v>27.584527222222224</v>
      </c>
      <c r="S130">
        <f t="shared" si="22"/>
        <v>27.510322222222225</v>
      </c>
      <c r="T130">
        <f t="shared" si="22"/>
        <v>27.436117222222226</v>
      </c>
      <c r="U130">
        <f t="shared" si="21"/>
        <v>27.361912222222223</v>
      </c>
      <c r="V130">
        <f t="shared" si="21"/>
        <v>27.287707222222224</v>
      </c>
      <c r="W130">
        <f t="shared" si="21"/>
        <v>27.213502222222225</v>
      </c>
      <c r="X130">
        <f t="shared" si="21"/>
        <v>27.139297222222226</v>
      </c>
      <c r="Y130">
        <f t="shared" si="21"/>
        <v>27.065092222222226</v>
      </c>
      <c r="Z130">
        <f t="shared" si="21"/>
        <v>26.990887222222224</v>
      </c>
      <c r="AA130">
        <f t="shared" si="21"/>
        <v>26.916682222222224</v>
      </c>
      <c r="AB130">
        <f t="shared" si="21"/>
        <v>26.842477222222225</v>
      </c>
      <c r="AC130">
        <f t="shared" si="21"/>
        <v>26.768272222222222</v>
      </c>
      <c r="AD130">
        <f t="shared" si="21"/>
        <v>25.432582222222226</v>
      </c>
    </row>
    <row r="131" spans="2:30" x14ac:dyDescent="0.2">
      <c r="B131" s="7">
        <v>44700</v>
      </c>
      <c r="C131" s="8">
        <v>24.176388888888891</v>
      </c>
      <c r="D131">
        <f t="shared" si="14"/>
        <v>27.452563888888889</v>
      </c>
      <c r="E131">
        <f t="shared" si="22"/>
        <v>27.37835888888889</v>
      </c>
      <c r="F131">
        <f t="shared" si="22"/>
        <v>27.304153888888891</v>
      </c>
      <c r="G131">
        <f t="shared" si="22"/>
        <v>27.229948888888892</v>
      </c>
      <c r="H131">
        <f t="shared" si="22"/>
        <v>27.155743888888892</v>
      </c>
      <c r="I131">
        <f t="shared" si="22"/>
        <v>27.08153888888889</v>
      </c>
      <c r="J131">
        <f t="shared" si="22"/>
        <v>27.007333888888891</v>
      </c>
      <c r="K131">
        <f t="shared" si="22"/>
        <v>26.933128888888891</v>
      </c>
      <c r="L131">
        <f t="shared" si="22"/>
        <v>26.858923888888892</v>
      </c>
      <c r="M131">
        <f t="shared" si="22"/>
        <v>26.784718888888889</v>
      </c>
      <c r="N131">
        <f t="shared" si="22"/>
        <v>26.71051388888889</v>
      </c>
      <c r="O131">
        <f t="shared" si="22"/>
        <v>26.636308888888891</v>
      </c>
      <c r="P131">
        <f t="shared" si="22"/>
        <v>26.562103888888892</v>
      </c>
      <c r="Q131">
        <f t="shared" si="22"/>
        <v>26.487898888888893</v>
      </c>
      <c r="R131">
        <f t="shared" si="22"/>
        <v>26.41369388888889</v>
      </c>
      <c r="S131">
        <f t="shared" si="22"/>
        <v>26.339488888888891</v>
      </c>
      <c r="T131">
        <f t="shared" si="22"/>
        <v>26.265283888888892</v>
      </c>
      <c r="U131">
        <f t="shared" si="21"/>
        <v>26.191078888888889</v>
      </c>
      <c r="V131">
        <f t="shared" si="21"/>
        <v>26.11687388888889</v>
      </c>
      <c r="W131">
        <f t="shared" si="21"/>
        <v>26.04266888888889</v>
      </c>
      <c r="X131">
        <f t="shared" si="21"/>
        <v>25.968463888888891</v>
      </c>
      <c r="Y131">
        <f t="shared" si="21"/>
        <v>25.894258888888892</v>
      </c>
      <c r="Z131">
        <f t="shared" si="21"/>
        <v>25.820053888888889</v>
      </c>
      <c r="AA131">
        <f t="shared" si="21"/>
        <v>25.74584888888889</v>
      </c>
      <c r="AB131">
        <f t="shared" si="21"/>
        <v>25.671643888888891</v>
      </c>
      <c r="AC131">
        <f t="shared" si="21"/>
        <v>25.597438888888888</v>
      </c>
      <c r="AD131">
        <f t="shared" si="21"/>
        <v>24.261748888888892</v>
      </c>
    </row>
    <row r="132" spans="2:30" x14ac:dyDescent="0.2">
      <c r="B132" s="7">
        <v>44701</v>
      </c>
      <c r="C132" s="8">
        <v>21.65902777777778</v>
      </c>
      <c r="D132">
        <f t="shared" si="14"/>
        <v>24.935202777777782</v>
      </c>
      <c r="E132">
        <f t="shared" si="22"/>
        <v>24.860997777777779</v>
      </c>
      <c r="F132">
        <f t="shared" si="22"/>
        <v>24.78679277777778</v>
      </c>
      <c r="G132">
        <f t="shared" si="22"/>
        <v>24.712587777777781</v>
      </c>
      <c r="H132">
        <f t="shared" si="22"/>
        <v>24.638382777777782</v>
      </c>
      <c r="I132">
        <f t="shared" si="22"/>
        <v>24.564177777777779</v>
      </c>
      <c r="J132">
        <f t="shared" si="22"/>
        <v>24.48997277777778</v>
      </c>
      <c r="K132">
        <f t="shared" si="22"/>
        <v>24.415767777777781</v>
      </c>
      <c r="L132">
        <f t="shared" si="22"/>
        <v>24.341562777777781</v>
      </c>
      <c r="M132">
        <f t="shared" si="22"/>
        <v>24.267357777777779</v>
      </c>
      <c r="N132">
        <f t="shared" si="22"/>
        <v>24.19315277777778</v>
      </c>
      <c r="O132">
        <f t="shared" si="22"/>
        <v>24.11894777777778</v>
      </c>
      <c r="P132">
        <f t="shared" si="22"/>
        <v>24.044742777777781</v>
      </c>
      <c r="Q132">
        <f t="shared" si="22"/>
        <v>23.970537777777778</v>
      </c>
      <c r="R132">
        <f t="shared" si="22"/>
        <v>23.896332777777779</v>
      </c>
      <c r="S132">
        <f t="shared" si="22"/>
        <v>23.82212777777778</v>
      </c>
      <c r="T132">
        <f t="shared" ref="T132" si="23">(-1.4841*T$3+3.6472)+$C132</f>
        <v>23.747922777777781</v>
      </c>
      <c r="U132">
        <f t="shared" si="21"/>
        <v>23.673717777777782</v>
      </c>
      <c r="V132">
        <f t="shared" si="21"/>
        <v>23.599512777777779</v>
      </c>
      <c r="W132">
        <f t="shared" si="21"/>
        <v>23.52530777777778</v>
      </c>
      <c r="X132">
        <f t="shared" si="21"/>
        <v>23.451102777777781</v>
      </c>
      <c r="Y132">
        <f t="shared" si="21"/>
        <v>23.376897777777778</v>
      </c>
      <c r="Z132">
        <f t="shared" si="21"/>
        <v>23.302692777777779</v>
      </c>
      <c r="AA132">
        <f t="shared" si="21"/>
        <v>23.228487777777779</v>
      </c>
      <c r="AB132">
        <f t="shared" si="21"/>
        <v>23.15428277777778</v>
      </c>
      <c r="AC132">
        <f t="shared" si="21"/>
        <v>23.080077777777781</v>
      </c>
      <c r="AD132">
        <f t="shared" si="21"/>
        <v>21.744387777777781</v>
      </c>
    </row>
    <row r="133" spans="2:30" x14ac:dyDescent="0.2">
      <c r="B133" s="7">
        <v>44702</v>
      </c>
      <c r="C133" s="8">
        <v>21.620138888888885</v>
      </c>
      <c r="D133">
        <f t="shared" si="14"/>
        <v>24.896313888888884</v>
      </c>
      <c r="E133">
        <f t="shared" ref="E133:T148" si="24">(-1.4841*E$3+3.6472)+$C133</f>
        <v>24.822108888888884</v>
      </c>
      <c r="F133">
        <f t="shared" si="24"/>
        <v>24.747903888888885</v>
      </c>
      <c r="G133">
        <f t="shared" si="24"/>
        <v>24.673698888888886</v>
      </c>
      <c r="H133">
        <f t="shared" si="24"/>
        <v>24.599493888888887</v>
      </c>
      <c r="I133">
        <f t="shared" si="24"/>
        <v>24.525288888888884</v>
      </c>
      <c r="J133">
        <f t="shared" si="24"/>
        <v>24.451083888888885</v>
      </c>
      <c r="K133">
        <f t="shared" si="24"/>
        <v>24.376878888888886</v>
      </c>
      <c r="L133">
        <f t="shared" si="24"/>
        <v>24.302673888888886</v>
      </c>
      <c r="M133">
        <f t="shared" si="24"/>
        <v>24.228468888888884</v>
      </c>
      <c r="N133">
        <f t="shared" si="24"/>
        <v>24.154263888888885</v>
      </c>
      <c r="O133">
        <f t="shared" si="24"/>
        <v>24.080058888888885</v>
      </c>
      <c r="P133">
        <f t="shared" si="24"/>
        <v>24.005853888888886</v>
      </c>
      <c r="Q133">
        <f t="shared" si="24"/>
        <v>23.931648888888887</v>
      </c>
      <c r="R133">
        <f t="shared" si="24"/>
        <v>23.857443888888884</v>
      </c>
      <c r="S133">
        <f t="shared" si="24"/>
        <v>23.783238888888885</v>
      </c>
      <c r="T133">
        <f t="shared" si="24"/>
        <v>23.709033888888886</v>
      </c>
      <c r="U133">
        <f t="shared" si="21"/>
        <v>23.634828888888883</v>
      </c>
      <c r="V133">
        <f t="shared" si="21"/>
        <v>23.560623888888884</v>
      </c>
      <c r="W133">
        <f t="shared" si="21"/>
        <v>23.486418888888885</v>
      </c>
      <c r="X133">
        <f t="shared" si="21"/>
        <v>23.412213888888886</v>
      </c>
      <c r="Y133">
        <f t="shared" si="21"/>
        <v>23.338008888888886</v>
      </c>
      <c r="Z133">
        <f t="shared" si="21"/>
        <v>23.263803888888884</v>
      </c>
      <c r="AA133">
        <f t="shared" si="21"/>
        <v>23.189598888888884</v>
      </c>
      <c r="AB133">
        <f t="shared" si="21"/>
        <v>23.115393888888885</v>
      </c>
      <c r="AC133">
        <f t="shared" si="21"/>
        <v>23.041188888888883</v>
      </c>
      <c r="AD133">
        <f t="shared" si="21"/>
        <v>21.705498888888886</v>
      </c>
    </row>
    <row r="134" spans="2:30" x14ac:dyDescent="0.2">
      <c r="B134" s="7">
        <v>44703</v>
      </c>
      <c r="C134" s="8">
        <v>23.926388888888887</v>
      </c>
      <c r="D134">
        <f t="shared" ref="D134:D197" si="25">(-1.4841*D$3+3.6472)+C134</f>
        <v>27.202563888888889</v>
      </c>
      <c r="E134">
        <f t="shared" si="24"/>
        <v>27.128358888888886</v>
      </c>
      <c r="F134">
        <f t="shared" si="24"/>
        <v>27.054153888888887</v>
      </c>
      <c r="G134">
        <f t="shared" si="24"/>
        <v>26.979948888888888</v>
      </c>
      <c r="H134">
        <f t="shared" si="24"/>
        <v>26.905743888888889</v>
      </c>
      <c r="I134">
        <f t="shared" si="24"/>
        <v>26.831538888888886</v>
      </c>
      <c r="J134">
        <f t="shared" si="24"/>
        <v>26.757333888888887</v>
      </c>
      <c r="K134">
        <f t="shared" si="24"/>
        <v>26.683128888888888</v>
      </c>
      <c r="L134">
        <f t="shared" si="24"/>
        <v>26.608923888888889</v>
      </c>
      <c r="M134">
        <f t="shared" si="24"/>
        <v>26.534718888888886</v>
      </c>
      <c r="N134">
        <f t="shared" si="24"/>
        <v>26.460513888888887</v>
      </c>
      <c r="O134">
        <f t="shared" si="24"/>
        <v>26.386308888888887</v>
      </c>
      <c r="P134">
        <f t="shared" si="24"/>
        <v>26.312103888888888</v>
      </c>
      <c r="Q134">
        <f t="shared" si="24"/>
        <v>26.237898888888886</v>
      </c>
      <c r="R134">
        <f t="shared" si="24"/>
        <v>26.163693888888886</v>
      </c>
      <c r="S134">
        <f t="shared" si="24"/>
        <v>26.089488888888887</v>
      </c>
      <c r="T134">
        <f t="shared" si="24"/>
        <v>26.015283888888888</v>
      </c>
      <c r="U134">
        <f t="shared" si="21"/>
        <v>25.941078888888889</v>
      </c>
      <c r="V134">
        <f t="shared" si="21"/>
        <v>25.866873888888886</v>
      </c>
      <c r="W134">
        <f t="shared" si="21"/>
        <v>25.792668888888887</v>
      </c>
      <c r="X134">
        <f t="shared" si="21"/>
        <v>25.718463888888888</v>
      </c>
      <c r="Y134">
        <f t="shared" si="21"/>
        <v>25.644258888888885</v>
      </c>
      <c r="Z134">
        <f t="shared" si="21"/>
        <v>25.570053888888886</v>
      </c>
      <c r="AA134">
        <f t="shared" si="21"/>
        <v>25.495848888888887</v>
      </c>
      <c r="AB134">
        <f t="shared" si="21"/>
        <v>25.421643888888887</v>
      </c>
      <c r="AC134">
        <f t="shared" si="21"/>
        <v>25.347438888888888</v>
      </c>
      <c r="AD134">
        <f t="shared" si="21"/>
        <v>24.011748888888889</v>
      </c>
    </row>
    <row r="135" spans="2:30" x14ac:dyDescent="0.2">
      <c r="B135" s="7">
        <v>44704</v>
      </c>
      <c r="C135" s="8">
        <v>22.634027777777785</v>
      </c>
      <c r="D135">
        <f t="shared" si="25"/>
        <v>25.910202777777783</v>
      </c>
      <c r="E135">
        <f t="shared" si="24"/>
        <v>25.835997777777784</v>
      </c>
      <c r="F135">
        <f t="shared" si="24"/>
        <v>25.761792777777785</v>
      </c>
      <c r="G135">
        <f t="shared" si="24"/>
        <v>25.687587777777786</v>
      </c>
      <c r="H135">
        <f t="shared" si="24"/>
        <v>25.613382777777787</v>
      </c>
      <c r="I135">
        <f t="shared" si="24"/>
        <v>25.539177777777784</v>
      </c>
      <c r="J135">
        <f t="shared" si="24"/>
        <v>25.464972777777785</v>
      </c>
      <c r="K135">
        <f t="shared" si="24"/>
        <v>25.390767777777786</v>
      </c>
      <c r="L135">
        <f t="shared" si="24"/>
        <v>25.316562777777786</v>
      </c>
      <c r="M135">
        <f t="shared" si="24"/>
        <v>25.242357777777784</v>
      </c>
      <c r="N135">
        <f t="shared" si="24"/>
        <v>25.168152777777784</v>
      </c>
      <c r="O135">
        <f t="shared" si="24"/>
        <v>25.093947777777785</v>
      </c>
      <c r="P135">
        <f t="shared" si="24"/>
        <v>25.019742777777786</v>
      </c>
      <c r="Q135">
        <f t="shared" si="24"/>
        <v>24.945537777777787</v>
      </c>
      <c r="R135">
        <f t="shared" si="24"/>
        <v>24.871332777777784</v>
      </c>
      <c r="S135">
        <f t="shared" si="24"/>
        <v>24.797127777777785</v>
      </c>
      <c r="T135">
        <f t="shared" si="24"/>
        <v>24.722922777777786</v>
      </c>
      <c r="U135">
        <f t="shared" si="21"/>
        <v>24.648717777777783</v>
      </c>
      <c r="V135">
        <f t="shared" si="21"/>
        <v>24.574512777777784</v>
      </c>
      <c r="W135">
        <f t="shared" si="21"/>
        <v>24.500307777777785</v>
      </c>
      <c r="X135">
        <f t="shared" si="21"/>
        <v>24.426102777777785</v>
      </c>
      <c r="Y135">
        <f t="shared" si="21"/>
        <v>24.351897777777786</v>
      </c>
      <c r="Z135">
        <f t="shared" si="21"/>
        <v>24.277692777777784</v>
      </c>
      <c r="AA135">
        <f t="shared" si="21"/>
        <v>24.203487777777784</v>
      </c>
      <c r="AB135">
        <f t="shared" si="21"/>
        <v>24.129282777777785</v>
      </c>
      <c r="AC135">
        <f t="shared" si="21"/>
        <v>24.055077777777782</v>
      </c>
      <c r="AD135">
        <f t="shared" si="21"/>
        <v>22.719387777777786</v>
      </c>
    </row>
    <row r="136" spans="2:30" x14ac:dyDescent="0.2">
      <c r="B136" s="7">
        <v>44705</v>
      </c>
      <c r="C136" s="8">
        <v>21.640277777777776</v>
      </c>
      <c r="D136">
        <f t="shared" si="25"/>
        <v>24.916452777777778</v>
      </c>
      <c r="E136">
        <f t="shared" si="24"/>
        <v>24.842247777777775</v>
      </c>
      <c r="F136">
        <f t="shared" si="24"/>
        <v>24.768042777777776</v>
      </c>
      <c r="G136">
        <f t="shared" si="24"/>
        <v>24.693837777777777</v>
      </c>
      <c r="H136">
        <f t="shared" si="24"/>
        <v>24.619632777777777</v>
      </c>
      <c r="I136">
        <f t="shared" si="24"/>
        <v>24.545427777777775</v>
      </c>
      <c r="J136">
        <f t="shared" si="24"/>
        <v>24.471222777777776</v>
      </c>
      <c r="K136">
        <f t="shared" si="24"/>
        <v>24.397017777777776</v>
      </c>
      <c r="L136">
        <f t="shared" si="24"/>
        <v>24.322812777777777</v>
      </c>
      <c r="M136">
        <f t="shared" si="24"/>
        <v>24.248607777777774</v>
      </c>
      <c r="N136">
        <f t="shared" si="24"/>
        <v>24.174402777777775</v>
      </c>
      <c r="O136">
        <f t="shared" si="24"/>
        <v>24.100197777777776</v>
      </c>
      <c r="P136">
        <f t="shared" si="24"/>
        <v>24.025992777777777</v>
      </c>
      <c r="Q136">
        <f t="shared" si="24"/>
        <v>23.951787777777774</v>
      </c>
      <c r="R136">
        <f t="shared" si="24"/>
        <v>23.877582777777775</v>
      </c>
      <c r="S136">
        <f t="shared" si="24"/>
        <v>23.803377777777776</v>
      </c>
      <c r="T136">
        <f t="shared" si="24"/>
        <v>23.729172777777777</v>
      </c>
      <c r="U136">
        <f t="shared" si="21"/>
        <v>23.654967777777777</v>
      </c>
      <c r="V136">
        <f t="shared" si="21"/>
        <v>23.580762777777775</v>
      </c>
      <c r="W136">
        <f t="shared" si="21"/>
        <v>23.506557777777775</v>
      </c>
      <c r="X136">
        <f t="shared" si="21"/>
        <v>23.432352777777776</v>
      </c>
      <c r="Y136">
        <f t="shared" si="21"/>
        <v>23.358147777777774</v>
      </c>
      <c r="Z136">
        <f t="shared" si="21"/>
        <v>23.283942777777774</v>
      </c>
      <c r="AA136">
        <f t="shared" si="21"/>
        <v>23.209737777777775</v>
      </c>
      <c r="AB136">
        <f t="shared" si="21"/>
        <v>23.135532777777776</v>
      </c>
      <c r="AC136">
        <f t="shared" si="21"/>
        <v>23.061327777777777</v>
      </c>
      <c r="AD136">
        <f t="shared" si="21"/>
        <v>21.725637777777777</v>
      </c>
    </row>
    <row r="137" spans="2:30" x14ac:dyDescent="0.2">
      <c r="B137" s="7">
        <v>44706</v>
      </c>
      <c r="C137" s="8">
        <v>20.766666666666662</v>
      </c>
      <c r="D137">
        <f t="shared" si="25"/>
        <v>24.042841666666661</v>
      </c>
      <c r="E137">
        <f t="shared" si="24"/>
        <v>23.968636666666661</v>
      </c>
      <c r="F137">
        <f t="shared" si="24"/>
        <v>23.894431666666662</v>
      </c>
      <c r="G137">
        <f t="shared" si="24"/>
        <v>23.820226666666663</v>
      </c>
      <c r="H137">
        <f t="shared" si="24"/>
        <v>23.746021666666664</v>
      </c>
      <c r="I137">
        <f t="shared" si="24"/>
        <v>23.671816666666661</v>
      </c>
      <c r="J137">
        <f t="shared" si="24"/>
        <v>23.597611666666662</v>
      </c>
      <c r="K137">
        <f t="shared" si="24"/>
        <v>23.523406666666663</v>
      </c>
      <c r="L137">
        <f t="shared" si="24"/>
        <v>23.449201666666664</v>
      </c>
      <c r="M137">
        <f t="shared" si="24"/>
        <v>23.374996666666661</v>
      </c>
      <c r="N137">
        <f t="shared" si="24"/>
        <v>23.300791666666662</v>
      </c>
      <c r="O137">
        <f t="shared" si="24"/>
        <v>23.226586666666662</v>
      </c>
      <c r="P137">
        <f t="shared" si="24"/>
        <v>23.152381666666663</v>
      </c>
      <c r="Q137">
        <f t="shared" si="24"/>
        <v>23.078176666666664</v>
      </c>
      <c r="R137">
        <f t="shared" si="24"/>
        <v>23.003971666666661</v>
      </c>
      <c r="S137">
        <f t="shared" si="24"/>
        <v>22.929766666666662</v>
      </c>
      <c r="T137">
        <f t="shared" si="24"/>
        <v>22.855561666666663</v>
      </c>
      <c r="U137">
        <f t="shared" si="21"/>
        <v>22.78135666666666</v>
      </c>
      <c r="V137">
        <f t="shared" si="21"/>
        <v>22.707151666666661</v>
      </c>
      <c r="W137">
        <f t="shared" si="21"/>
        <v>22.632946666666662</v>
      </c>
      <c r="X137">
        <f t="shared" si="21"/>
        <v>22.558741666666663</v>
      </c>
      <c r="Y137">
        <f t="shared" si="21"/>
        <v>22.484536666666664</v>
      </c>
      <c r="Z137">
        <f t="shared" si="21"/>
        <v>22.410331666666661</v>
      </c>
      <c r="AA137">
        <f t="shared" si="21"/>
        <v>22.336126666666662</v>
      </c>
      <c r="AB137">
        <f t="shared" si="21"/>
        <v>22.261921666666662</v>
      </c>
      <c r="AC137">
        <f t="shared" si="21"/>
        <v>22.18771666666666</v>
      </c>
      <c r="AD137">
        <f t="shared" si="21"/>
        <v>20.852026666666664</v>
      </c>
    </row>
    <row r="138" spans="2:30" x14ac:dyDescent="0.2">
      <c r="B138" s="7">
        <v>44707</v>
      </c>
      <c r="C138" s="8">
        <v>21.349305555555549</v>
      </c>
      <c r="D138">
        <f t="shared" si="25"/>
        <v>24.625480555555548</v>
      </c>
      <c r="E138">
        <f t="shared" si="24"/>
        <v>24.551275555555549</v>
      </c>
      <c r="F138">
        <f t="shared" si="24"/>
        <v>24.477070555555549</v>
      </c>
      <c r="G138">
        <f t="shared" si="24"/>
        <v>24.40286555555555</v>
      </c>
      <c r="H138">
        <f t="shared" si="24"/>
        <v>24.328660555555551</v>
      </c>
      <c r="I138">
        <f t="shared" si="24"/>
        <v>24.254455555555548</v>
      </c>
      <c r="J138">
        <f t="shared" si="24"/>
        <v>24.180250555555549</v>
      </c>
      <c r="K138">
        <f t="shared" si="24"/>
        <v>24.10604555555555</v>
      </c>
      <c r="L138">
        <f t="shared" si="24"/>
        <v>24.031840555555551</v>
      </c>
      <c r="M138">
        <f t="shared" si="24"/>
        <v>23.957635555555548</v>
      </c>
      <c r="N138">
        <f t="shared" si="24"/>
        <v>23.883430555555549</v>
      </c>
      <c r="O138">
        <f t="shared" si="24"/>
        <v>23.80922555555555</v>
      </c>
      <c r="P138">
        <f t="shared" si="24"/>
        <v>23.73502055555555</v>
      </c>
      <c r="Q138">
        <f t="shared" si="24"/>
        <v>23.660815555555551</v>
      </c>
      <c r="R138">
        <f t="shared" si="24"/>
        <v>23.586610555555549</v>
      </c>
      <c r="S138">
        <f t="shared" si="24"/>
        <v>23.512405555555549</v>
      </c>
      <c r="T138">
        <f t="shared" si="24"/>
        <v>23.43820055555555</v>
      </c>
      <c r="U138">
        <f t="shared" si="21"/>
        <v>23.363995555555547</v>
      </c>
      <c r="V138">
        <f t="shared" si="21"/>
        <v>23.289790555555548</v>
      </c>
      <c r="W138">
        <f t="shared" si="21"/>
        <v>23.215585555555549</v>
      </c>
      <c r="X138">
        <f t="shared" si="21"/>
        <v>23.14138055555555</v>
      </c>
      <c r="Y138">
        <f t="shared" si="21"/>
        <v>23.067175555555551</v>
      </c>
      <c r="Z138">
        <f t="shared" si="21"/>
        <v>22.992970555555548</v>
      </c>
      <c r="AA138">
        <f t="shared" si="21"/>
        <v>22.918765555555549</v>
      </c>
      <c r="AB138">
        <f t="shared" si="21"/>
        <v>22.84456055555555</v>
      </c>
      <c r="AC138">
        <f t="shared" si="21"/>
        <v>22.770355555555547</v>
      </c>
      <c r="AD138">
        <f t="shared" si="21"/>
        <v>21.434665555555551</v>
      </c>
    </row>
    <row r="139" spans="2:30" x14ac:dyDescent="0.2">
      <c r="B139" s="7">
        <v>44708</v>
      </c>
      <c r="C139" s="8">
        <v>21.114583333333325</v>
      </c>
      <c r="D139">
        <f t="shared" si="25"/>
        <v>24.390758333333324</v>
      </c>
      <c r="E139">
        <f t="shared" si="24"/>
        <v>24.316553333333324</v>
      </c>
      <c r="F139">
        <f t="shared" si="24"/>
        <v>24.242348333333325</v>
      </c>
      <c r="G139">
        <f t="shared" si="24"/>
        <v>24.168143333333326</v>
      </c>
      <c r="H139">
        <f t="shared" si="24"/>
        <v>24.093938333333327</v>
      </c>
      <c r="I139">
        <f t="shared" si="24"/>
        <v>24.019733333333324</v>
      </c>
      <c r="J139">
        <f t="shared" si="24"/>
        <v>23.945528333333325</v>
      </c>
      <c r="K139">
        <f t="shared" si="24"/>
        <v>23.871323333333326</v>
      </c>
      <c r="L139">
        <f t="shared" si="24"/>
        <v>23.797118333333326</v>
      </c>
      <c r="M139">
        <f t="shared" si="24"/>
        <v>23.722913333333324</v>
      </c>
      <c r="N139">
        <f t="shared" si="24"/>
        <v>23.648708333333325</v>
      </c>
      <c r="O139">
        <f t="shared" si="24"/>
        <v>23.574503333333325</v>
      </c>
      <c r="P139">
        <f t="shared" si="24"/>
        <v>23.500298333333326</v>
      </c>
      <c r="Q139">
        <f t="shared" si="24"/>
        <v>23.426093333333327</v>
      </c>
      <c r="R139">
        <f t="shared" si="24"/>
        <v>23.351888333333324</v>
      </c>
      <c r="S139">
        <f t="shared" si="24"/>
        <v>23.277683333333325</v>
      </c>
      <c r="T139">
        <f t="shared" si="24"/>
        <v>23.203478333333326</v>
      </c>
      <c r="U139">
        <f t="shared" si="21"/>
        <v>23.129273333333323</v>
      </c>
      <c r="V139">
        <f t="shared" si="21"/>
        <v>23.055068333333324</v>
      </c>
      <c r="W139">
        <f t="shared" si="21"/>
        <v>22.980863333333325</v>
      </c>
      <c r="X139">
        <f t="shared" si="21"/>
        <v>22.906658333333326</v>
      </c>
      <c r="Y139">
        <f t="shared" si="21"/>
        <v>22.832453333333326</v>
      </c>
      <c r="Z139">
        <f t="shared" si="21"/>
        <v>22.758248333333324</v>
      </c>
      <c r="AA139">
        <f t="shared" si="21"/>
        <v>22.684043333333324</v>
      </c>
      <c r="AB139">
        <f t="shared" si="21"/>
        <v>22.609838333333325</v>
      </c>
      <c r="AC139">
        <f t="shared" si="21"/>
        <v>22.535633333333323</v>
      </c>
      <c r="AD139">
        <f t="shared" si="21"/>
        <v>21.199943333333326</v>
      </c>
    </row>
    <row r="140" spans="2:30" x14ac:dyDescent="0.2">
      <c r="B140" s="7">
        <v>44709</v>
      </c>
      <c r="C140" s="8">
        <v>19.869444444444436</v>
      </c>
      <c r="D140">
        <f t="shared" si="25"/>
        <v>23.145619444444435</v>
      </c>
      <c r="E140">
        <f t="shared" si="24"/>
        <v>23.071414444444436</v>
      </c>
      <c r="F140">
        <f t="shared" si="24"/>
        <v>22.997209444444437</v>
      </c>
      <c r="G140">
        <f t="shared" si="24"/>
        <v>22.923004444444437</v>
      </c>
      <c r="H140">
        <f t="shared" si="24"/>
        <v>22.848799444444438</v>
      </c>
      <c r="I140">
        <f t="shared" si="24"/>
        <v>22.774594444444435</v>
      </c>
      <c r="J140">
        <f t="shared" si="24"/>
        <v>22.700389444444436</v>
      </c>
      <c r="K140">
        <f t="shared" si="24"/>
        <v>22.626184444444437</v>
      </c>
      <c r="L140">
        <f t="shared" si="24"/>
        <v>22.551979444444438</v>
      </c>
      <c r="M140">
        <f t="shared" si="24"/>
        <v>22.477774444444435</v>
      </c>
      <c r="N140">
        <f t="shared" si="24"/>
        <v>22.403569444444436</v>
      </c>
      <c r="O140">
        <f t="shared" si="24"/>
        <v>22.329364444444437</v>
      </c>
      <c r="P140">
        <f t="shared" si="24"/>
        <v>22.255159444444438</v>
      </c>
      <c r="Q140">
        <f t="shared" si="24"/>
        <v>22.180954444444438</v>
      </c>
      <c r="R140">
        <f t="shared" si="24"/>
        <v>22.106749444444436</v>
      </c>
      <c r="S140">
        <f t="shared" si="24"/>
        <v>22.032544444444436</v>
      </c>
      <c r="T140">
        <f t="shared" si="24"/>
        <v>21.958339444444437</v>
      </c>
      <c r="U140">
        <f t="shared" si="21"/>
        <v>21.884134444444435</v>
      </c>
      <c r="V140">
        <f t="shared" si="21"/>
        <v>21.809929444444435</v>
      </c>
      <c r="W140">
        <f t="shared" si="21"/>
        <v>21.735724444444436</v>
      </c>
      <c r="X140">
        <f t="shared" si="21"/>
        <v>21.661519444444437</v>
      </c>
      <c r="Y140">
        <f t="shared" si="21"/>
        <v>21.587314444444438</v>
      </c>
      <c r="Z140">
        <f t="shared" si="21"/>
        <v>21.513109444444435</v>
      </c>
      <c r="AA140">
        <f t="shared" si="21"/>
        <v>21.438904444444436</v>
      </c>
      <c r="AB140">
        <f t="shared" si="21"/>
        <v>21.364699444444437</v>
      </c>
      <c r="AC140">
        <f t="shared" si="21"/>
        <v>21.290494444444434</v>
      </c>
      <c r="AD140">
        <f t="shared" si="21"/>
        <v>19.954804444444438</v>
      </c>
    </row>
    <row r="141" spans="2:30" x14ac:dyDescent="0.2">
      <c r="B141" s="7">
        <v>44710</v>
      </c>
      <c r="C141" s="8">
        <v>18.951388888888889</v>
      </c>
      <c r="D141">
        <f t="shared" si="25"/>
        <v>22.227563888888888</v>
      </c>
      <c r="E141">
        <f t="shared" si="24"/>
        <v>22.153358888888889</v>
      </c>
      <c r="F141">
        <f t="shared" si="24"/>
        <v>22.079153888888889</v>
      </c>
      <c r="G141">
        <f t="shared" si="24"/>
        <v>22.00494888888889</v>
      </c>
      <c r="H141">
        <f t="shared" si="24"/>
        <v>21.930743888888891</v>
      </c>
      <c r="I141">
        <f t="shared" si="24"/>
        <v>21.856538888888888</v>
      </c>
      <c r="J141">
        <f t="shared" si="24"/>
        <v>21.782333888888889</v>
      </c>
      <c r="K141">
        <f t="shared" si="24"/>
        <v>21.70812888888889</v>
      </c>
      <c r="L141">
        <f t="shared" si="24"/>
        <v>21.633923888888891</v>
      </c>
      <c r="M141">
        <f t="shared" si="24"/>
        <v>21.559718888888888</v>
      </c>
      <c r="N141">
        <f t="shared" si="24"/>
        <v>21.485513888888889</v>
      </c>
      <c r="O141">
        <f t="shared" si="24"/>
        <v>21.41130888888889</v>
      </c>
      <c r="P141">
        <f t="shared" si="24"/>
        <v>21.33710388888889</v>
      </c>
      <c r="Q141">
        <f t="shared" si="24"/>
        <v>21.262898888888891</v>
      </c>
      <c r="R141">
        <f t="shared" si="24"/>
        <v>21.188693888888888</v>
      </c>
      <c r="S141">
        <f t="shared" si="24"/>
        <v>21.114488888888889</v>
      </c>
      <c r="T141">
        <f t="shared" si="24"/>
        <v>21.04028388888889</v>
      </c>
      <c r="U141">
        <f t="shared" si="21"/>
        <v>20.966078888888887</v>
      </c>
      <c r="V141">
        <f t="shared" si="21"/>
        <v>20.891873888888888</v>
      </c>
      <c r="W141">
        <f t="shared" si="21"/>
        <v>20.817668888888889</v>
      </c>
      <c r="X141">
        <f t="shared" si="21"/>
        <v>20.74346388888889</v>
      </c>
      <c r="Y141">
        <f t="shared" si="21"/>
        <v>20.669258888888891</v>
      </c>
      <c r="Z141">
        <f t="shared" si="21"/>
        <v>20.595053888888888</v>
      </c>
      <c r="AA141">
        <f t="shared" si="21"/>
        <v>20.520848888888889</v>
      </c>
      <c r="AB141">
        <f t="shared" si="21"/>
        <v>20.44664388888889</v>
      </c>
      <c r="AC141">
        <f t="shared" si="21"/>
        <v>20.372438888888887</v>
      </c>
      <c r="AD141">
        <f t="shared" si="21"/>
        <v>19.036748888888891</v>
      </c>
    </row>
    <row r="142" spans="2:30" x14ac:dyDescent="0.2">
      <c r="B142" s="7">
        <v>44711</v>
      </c>
      <c r="C142" s="8">
        <v>19.63819444444443</v>
      </c>
      <c r="D142">
        <f t="shared" si="25"/>
        <v>22.914369444444432</v>
      </c>
      <c r="E142">
        <f t="shared" si="24"/>
        <v>22.840164444444429</v>
      </c>
      <c r="F142">
        <f t="shared" si="24"/>
        <v>22.76595944444443</v>
      </c>
      <c r="G142">
        <f t="shared" si="24"/>
        <v>22.691754444444431</v>
      </c>
      <c r="H142">
        <f t="shared" si="24"/>
        <v>22.617549444444432</v>
      </c>
      <c r="I142">
        <f t="shared" si="24"/>
        <v>22.543344444444429</v>
      </c>
      <c r="J142">
        <f t="shared" si="24"/>
        <v>22.46913944444443</v>
      </c>
      <c r="K142">
        <f t="shared" si="24"/>
        <v>22.394934444444431</v>
      </c>
      <c r="L142">
        <f t="shared" si="24"/>
        <v>22.320729444444432</v>
      </c>
      <c r="M142">
        <f t="shared" si="24"/>
        <v>22.246524444444429</v>
      </c>
      <c r="N142">
        <f t="shared" si="24"/>
        <v>22.17231944444443</v>
      </c>
      <c r="O142">
        <f t="shared" si="24"/>
        <v>22.09811444444443</v>
      </c>
      <c r="P142">
        <f t="shared" si="24"/>
        <v>22.023909444444431</v>
      </c>
      <c r="Q142">
        <f t="shared" si="24"/>
        <v>21.949704444444428</v>
      </c>
      <c r="R142">
        <f t="shared" si="24"/>
        <v>21.875499444444429</v>
      </c>
      <c r="S142">
        <f t="shared" si="24"/>
        <v>21.80129444444443</v>
      </c>
      <c r="T142">
        <f t="shared" si="24"/>
        <v>21.727089444444431</v>
      </c>
      <c r="U142">
        <f t="shared" ref="U142:AD167" si="26">(-1.4841*U$3+3.6472)+$C142</f>
        <v>21.652884444444432</v>
      </c>
      <c r="V142">
        <f t="shared" si="26"/>
        <v>21.578679444444429</v>
      </c>
      <c r="W142">
        <f t="shared" si="26"/>
        <v>21.50447444444443</v>
      </c>
      <c r="X142">
        <f t="shared" si="26"/>
        <v>21.430269444444431</v>
      </c>
      <c r="Y142">
        <f t="shared" si="26"/>
        <v>21.356064444444428</v>
      </c>
      <c r="Z142">
        <f t="shared" si="26"/>
        <v>21.281859444444429</v>
      </c>
      <c r="AA142">
        <f t="shared" si="26"/>
        <v>21.207654444444429</v>
      </c>
      <c r="AB142">
        <f t="shared" si="26"/>
        <v>21.13344944444443</v>
      </c>
      <c r="AC142">
        <f t="shared" si="26"/>
        <v>21.059244444444431</v>
      </c>
      <c r="AD142">
        <f t="shared" si="26"/>
        <v>19.723554444444432</v>
      </c>
    </row>
    <row r="143" spans="2:30" x14ac:dyDescent="0.2">
      <c r="B143" s="7">
        <v>44712</v>
      </c>
      <c r="C143" s="8">
        <v>20.947916666666664</v>
      </c>
      <c r="D143">
        <f t="shared" si="25"/>
        <v>24.224091666666666</v>
      </c>
      <c r="E143">
        <f t="shared" si="24"/>
        <v>24.149886666666664</v>
      </c>
      <c r="F143">
        <f t="shared" si="24"/>
        <v>24.075681666666664</v>
      </c>
      <c r="G143">
        <f t="shared" si="24"/>
        <v>24.001476666666665</v>
      </c>
      <c r="H143">
        <f t="shared" si="24"/>
        <v>23.927271666666666</v>
      </c>
      <c r="I143">
        <f t="shared" si="24"/>
        <v>23.853066666666663</v>
      </c>
      <c r="J143">
        <f t="shared" si="24"/>
        <v>23.778861666666664</v>
      </c>
      <c r="K143">
        <f t="shared" si="24"/>
        <v>23.704656666666665</v>
      </c>
      <c r="L143">
        <f t="shared" si="24"/>
        <v>23.630451666666666</v>
      </c>
      <c r="M143">
        <f t="shared" si="24"/>
        <v>23.556246666666663</v>
      </c>
      <c r="N143">
        <f t="shared" si="24"/>
        <v>23.482041666666664</v>
      </c>
      <c r="O143">
        <f t="shared" si="24"/>
        <v>23.407836666666665</v>
      </c>
      <c r="P143">
        <f t="shared" si="24"/>
        <v>23.333631666666665</v>
      </c>
      <c r="Q143">
        <f t="shared" si="24"/>
        <v>23.259426666666663</v>
      </c>
      <c r="R143">
        <f t="shared" si="24"/>
        <v>23.185221666666664</v>
      </c>
      <c r="S143">
        <f t="shared" si="24"/>
        <v>23.111016666666664</v>
      </c>
      <c r="T143">
        <f t="shared" si="24"/>
        <v>23.036811666666665</v>
      </c>
      <c r="U143">
        <f t="shared" si="26"/>
        <v>22.962606666666666</v>
      </c>
      <c r="V143">
        <f t="shared" si="26"/>
        <v>22.888401666666663</v>
      </c>
      <c r="W143">
        <f t="shared" si="26"/>
        <v>22.814196666666664</v>
      </c>
      <c r="X143">
        <f t="shared" si="26"/>
        <v>22.739991666666665</v>
      </c>
      <c r="Y143">
        <f t="shared" si="26"/>
        <v>22.665786666666662</v>
      </c>
      <c r="Z143">
        <f t="shared" si="26"/>
        <v>22.591581666666663</v>
      </c>
      <c r="AA143">
        <f t="shared" si="26"/>
        <v>22.517376666666664</v>
      </c>
      <c r="AB143">
        <f t="shared" si="26"/>
        <v>22.443171666666665</v>
      </c>
      <c r="AC143">
        <f t="shared" si="26"/>
        <v>22.368966666666665</v>
      </c>
      <c r="AD143">
        <f t="shared" si="26"/>
        <v>21.033276666666666</v>
      </c>
    </row>
    <row r="144" spans="2:30" x14ac:dyDescent="0.2">
      <c r="B144" s="7">
        <v>44713</v>
      </c>
      <c r="C144" s="8">
        <v>20.990972222222219</v>
      </c>
      <c r="D144">
        <f t="shared" si="25"/>
        <v>24.267147222222221</v>
      </c>
      <c r="E144">
        <f t="shared" si="24"/>
        <v>24.192942222222218</v>
      </c>
      <c r="F144">
        <f t="shared" si="24"/>
        <v>24.118737222222219</v>
      </c>
      <c r="G144">
        <f t="shared" si="24"/>
        <v>24.04453222222222</v>
      </c>
      <c r="H144">
        <f t="shared" si="24"/>
        <v>23.97032722222222</v>
      </c>
      <c r="I144">
        <f t="shared" si="24"/>
        <v>23.896122222222218</v>
      </c>
      <c r="J144">
        <f t="shared" si="24"/>
        <v>23.821917222222218</v>
      </c>
      <c r="K144">
        <f t="shared" si="24"/>
        <v>23.747712222222219</v>
      </c>
      <c r="L144">
        <f t="shared" si="24"/>
        <v>23.67350722222222</v>
      </c>
      <c r="M144">
        <f t="shared" si="24"/>
        <v>23.599302222222217</v>
      </c>
      <c r="N144">
        <f t="shared" si="24"/>
        <v>23.525097222222218</v>
      </c>
      <c r="O144">
        <f t="shared" si="24"/>
        <v>23.450892222222219</v>
      </c>
      <c r="P144">
        <f t="shared" si="24"/>
        <v>23.37668722222222</v>
      </c>
      <c r="Q144">
        <f t="shared" si="24"/>
        <v>23.302482222222217</v>
      </c>
      <c r="R144">
        <f t="shared" si="24"/>
        <v>23.228277222222218</v>
      </c>
      <c r="S144">
        <f t="shared" si="24"/>
        <v>23.154072222222219</v>
      </c>
      <c r="T144">
        <f t="shared" si="24"/>
        <v>23.079867222222219</v>
      </c>
      <c r="U144">
        <f t="shared" si="26"/>
        <v>23.00566222222222</v>
      </c>
      <c r="V144">
        <f t="shared" si="26"/>
        <v>22.931457222222217</v>
      </c>
      <c r="W144">
        <f t="shared" si="26"/>
        <v>22.857252222222218</v>
      </c>
      <c r="X144">
        <f t="shared" si="26"/>
        <v>22.783047222222219</v>
      </c>
      <c r="Y144">
        <f t="shared" si="26"/>
        <v>22.708842222222216</v>
      </c>
      <c r="Z144">
        <f t="shared" si="26"/>
        <v>22.634637222222217</v>
      </c>
      <c r="AA144">
        <f t="shared" si="26"/>
        <v>22.560432222222218</v>
      </c>
      <c r="AB144">
        <f t="shared" si="26"/>
        <v>22.486227222222219</v>
      </c>
      <c r="AC144">
        <f t="shared" si="26"/>
        <v>22.41202222222222</v>
      </c>
      <c r="AD144">
        <f t="shared" si="26"/>
        <v>21.07633222222222</v>
      </c>
    </row>
    <row r="145" spans="2:30" x14ac:dyDescent="0.2">
      <c r="B145" s="7">
        <v>44714</v>
      </c>
      <c r="C145" s="8">
        <v>22.329166666666676</v>
      </c>
      <c r="D145">
        <f t="shared" si="25"/>
        <v>25.605341666666675</v>
      </c>
      <c r="E145">
        <f t="shared" si="24"/>
        <v>25.531136666666676</v>
      </c>
      <c r="F145">
        <f t="shared" si="24"/>
        <v>25.456931666666677</v>
      </c>
      <c r="G145">
        <f t="shared" si="24"/>
        <v>25.382726666666677</v>
      </c>
      <c r="H145">
        <f t="shared" si="24"/>
        <v>25.308521666666678</v>
      </c>
      <c r="I145">
        <f t="shared" si="24"/>
        <v>25.234316666666675</v>
      </c>
      <c r="J145">
        <f t="shared" si="24"/>
        <v>25.160111666666676</v>
      </c>
      <c r="K145">
        <f t="shared" si="24"/>
        <v>25.085906666666677</v>
      </c>
      <c r="L145">
        <f t="shared" si="24"/>
        <v>25.011701666666678</v>
      </c>
      <c r="M145">
        <f t="shared" si="24"/>
        <v>24.937496666666675</v>
      </c>
      <c r="N145">
        <f t="shared" si="24"/>
        <v>24.863291666666676</v>
      </c>
      <c r="O145">
        <f t="shared" si="24"/>
        <v>24.789086666666677</v>
      </c>
      <c r="P145">
        <f t="shared" si="24"/>
        <v>24.714881666666678</v>
      </c>
      <c r="Q145">
        <f t="shared" si="24"/>
        <v>24.640676666666678</v>
      </c>
      <c r="R145">
        <f t="shared" si="24"/>
        <v>24.566471666666676</v>
      </c>
      <c r="S145">
        <f t="shared" si="24"/>
        <v>24.492266666666676</v>
      </c>
      <c r="T145">
        <f t="shared" si="24"/>
        <v>24.418061666666677</v>
      </c>
      <c r="U145">
        <f t="shared" si="26"/>
        <v>24.343856666666674</v>
      </c>
      <c r="V145">
        <f t="shared" si="26"/>
        <v>24.269651666666675</v>
      </c>
      <c r="W145">
        <f t="shared" si="26"/>
        <v>24.195446666666676</v>
      </c>
      <c r="X145">
        <f t="shared" si="26"/>
        <v>24.121241666666677</v>
      </c>
      <c r="Y145">
        <f t="shared" si="26"/>
        <v>24.047036666666678</v>
      </c>
      <c r="Z145">
        <f t="shared" si="26"/>
        <v>23.972831666666675</v>
      </c>
      <c r="AA145">
        <f t="shared" si="26"/>
        <v>23.898626666666676</v>
      </c>
      <c r="AB145">
        <f t="shared" si="26"/>
        <v>23.824421666666677</v>
      </c>
      <c r="AC145">
        <f t="shared" si="26"/>
        <v>23.750216666666674</v>
      </c>
      <c r="AD145">
        <f t="shared" si="26"/>
        <v>22.414526666666678</v>
      </c>
    </row>
    <row r="146" spans="2:30" x14ac:dyDescent="0.2">
      <c r="B146" s="7">
        <v>44715</v>
      </c>
      <c r="C146" s="8">
        <v>23.095833333333328</v>
      </c>
      <c r="D146">
        <f t="shared" si="25"/>
        <v>26.372008333333326</v>
      </c>
      <c r="E146">
        <f t="shared" si="24"/>
        <v>26.297803333333327</v>
      </c>
      <c r="F146">
        <f t="shared" si="24"/>
        <v>26.223598333333328</v>
      </c>
      <c r="G146">
        <f t="shared" si="24"/>
        <v>26.149393333333329</v>
      </c>
      <c r="H146">
        <f t="shared" si="24"/>
        <v>26.07518833333333</v>
      </c>
      <c r="I146">
        <f t="shared" si="24"/>
        <v>26.000983333333327</v>
      </c>
      <c r="J146">
        <f t="shared" si="24"/>
        <v>25.926778333333328</v>
      </c>
      <c r="K146">
        <f t="shared" si="24"/>
        <v>25.852573333333329</v>
      </c>
      <c r="L146">
        <f t="shared" si="24"/>
        <v>25.778368333333329</v>
      </c>
      <c r="M146">
        <f t="shared" si="24"/>
        <v>25.704163333333327</v>
      </c>
      <c r="N146">
        <f t="shared" si="24"/>
        <v>25.629958333333327</v>
      </c>
      <c r="O146">
        <f t="shared" si="24"/>
        <v>25.555753333333328</v>
      </c>
      <c r="P146">
        <f t="shared" si="24"/>
        <v>25.481548333333329</v>
      </c>
      <c r="Q146">
        <f t="shared" si="24"/>
        <v>25.40734333333333</v>
      </c>
      <c r="R146">
        <f t="shared" si="24"/>
        <v>25.333138333333327</v>
      </c>
      <c r="S146">
        <f t="shared" si="24"/>
        <v>25.258933333333328</v>
      </c>
      <c r="T146">
        <f t="shared" si="24"/>
        <v>25.184728333333329</v>
      </c>
      <c r="U146">
        <f t="shared" si="26"/>
        <v>25.110523333333326</v>
      </c>
      <c r="V146">
        <f t="shared" si="26"/>
        <v>25.036318333333327</v>
      </c>
      <c r="W146">
        <f t="shared" si="26"/>
        <v>24.962113333333328</v>
      </c>
      <c r="X146">
        <f t="shared" si="26"/>
        <v>24.887908333333328</v>
      </c>
      <c r="Y146">
        <f t="shared" si="26"/>
        <v>24.813703333333329</v>
      </c>
      <c r="Z146">
        <f t="shared" si="26"/>
        <v>24.739498333333326</v>
      </c>
      <c r="AA146">
        <f t="shared" si="26"/>
        <v>24.665293333333327</v>
      </c>
      <c r="AB146">
        <f t="shared" si="26"/>
        <v>24.591088333333328</v>
      </c>
      <c r="AC146">
        <f t="shared" si="26"/>
        <v>24.516883333333325</v>
      </c>
      <c r="AD146">
        <f t="shared" si="26"/>
        <v>23.181193333333329</v>
      </c>
    </row>
    <row r="147" spans="2:30" x14ac:dyDescent="0.2">
      <c r="B147" s="7">
        <v>44716</v>
      </c>
      <c r="C147" s="8">
        <v>21.03263888888889</v>
      </c>
      <c r="D147">
        <f t="shared" si="25"/>
        <v>24.308813888888892</v>
      </c>
      <c r="E147">
        <f t="shared" si="24"/>
        <v>24.234608888888889</v>
      </c>
      <c r="F147">
        <f t="shared" si="24"/>
        <v>24.16040388888889</v>
      </c>
      <c r="G147">
        <f t="shared" si="24"/>
        <v>24.086198888888891</v>
      </c>
      <c r="H147">
        <f t="shared" si="24"/>
        <v>24.011993888888892</v>
      </c>
      <c r="I147">
        <f t="shared" si="24"/>
        <v>23.937788888888889</v>
      </c>
      <c r="J147">
        <f t="shared" si="24"/>
        <v>23.86358388888889</v>
      </c>
      <c r="K147">
        <f t="shared" si="24"/>
        <v>23.789378888888891</v>
      </c>
      <c r="L147">
        <f t="shared" si="24"/>
        <v>23.715173888888891</v>
      </c>
      <c r="M147">
        <f t="shared" si="24"/>
        <v>23.640968888888889</v>
      </c>
      <c r="N147">
        <f t="shared" si="24"/>
        <v>23.56676388888889</v>
      </c>
      <c r="O147">
        <f t="shared" si="24"/>
        <v>23.49255888888889</v>
      </c>
      <c r="P147">
        <f t="shared" si="24"/>
        <v>23.418353888888891</v>
      </c>
      <c r="Q147">
        <f t="shared" si="24"/>
        <v>23.344148888888888</v>
      </c>
      <c r="R147">
        <f t="shared" si="24"/>
        <v>23.269943888888889</v>
      </c>
      <c r="S147">
        <f t="shared" si="24"/>
        <v>23.19573888888889</v>
      </c>
      <c r="T147">
        <f t="shared" si="24"/>
        <v>23.121533888888891</v>
      </c>
      <c r="U147">
        <f t="shared" si="26"/>
        <v>23.047328888888892</v>
      </c>
      <c r="V147">
        <f t="shared" si="26"/>
        <v>22.973123888888889</v>
      </c>
      <c r="W147">
        <f t="shared" si="26"/>
        <v>22.89891888888889</v>
      </c>
      <c r="X147">
        <f t="shared" si="26"/>
        <v>22.824713888888891</v>
      </c>
      <c r="Y147">
        <f t="shared" si="26"/>
        <v>22.750508888888888</v>
      </c>
      <c r="Z147">
        <f t="shared" si="26"/>
        <v>22.676303888888889</v>
      </c>
      <c r="AA147">
        <f t="shared" si="26"/>
        <v>22.602098888888889</v>
      </c>
      <c r="AB147">
        <f t="shared" si="26"/>
        <v>22.52789388888889</v>
      </c>
      <c r="AC147">
        <f t="shared" si="26"/>
        <v>22.453688888888891</v>
      </c>
      <c r="AD147">
        <f t="shared" si="26"/>
        <v>21.117998888888891</v>
      </c>
    </row>
    <row r="148" spans="2:30" x14ac:dyDescent="0.2">
      <c r="B148" s="7">
        <v>44717</v>
      </c>
      <c r="C148" s="8">
        <v>20.344444444444441</v>
      </c>
      <c r="D148">
        <f t="shared" si="25"/>
        <v>23.620619444444444</v>
      </c>
      <c r="E148">
        <f t="shared" si="24"/>
        <v>23.546414444444441</v>
      </c>
      <c r="F148">
        <f t="shared" si="24"/>
        <v>23.472209444444442</v>
      </c>
      <c r="G148">
        <f t="shared" si="24"/>
        <v>23.398004444444442</v>
      </c>
      <c r="H148">
        <f t="shared" si="24"/>
        <v>23.323799444444443</v>
      </c>
      <c r="I148">
        <f t="shared" si="24"/>
        <v>23.24959444444444</v>
      </c>
      <c r="J148">
        <f t="shared" si="24"/>
        <v>23.175389444444441</v>
      </c>
      <c r="K148">
        <f t="shared" si="24"/>
        <v>23.101184444444442</v>
      </c>
      <c r="L148">
        <f t="shared" si="24"/>
        <v>23.026979444444443</v>
      </c>
      <c r="M148">
        <f t="shared" si="24"/>
        <v>22.95277444444444</v>
      </c>
      <c r="N148">
        <f t="shared" si="24"/>
        <v>22.878569444444441</v>
      </c>
      <c r="O148">
        <f t="shared" si="24"/>
        <v>22.804364444444442</v>
      </c>
      <c r="P148">
        <f t="shared" si="24"/>
        <v>22.730159444444443</v>
      </c>
      <c r="Q148">
        <f t="shared" si="24"/>
        <v>22.65595444444444</v>
      </c>
      <c r="R148">
        <f t="shared" si="24"/>
        <v>22.581749444444441</v>
      </c>
      <c r="S148">
        <f t="shared" si="24"/>
        <v>22.507544444444441</v>
      </c>
      <c r="T148">
        <f t="shared" ref="T148" si="27">(-1.4841*T$3+3.6472)+$C148</f>
        <v>22.433339444444442</v>
      </c>
      <c r="U148">
        <f t="shared" si="26"/>
        <v>22.359134444444443</v>
      </c>
      <c r="V148">
        <f t="shared" si="26"/>
        <v>22.28492944444444</v>
      </c>
      <c r="W148">
        <f t="shared" si="26"/>
        <v>22.210724444444441</v>
      </c>
      <c r="X148">
        <f t="shared" si="26"/>
        <v>22.136519444444442</v>
      </c>
      <c r="Y148">
        <f t="shared" si="26"/>
        <v>22.062314444444439</v>
      </c>
      <c r="Z148">
        <f t="shared" si="26"/>
        <v>21.98810944444444</v>
      </c>
      <c r="AA148">
        <f t="shared" si="26"/>
        <v>21.913904444444441</v>
      </c>
      <c r="AB148">
        <f t="shared" si="26"/>
        <v>21.839699444444442</v>
      </c>
      <c r="AC148">
        <f t="shared" si="26"/>
        <v>21.765494444444442</v>
      </c>
      <c r="AD148">
        <f t="shared" si="26"/>
        <v>20.429804444444443</v>
      </c>
    </row>
    <row r="149" spans="2:30" x14ac:dyDescent="0.2">
      <c r="B149" s="7">
        <v>44718</v>
      </c>
      <c r="C149" s="8">
        <v>20.364583333333332</v>
      </c>
      <c r="D149">
        <f t="shared" si="25"/>
        <v>23.640758333333331</v>
      </c>
      <c r="E149">
        <f t="shared" ref="E149:T164" si="28">(-1.4841*E$3+3.6472)+$C149</f>
        <v>23.566553333333331</v>
      </c>
      <c r="F149">
        <f t="shared" si="28"/>
        <v>23.492348333333332</v>
      </c>
      <c r="G149">
        <f t="shared" si="28"/>
        <v>23.418143333333333</v>
      </c>
      <c r="H149">
        <f t="shared" si="28"/>
        <v>23.343938333333334</v>
      </c>
      <c r="I149">
        <f t="shared" si="28"/>
        <v>23.269733333333331</v>
      </c>
      <c r="J149">
        <f t="shared" si="28"/>
        <v>23.195528333333332</v>
      </c>
      <c r="K149">
        <f t="shared" si="28"/>
        <v>23.121323333333333</v>
      </c>
      <c r="L149">
        <f t="shared" si="28"/>
        <v>23.047118333333334</v>
      </c>
      <c r="M149">
        <f t="shared" si="28"/>
        <v>22.972913333333331</v>
      </c>
      <c r="N149">
        <f t="shared" si="28"/>
        <v>22.898708333333332</v>
      </c>
      <c r="O149">
        <f t="shared" si="28"/>
        <v>22.824503333333332</v>
      </c>
      <c r="P149">
        <f t="shared" si="28"/>
        <v>22.750298333333333</v>
      </c>
      <c r="Q149">
        <f t="shared" si="28"/>
        <v>22.676093333333334</v>
      </c>
      <c r="R149">
        <f t="shared" si="28"/>
        <v>22.601888333333331</v>
      </c>
      <c r="S149">
        <f t="shared" si="28"/>
        <v>22.527683333333332</v>
      </c>
      <c r="T149">
        <f t="shared" si="28"/>
        <v>22.453478333333333</v>
      </c>
      <c r="U149">
        <f t="shared" si="26"/>
        <v>22.37927333333333</v>
      </c>
      <c r="V149">
        <f t="shared" si="26"/>
        <v>22.305068333333331</v>
      </c>
      <c r="W149">
        <f t="shared" si="26"/>
        <v>22.230863333333332</v>
      </c>
      <c r="X149">
        <f t="shared" si="26"/>
        <v>22.156658333333333</v>
      </c>
      <c r="Y149">
        <f t="shared" si="26"/>
        <v>22.082453333333333</v>
      </c>
      <c r="Z149">
        <f t="shared" si="26"/>
        <v>22.008248333333331</v>
      </c>
      <c r="AA149">
        <f t="shared" si="26"/>
        <v>21.934043333333332</v>
      </c>
      <c r="AB149">
        <f t="shared" si="26"/>
        <v>21.859838333333332</v>
      </c>
      <c r="AC149">
        <f t="shared" si="26"/>
        <v>21.78563333333333</v>
      </c>
      <c r="AD149">
        <f t="shared" si="26"/>
        <v>20.449943333333334</v>
      </c>
    </row>
    <row r="150" spans="2:30" x14ac:dyDescent="0.2">
      <c r="B150" s="7">
        <v>44719</v>
      </c>
      <c r="C150" s="8">
        <v>21.720833333333331</v>
      </c>
      <c r="D150">
        <f t="shared" si="25"/>
        <v>24.997008333333333</v>
      </c>
      <c r="E150">
        <f t="shared" si="28"/>
        <v>24.922803333333331</v>
      </c>
      <c r="F150">
        <f t="shared" si="28"/>
        <v>24.848598333333332</v>
      </c>
      <c r="G150">
        <f t="shared" si="28"/>
        <v>24.774393333333332</v>
      </c>
      <c r="H150">
        <f t="shared" si="28"/>
        <v>24.700188333333333</v>
      </c>
      <c r="I150">
        <f t="shared" si="28"/>
        <v>24.62598333333333</v>
      </c>
      <c r="J150">
        <f t="shared" si="28"/>
        <v>24.551778333333331</v>
      </c>
      <c r="K150">
        <f t="shared" si="28"/>
        <v>24.477573333333332</v>
      </c>
      <c r="L150">
        <f t="shared" si="28"/>
        <v>24.403368333333333</v>
      </c>
      <c r="M150">
        <f t="shared" si="28"/>
        <v>24.32916333333333</v>
      </c>
      <c r="N150">
        <f t="shared" si="28"/>
        <v>24.254958333333331</v>
      </c>
      <c r="O150">
        <f t="shared" si="28"/>
        <v>24.180753333333332</v>
      </c>
      <c r="P150">
        <f t="shared" si="28"/>
        <v>24.106548333333333</v>
      </c>
      <c r="Q150">
        <f t="shared" si="28"/>
        <v>24.03234333333333</v>
      </c>
      <c r="R150">
        <f t="shared" si="28"/>
        <v>23.958138333333331</v>
      </c>
      <c r="S150">
        <f t="shared" si="28"/>
        <v>23.883933333333331</v>
      </c>
      <c r="T150">
        <f t="shared" si="28"/>
        <v>23.809728333333332</v>
      </c>
      <c r="U150">
        <f t="shared" si="26"/>
        <v>23.735523333333333</v>
      </c>
      <c r="V150">
        <f t="shared" si="26"/>
        <v>23.66131833333333</v>
      </c>
      <c r="W150">
        <f t="shared" si="26"/>
        <v>23.587113333333331</v>
      </c>
      <c r="X150">
        <f t="shared" si="26"/>
        <v>23.512908333333332</v>
      </c>
      <c r="Y150">
        <f t="shared" si="26"/>
        <v>23.438703333333329</v>
      </c>
      <c r="Z150">
        <f t="shared" si="26"/>
        <v>23.36449833333333</v>
      </c>
      <c r="AA150">
        <f t="shared" si="26"/>
        <v>23.290293333333331</v>
      </c>
      <c r="AB150">
        <f t="shared" si="26"/>
        <v>23.216088333333332</v>
      </c>
      <c r="AC150">
        <f t="shared" si="26"/>
        <v>23.141883333333332</v>
      </c>
      <c r="AD150">
        <f t="shared" si="26"/>
        <v>21.806193333333333</v>
      </c>
    </row>
    <row r="151" spans="2:30" x14ac:dyDescent="0.2">
      <c r="B151" s="7">
        <v>44720</v>
      </c>
      <c r="C151" s="8">
        <v>21.752777777777773</v>
      </c>
      <c r="D151">
        <f t="shared" si="25"/>
        <v>25.028952777777775</v>
      </c>
      <c r="E151">
        <f t="shared" si="28"/>
        <v>24.954747777777772</v>
      </c>
      <c r="F151">
        <f t="shared" si="28"/>
        <v>24.880542777777773</v>
      </c>
      <c r="G151">
        <f t="shared" si="28"/>
        <v>24.806337777777774</v>
      </c>
      <c r="H151">
        <f t="shared" si="28"/>
        <v>24.732132777777775</v>
      </c>
      <c r="I151">
        <f t="shared" si="28"/>
        <v>24.657927777777772</v>
      </c>
      <c r="J151">
        <f t="shared" si="28"/>
        <v>24.583722777777773</v>
      </c>
      <c r="K151">
        <f t="shared" si="28"/>
        <v>24.509517777777774</v>
      </c>
      <c r="L151">
        <f t="shared" si="28"/>
        <v>24.435312777777774</v>
      </c>
      <c r="M151">
        <f t="shared" si="28"/>
        <v>24.361107777777772</v>
      </c>
      <c r="N151">
        <f t="shared" si="28"/>
        <v>24.286902777777772</v>
      </c>
      <c r="O151">
        <f t="shared" si="28"/>
        <v>24.212697777777773</v>
      </c>
      <c r="P151">
        <f t="shared" si="28"/>
        <v>24.138492777777774</v>
      </c>
      <c r="Q151">
        <f t="shared" si="28"/>
        <v>24.064287777777771</v>
      </c>
      <c r="R151">
        <f t="shared" si="28"/>
        <v>23.990082777777772</v>
      </c>
      <c r="S151">
        <f t="shared" si="28"/>
        <v>23.915877777777773</v>
      </c>
      <c r="T151">
        <f t="shared" si="28"/>
        <v>23.841672777777774</v>
      </c>
      <c r="U151">
        <f t="shared" si="26"/>
        <v>23.767467777777775</v>
      </c>
      <c r="V151">
        <f t="shared" si="26"/>
        <v>23.693262777777772</v>
      </c>
      <c r="W151">
        <f t="shared" si="26"/>
        <v>23.619057777777773</v>
      </c>
      <c r="X151">
        <f t="shared" si="26"/>
        <v>23.544852777777773</v>
      </c>
      <c r="Y151">
        <f t="shared" si="26"/>
        <v>23.470647777777771</v>
      </c>
      <c r="Z151">
        <f t="shared" si="26"/>
        <v>23.396442777777771</v>
      </c>
      <c r="AA151">
        <f t="shared" si="26"/>
        <v>23.322237777777772</v>
      </c>
      <c r="AB151">
        <f t="shared" si="26"/>
        <v>23.248032777777773</v>
      </c>
      <c r="AC151">
        <f t="shared" si="26"/>
        <v>23.173827777777774</v>
      </c>
      <c r="AD151">
        <f t="shared" si="26"/>
        <v>21.838137777777774</v>
      </c>
    </row>
    <row r="152" spans="2:30" x14ac:dyDescent="0.2">
      <c r="B152" s="7">
        <v>44721</v>
      </c>
      <c r="C152" s="8">
        <v>23.497916666666658</v>
      </c>
      <c r="D152">
        <f t="shared" si="25"/>
        <v>26.774091666666656</v>
      </c>
      <c r="E152">
        <f t="shared" si="28"/>
        <v>26.699886666666657</v>
      </c>
      <c r="F152">
        <f t="shared" si="28"/>
        <v>26.625681666666658</v>
      </c>
      <c r="G152">
        <f t="shared" si="28"/>
        <v>26.551476666666659</v>
      </c>
      <c r="H152">
        <f t="shared" si="28"/>
        <v>26.47727166666666</v>
      </c>
      <c r="I152">
        <f t="shared" si="28"/>
        <v>26.403066666666657</v>
      </c>
      <c r="J152">
        <f t="shared" si="28"/>
        <v>26.328861666666658</v>
      </c>
      <c r="K152">
        <f t="shared" si="28"/>
        <v>26.254656666666659</v>
      </c>
      <c r="L152">
        <f t="shared" si="28"/>
        <v>26.180451666666659</v>
      </c>
      <c r="M152">
        <f t="shared" si="28"/>
        <v>26.106246666666657</v>
      </c>
      <c r="N152">
        <f t="shared" si="28"/>
        <v>26.032041666666657</v>
      </c>
      <c r="O152">
        <f t="shared" si="28"/>
        <v>25.957836666666658</v>
      </c>
      <c r="P152">
        <f t="shared" si="28"/>
        <v>25.883631666666659</v>
      </c>
      <c r="Q152">
        <f t="shared" si="28"/>
        <v>25.80942666666666</v>
      </c>
      <c r="R152">
        <f t="shared" si="28"/>
        <v>25.735221666666657</v>
      </c>
      <c r="S152">
        <f t="shared" si="28"/>
        <v>25.661016666666658</v>
      </c>
      <c r="T152">
        <f t="shared" si="28"/>
        <v>25.586811666666659</v>
      </c>
      <c r="U152">
        <f t="shared" si="26"/>
        <v>25.512606666666656</v>
      </c>
      <c r="V152">
        <f t="shared" si="26"/>
        <v>25.438401666666657</v>
      </c>
      <c r="W152">
        <f t="shared" si="26"/>
        <v>25.364196666666658</v>
      </c>
      <c r="X152">
        <f t="shared" si="26"/>
        <v>25.289991666666658</v>
      </c>
      <c r="Y152">
        <f t="shared" si="26"/>
        <v>25.215786666666659</v>
      </c>
      <c r="Z152">
        <f t="shared" si="26"/>
        <v>25.141581666666657</v>
      </c>
      <c r="AA152">
        <f t="shared" si="26"/>
        <v>25.067376666666657</v>
      </c>
      <c r="AB152">
        <f t="shared" si="26"/>
        <v>24.993171666666658</v>
      </c>
      <c r="AC152">
        <f t="shared" si="26"/>
        <v>24.918966666666655</v>
      </c>
      <c r="AD152">
        <f t="shared" si="26"/>
        <v>23.583276666666659</v>
      </c>
    </row>
    <row r="153" spans="2:30" x14ac:dyDescent="0.2">
      <c r="B153" s="7">
        <v>44722</v>
      </c>
      <c r="C153" s="8">
        <v>23.992361111111109</v>
      </c>
      <c r="D153">
        <f t="shared" si="25"/>
        <v>27.268536111111111</v>
      </c>
      <c r="E153">
        <f t="shared" si="28"/>
        <v>27.194331111111108</v>
      </c>
      <c r="F153">
        <f t="shared" si="28"/>
        <v>27.120126111111109</v>
      </c>
      <c r="G153">
        <f t="shared" si="28"/>
        <v>27.04592111111111</v>
      </c>
      <c r="H153">
        <f t="shared" si="28"/>
        <v>26.97171611111111</v>
      </c>
      <c r="I153">
        <f t="shared" si="28"/>
        <v>26.897511111111108</v>
      </c>
      <c r="J153">
        <f t="shared" si="28"/>
        <v>26.823306111111108</v>
      </c>
      <c r="K153">
        <f t="shared" si="28"/>
        <v>26.749101111111109</v>
      </c>
      <c r="L153">
        <f t="shared" si="28"/>
        <v>26.67489611111111</v>
      </c>
      <c r="M153">
        <f t="shared" si="28"/>
        <v>26.600691111111107</v>
      </c>
      <c r="N153">
        <f t="shared" si="28"/>
        <v>26.526486111111108</v>
      </c>
      <c r="O153">
        <f t="shared" si="28"/>
        <v>26.452281111111109</v>
      </c>
      <c r="P153">
        <f t="shared" si="28"/>
        <v>26.37807611111111</v>
      </c>
      <c r="Q153">
        <f t="shared" si="28"/>
        <v>26.303871111111107</v>
      </c>
      <c r="R153">
        <f t="shared" si="28"/>
        <v>26.229666111111108</v>
      </c>
      <c r="S153">
        <f t="shared" si="28"/>
        <v>26.155461111111109</v>
      </c>
      <c r="T153">
        <f t="shared" si="28"/>
        <v>26.081256111111109</v>
      </c>
      <c r="U153">
        <f t="shared" si="26"/>
        <v>26.00705111111111</v>
      </c>
      <c r="V153">
        <f t="shared" si="26"/>
        <v>25.932846111111107</v>
      </c>
      <c r="W153">
        <f t="shared" si="26"/>
        <v>25.858641111111108</v>
      </c>
      <c r="X153">
        <f t="shared" si="26"/>
        <v>25.784436111111109</v>
      </c>
      <c r="Y153">
        <f t="shared" si="26"/>
        <v>25.710231111111106</v>
      </c>
      <c r="Z153">
        <f t="shared" si="26"/>
        <v>25.636026111111107</v>
      </c>
      <c r="AA153">
        <f t="shared" si="26"/>
        <v>25.561821111111108</v>
      </c>
      <c r="AB153">
        <f t="shared" si="26"/>
        <v>25.487616111111109</v>
      </c>
      <c r="AC153">
        <f t="shared" si="26"/>
        <v>25.41341111111111</v>
      </c>
      <c r="AD153">
        <f t="shared" si="26"/>
        <v>24.07772111111111</v>
      </c>
    </row>
    <row r="154" spans="2:30" x14ac:dyDescent="0.2">
      <c r="B154" s="7">
        <v>44723</v>
      </c>
      <c r="C154" s="8">
        <v>24.970833333333335</v>
      </c>
      <c r="D154">
        <f t="shared" si="25"/>
        <v>28.247008333333333</v>
      </c>
      <c r="E154">
        <f t="shared" si="28"/>
        <v>28.172803333333334</v>
      </c>
      <c r="F154">
        <f t="shared" si="28"/>
        <v>28.098598333333335</v>
      </c>
      <c r="G154">
        <f t="shared" si="28"/>
        <v>28.024393333333336</v>
      </c>
      <c r="H154">
        <f t="shared" si="28"/>
        <v>27.950188333333337</v>
      </c>
      <c r="I154">
        <f t="shared" si="28"/>
        <v>27.875983333333334</v>
      </c>
      <c r="J154">
        <f t="shared" si="28"/>
        <v>27.801778333333335</v>
      </c>
      <c r="K154">
        <f t="shared" si="28"/>
        <v>27.727573333333336</v>
      </c>
      <c r="L154">
        <f t="shared" si="28"/>
        <v>27.653368333333336</v>
      </c>
      <c r="M154">
        <f t="shared" si="28"/>
        <v>27.579163333333334</v>
      </c>
      <c r="N154">
        <f t="shared" si="28"/>
        <v>27.504958333333335</v>
      </c>
      <c r="O154">
        <f t="shared" si="28"/>
        <v>27.430753333333335</v>
      </c>
      <c r="P154">
        <f t="shared" si="28"/>
        <v>27.356548333333336</v>
      </c>
      <c r="Q154">
        <f t="shared" si="28"/>
        <v>27.282343333333337</v>
      </c>
      <c r="R154">
        <f t="shared" si="28"/>
        <v>27.208138333333334</v>
      </c>
      <c r="S154">
        <f t="shared" si="28"/>
        <v>27.133933333333335</v>
      </c>
      <c r="T154">
        <f t="shared" si="28"/>
        <v>27.059728333333336</v>
      </c>
      <c r="U154">
        <f t="shared" si="26"/>
        <v>26.985523333333333</v>
      </c>
      <c r="V154">
        <f t="shared" si="26"/>
        <v>26.911318333333334</v>
      </c>
      <c r="W154">
        <f t="shared" si="26"/>
        <v>26.837113333333335</v>
      </c>
      <c r="X154">
        <f t="shared" si="26"/>
        <v>26.762908333333336</v>
      </c>
      <c r="Y154">
        <f t="shared" si="26"/>
        <v>26.688703333333336</v>
      </c>
      <c r="Z154">
        <f t="shared" si="26"/>
        <v>26.614498333333334</v>
      </c>
      <c r="AA154">
        <f t="shared" si="26"/>
        <v>26.540293333333334</v>
      </c>
      <c r="AB154">
        <f t="shared" si="26"/>
        <v>26.466088333333335</v>
      </c>
      <c r="AC154">
        <f t="shared" si="26"/>
        <v>26.391883333333332</v>
      </c>
      <c r="AD154">
        <f t="shared" si="26"/>
        <v>25.056193333333336</v>
      </c>
    </row>
    <row r="155" spans="2:30" x14ac:dyDescent="0.2">
      <c r="B155" s="7">
        <v>44724</v>
      </c>
      <c r="C155" s="8">
        <v>25.122222222222227</v>
      </c>
      <c r="D155">
        <f t="shared" si="25"/>
        <v>28.398397222222229</v>
      </c>
      <c r="E155">
        <f t="shared" si="28"/>
        <v>28.324192222222226</v>
      </c>
      <c r="F155">
        <f t="shared" si="28"/>
        <v>28.249987222222227</v>
      </c>
      <c r="G155">
        <f t="shared" si="28"/>
        <v>28.175782222222228</v>
      </c>
      <c r="H155">
        <f t="shared" si="28"/>
        <v>28.101577222222229</v>
      </c>
      <c r="I155">
        <f t="shared" si="28"/>
        <v>28.027372222222226</v>
      </c>
      <c r="J155">
        <f t="shared" si="28"/>
        <v>27.953167222222227</v>
      </c>
      <c r="K155">
        <f t="shared" si="28"/>
        <v>27.878962222222228</v>
      </c>
      <c r="L155">
        <f t="shared" si="28"/>
        <v>27.804757222222229</v>
      </c>
      <c r="M155">
        <f t="shared" si="28"/>
        <v>27.730552222222226</v>
      </c>
      <c r="N155">
        <f t="shared" si="28"/>
        <v>27.656347222222227</v>
      </c>
      <c r="O155">
        <f t="shared" si="28"/>
        <v>27.582142222222227</v>
      </c>
      <c r="P155">
        <f t="shared" si="28"/>
        <v>27.507937222222228</v>
      </c>
      <c r="Q155">
        <f t="shared" si="28"/>
        <v>27.433732222222226</v>
      </c>
      <c r="R155">
        <f t="shared" si="28"/>
        <v>27.359527222222226</v>
      </c>
      <c r="S155">
        <f t="shared" si="28"/>
        <v>27.285322222222227</v>
      </c>
      <c r="T155">
        <f t="shared" si="28"/>
        <v>27.211117222222228</v>
      </c>
      <c r="U155">
        <f t="shared" si="26"/>
        <v>27.136912222222229</v>
      </c>
      <c r="V155">
        <f t="shared" si="26"/>
        <v>27.062707222222226</v>
      </c>
      <c r="W155">
        <f t="shared" si="26"/>
        <v>26.988502222222227</v>
      </c>
      <c r="X155">
        <f t="shared" si="26"/>
        <v>26.914297222222228</v>
      </c>
      <c r="Y155">
        <f t="shared" si="26"/>
        <v>26.840092222222225</v>
      </c>
      <c r="Z155">
        <f t="shared" si="26"/>
        <v>26.765887222222226</v>
      </c>
      <c r="AA155">
        <f t="shared" si="26"/>
        <v>26.691682222222227</v>
      </c>
      <c r="AB155">
        <f t="shared" si="26"/>
        <v>26.617477222222227</v>
      </c>
      <c r="AC155">
        <f t="shared" si="26"/>
        <v>26.543272222222228</v>
      </c>
      <c r="AD155">
        <f t="shared" si="26"/>
        <v>25.207582222222229</v>
      </c>
    </row>
    <row r="156" spans="2:30" x14ac:dyDescent="0.2">
      <c r="B156" s="7">
        <v>44725</v>
      </c>
      <c r="C156" s="8">
        <v>24.355555555555554</v>
      </c>
      <c r="D156">
        <f t="shared" si="25"/>
        <v>27.631730555555556</v>
      </c>
      <c r="E156">
        <f t="shared" si="28"/>
        <v>27.557525555555554</v>
      </c>
      <c r="F156">
        <f t="shared" si="28"/>
        <v>27.483320555555554</v>
      </c>
      <c r="G156">
        <f t="shared" si="28"/>
        <v>27.409115555555555</v>
      </c>
      <c r="H156">
        <f t="shared" si="28"/>
        <v>27.334910555555556</v>
      </c>
      <c r="I156">
        <f t="shared" si="28"/>
        <v>27.260705555555553</v>
      </c>
      <c r="J156">
        <f t="shared" si="28"/>
        <v>27.186500555555554</v>
      </c>
      <c r="K156">
        <f t="shared" si="28"/>
        <v>27.112295555555555</v>
      </c>
      <c r="L156">
        <f t="shared" si="28"/>
        <v>27.038090555555556</v>
      </c>
      <c r="M156">
        <f t="shared" si="28"/>
        <v>26.963885555555553</v>
      </c>
      <c r="N156">
        <f t="shared" si="28"/>
        <v>26.889680555555554</v>
      </c>
      <c r="O156">
        <f t="shared" si="28"/>
        <v>26.815475555555555</v>
      </c>
      <c r="P156">
        <f t="shared" si="28"/>
        <v>26.741270555555555</v>
      </c>
      <c r="Q156">
        <f t="shared" si="28"/>
        <v>26.667065555555553</v>
      </c>
      <c r="R156">
        <f t="shared" si="28"/>
        <v>26.592860555555554</v>
      </c>
      <c r="S156">
        <f t="shared" si="28"/>
        <v>26.518655555555554</v>
      </c>
      <c r="T156">
        <f t="shared" si="28"/>
        <v>26.444450555555555</v>
      </c>
      <c r="U156">
        <f t="shared" si="26"/>
        <v>26.370245555555556</v>
      </c>
      <c r="V156">
        <f t="shared" si="26"/>
        <v>26.296040555555553</v>
      </c>
      <c r="W156">
        <f t="shared" si="26"/>
        <v>26.221835555555554</v>
      </c>
      <c r="X156">
        <f t="shared" si="26"/>
        <v>26.147630555555555</v>
      </c>
      <c r="Y156">
        <f t="shared" si="26"/>
        <v>26.073425555555552</v>
      </c>
      <c r="Z156">
        <f t="shared" si="26"/>
        <v>25.999220555555553</v>
      </c>
      <c r="AA156">
        <f t="shared" si="26"/>
        <v>25.925015555555554</v>
      </c>
      <c r="AB156">
        <f t="shared" si="26"/>
        <v>25.850810555555555</v>
      </c>
      <c r="AC156">
        <f t="shared" si="26"/>
        <v>25.776605555555555</v>
      </c>
      <c r="AD156">
        <f t="shared" si="26"/>
        <v>24.440915555555556</v>
      </c>
    </row>
    <row r="157" spans="2:30" x14ac:dyDescent="0.2">
      <c r="B157" s="7">
        <v>44726</v>
      </c>
      <c r="C157" s="8">
        <v>24.369444444444447</v>
      </c>
      <c r="D157">
        <f t="shared" si="25"/>
        <v>27.645619444444449</v>
      </c>
      <c r="E157">
        <f t="shared" si="28"/>
        <v>27.571414444444446</v>
      </c>
      <c r="F157">
        <f t="shared" si="28"/>
        <v>27.497209444444447</v>
      </c>
      <c r="G157">
        <f t="shared" si="28"/>
        <v>27.423004444444448</v>
      </c>
      <c r="H157">
        <f t="shared" si="28"/>
        <v>27.348799444444449</v>
      </c>
      <c r="I157">
        <f t="shared" si="28"/>
        <v>27.274594444444446</v>
      </c>
      <c r="J157">
        <f t="shared" si="28"/>
        <v>27.200389444444447</v>
      </c>
      <c r="K157">
        <f t="shared" si="28"/>
        <v>27.126184444444448</v>
      </c>
      <c r="L157">
        <f t="shared" si="28"/>
        <v>27.051979444444449</v>
      </c>
      <c r="M157">
        <f t="shared" si="28"/>
        <v>26.977774444444446</v>
      </c>
      <c r="N157">
        <f t="shared" si="28"/>
        <v>26.903569444444447</v>
      </c>
      <c r="O157">
        <f t="shared" si="28"/>
        <v>26.829364444444447</v>
      </c>
      <c r="P157">
        <f t="shared" si="28"/>
        <v>26.755159444444448</v>
      </c>
      <c r="Q157">
        <f t="shared" si="28"/>
        <v>26.680954444444446</v>
      </c>
      <c r="R157">
        <f t="shared" si="28"/>
        <v>26.606749444444446</v>
      </c>
      <c r="S157">
        <f t="shared" si="28"/>
        <v>26.532544444444447</v>
      </c>
      <c r="T157">
        <f t="shared" si="28"/>
        <v>26.458339444444448</v>
      </c>
      <c r="U157">
        <f t="shared" si="26"/>
        <v>26.384134444444449</v>
      </c>
      <c r="V157">
        <f t="shared" si="26"/>
        <v>26.309929444444446</v>
      </c>
      <c r="W157">
        <f t="shared" si="26"/>
        <v>26.235724444444447</v>
      </c>
      <c r="X157">
        <f t="shared" si="26"/>
        <v>26.161519444444448</v>
      </c>
      <c r="Y157">
        <f t="shared" si="26"/>
        <v>26.087314444444445</v>
      </c>
      <c r="Z157">
        <f t="shared" si="26"/>
        <v>26.013109444444446</v>
      </c>
      <c r="AA157">
        <f t="shared" si="26"/>
        <v>25.938904444444447</v>
      </c>
      <c r="AB157">
        <f t="shared" si="26"/>
        <v>25.864699444444447</v>
      </c>
      <c r="AC157">
        <f t="shared" si="26"/>
        <v>25.790494444444448</v>
      </c>
      <c r="AD157">
        <f t="shared" si="26"/>
        <v>24.454804444444449</v>
      </c>
    </row>
    <row r="158" spans="2:30" x14ac:dyDescent="0.2">
      <c r="B158" s="7">
        <v>44727</v>
      </c>
      <c r="C158" s="8">
        <v>25.45555555555557</v>
      </c>
      <c r="D158">
        <f t="shared" si="25"/>
        <v>28.731730555555572</v>
      </c>
      <c r="E158">
        <f t="shared" si="28"/>
        <v>28.657525555555569</v>
      </c>
      <c r="F158">
        <f t="shared" si="28"/>
        <v>28.58332055555557</v>
      </c>
      <c r="G158">
        <f t="shared" si="28"/>
        <v>28.509115555555571</v>
      </c>
      <c r="H158">
        <f t="shared" si="28"/>
        <v>28.434910555555572</v>
      </c>
      <c r="I158">
        <f t="shared" si="28"/>
        <v>28.360705555555569</v>
      </c>
      <c r="J158">
        <f t="shared" si="28"/>
        <v>28.28650055555557</v>
      </c>
      <c r="K158">
        <f t="shared" si="28"/>
        <v>28.212295555555571</v>
      </c>
      <c r="L158">
        <f t="shared" si="28"/>
        <v>28.138090555555571</v>
      </c>
      <c r="M158">
        <f t="shared" si="28"/>
        <v>28.063885555555569</v>
      </c>
      <c r="N158">
        <f t="shared" si="28"/>
        <v>27.989680555555569</v>
      </c>
      <c r="O158">
        <f t="shared" si="28"/>
        <v>27.91547555555557</v>
      </c>
      <c r="P158">
        <f t="shared" si="28"/>
        <v>27.841270555555571</v>
      </c>
      <c r="Q158">
        <f t="shared" si="28"/>
        <v>27.767065555555568</v>
      </c>
      <c r="R158">
        <f t="shared" si="28"/>
        <v>27.692860555555569</v>
      </c>
      <c r="S158">
        <f t="shared" si="28"/>
        <v>27.61865555555557</v>
      </c>
      <c r="T158">
        <f t="shared" si="28"/>
        <v>27.544450555555571</v>
      </c>
      <c r="U158">
        <f t="shared" si="26"/>
        <v>27.470245555555572</v>
      </c>
      <c r="V158">
        <f t="shared" si="26"/>
        <v>27.396040555555569</v>
      </c>
      <c r="W158">
        <f t="shared" si="26"/>
        <v>27.32183555555557</v>
      </c>
      <c r="X158">
        <f t="shared" si="26"/>
        <v>27.24763055555557</v>
      </c>
      <c r="Y158">
        <f t="shared" si="26"/>
        <v>27.173425555555568</v>
      </c>
      <c r="Z158">
        <f t="shared" si="26"/>
        <v>27.099220555555569</v>
      </c>
      <c r="AA158">
        <f t="shared" si="26"/>
        <v>27.025015555555569</v>
      </c>
      <c r="AB158">
        <f t="shared" si="26"/>
        <v>26.95081055555557</v>
      </c>
      <c r="AC158">
        <f t="shared" si="26"/>
        <v>26.876605555555571</v>
      </c>
      <c r="AD158">
        <f t="shared" si="26"/>
        <v>25.540915555555571</v>
      </c>
    </row>
    <row r="159" spans="2:30" x14ac:dyDescent="0.2">
      <c r="B159" s="7">
        <v>44728</v>
      </c>
      <c r="C159" s="8">
        <v>26.664583333333336</v>
      </c>
      <c r="D159">
        <f t="shared" si="25"/>
        <v>29.940758333333335</v>
      </c>
      <c r="E159">
        <f t="shared" si="28"/>
        <v>29.866553333333336</v>
      </c>
      <c r="F159">
        <f t="shared" si="28"/>
        <v>29.792348333333337</v>
      </c>
      <c r="G159">
        <f t="shared" si="28"/>
        <v>29.718143333333337</v>
      </c>
      <c r="H159">
        <f t="shared" si="28"/>
        <v>29.643938333333338</v>
      </c>
      <c r="I159">
        <f t="shared" si="28"/>
        <v>29.569733333333335</v>
      </c>
      <c r="J159">
        <f t="shared" si="28"/>
        <v>29.495528333333336</v>
      </c>
      <c r="K159">
        <f t="shared" si="28"/>
        <v>29.421323333333337</v>
      </c>
      <c r="L159">
        <f t="shared" si="28"/>
        <v>29.347118333333338</v>
      </c>
      <c r="M159">
        <f t="shared" si="28"/>
        <v>29.272913333333335</v>
      </c>
      <c r="N159">
        <f t="shared" si="28"/>
        <v>29.198708333333336</v>
      </c>
      <c r="O159">
        <f t="shared" si="28"/>
        <v>29.124503333333337</v>
      </c>
      <c r="P159">
        <f t="shared" si="28"/>
        <v>29.050298333333338</v>
      </c>
      <c r="Q159">
        <f t="shared" si="28"/>
        <v>28.976093333333338</v>
      </c>
      <c r="R159">
        <f t="shared" si="28"/>
        <v>28.901888333333336</v>
      </c>
      <c r="S159">
        <f t="shared" si="28"/>
        <v>28.827683333333336</v>
      </c>
      <c r="T159">
        <f t="shared" si="28"/>
        <v>28.753478333333337</v>
      </c>
      <c r="U159">
        <f t="shared" si="26"/>
        <v>28.679273333333335</v>
      </c>
      <c r="V159">
        <f t="shared" si="26"/>
        <v>28.605068333333335</v>
      </c>
      <c r="W159">
        <f t="shared" si="26"/>
        <v>28.530863333333336</v>
      </c>
      <c r="X159">
        <f t="shared" si="26"/>
        <v>28.456658333333337</v>
      </c>
      <c r="Y159">
        <f t="shared" si="26"/>
        <v>28.382453333333338</v>
      </c>
      <c r="Z159">
        <f t="shared" si="26"/>
        <v>28.308248333333335</v>
      </c>
      <c r="AA159">
        <f t="shared" si="26"/>
        <v>28.234043333333336</v>
      </c>
      <c r="AB159">
        <f t="shared" si="26"/>
        <v>28.159838333333337</v>
      </c>
      <c r="AC159">
        <f t="shared" si="26"/>
        <v>28.085633333333334</v>
      </c>
      <c r="AD159">
        <f t="shared" si="26"/>
        <v>26.749943333333338</v>
      </c>
    </row>
    <row r="160" spans="2:30" x14ac:dyDescent="0.2">
      <c r="B160" s="7">
        <v>44729</v>
      </c>
      <c r="C160" s="8">
        <v>27.625694444444445</v>
      </c>
      <c r="D160">
        <f t="shared" si="25"/>
        <v>30.901869444444444</v>
      </c>
      <c r="E160">
        <f t="shared" si="28"/>
        <v>30.827664444444444</v>
      </c>
      <c r="F160">
        <f t="shared" si="28"/>
        <v>30.753459444444445</v>
      </c>
      <c r="G160">
        <f t="shared" si="28"/>
        <v>30.679254444444446</v>
      </c>
      <c r="H160">
        <f t="shared" si="28"/>
        <v>30.605049444444447</v>
      </c>
      <c r="I160">
        <f t="shared" si="28"/>
        <v>30.530844444444444</v>
      </c>
      <c r="J160">
        <f t="shared" si="28"/>
        <v>30.456639444444445</v>
      </c>
      <c r="K160">
        <f t="shared" si="28"/>
        <v>30.382434444444446</v>
      </c>
      <c r="L160">
        <f t="shared" si="28"/>
        <v>30.308229444444446</v>
      </c>
      <c r="M160">
        <f t="shared" si="28"/>
        <v>30.234024444444444</v>
      </c>
      <c r="N160">
        <f t="shared" si="28"/>
        <v>30.159819444444445</v>
      </c>
      <c r="O160">
        <f t="shared" si="28"/>
        <v>30.085614444444445</v>
      </c>
      <c r="P160">
        <f t="shared" si="28"/>
        <v>30.011409444444446</v>
      </c>
      <c r="Q160">
        <f t="shared" si="28"/>
        <v>29.937204444444447</v>
      </c>
      <c r="R160">
        <f t="shared" si="28"/>
        <v>29.862999444444444</v>
      </c>
      <c r="S160">
        <f t="shared" si="28"/>
        <v>29.788794444444445</v>
      </c>
      <c r="T160">
        <f t="shared" si="28"/>
        <v>29.714589444444446</v>
      </c>
      <c r="U160">
        <f t="shared" si="26"/>
        <v>29.640384444444443</v>
      </c>
      <c r="V160">
        <f t="shared" si="26"/>
        <v>29.566179444444444</v>
      </c>
      <c r="W160">
        <f t="shared" si="26"/>
        <v>29.491974444444445</v>
      </c>
      <c r="X160">
        <f t="shared" si="26"/>
        <v>29.417769444444446</v>
      </c>
      <c r="Y160">
        <f t="shared" si="26"/>
        <v>29.343564444444446</v>
      </c>
      <c r="Z160">
        <f t="shared" si="26"/>
        <v>29.269359444444444</v>
      </c>
      <c r="AA160">
        <f t="shared" si="26"/>
        <v>29.195154444444444</v>
      </c>
      <c r="AB160">
        <f t="shared" si="26"/>
        <v>29.120949444444445</v>
      </c>
      <c r="AC160">
        <f t="shared" si="26"/>
        <v>29.046744444444442</v>
      </c>
      <c r="AD160">
        <f t="shared" si="26"/>
        <v>27.711054444444446</v>
      </c>
    </row>
    <row r="161" spans="2:30" x14ac:dyDescent="0.2">
      <c r="B161" s="7">
        <v>44730</v>
      </c>
      <c r="C161" s="8">
        <v>27.495833333333334</v>
      </c>
      <c r="D161">
        <f t="shared" si="25"/>
        <v>30.772008333333332</v>
      </c>
      <c r="E161">
        <f t="shared" si="28"/>
        <v>30.697803333333333</v>
      </c>
      <c r="F161">
        <f t="shared" si="28"/>
        <v>30.623598333333334</v>
      </c>
      <c r="G161">
        <f t="shared" si="28"/>
        <v>30.549393333333335</v>
      </c>
      <c r="H161">
        <f t="shared" si="28"/>
        <v>30.475188333333335</v>
      </c>
      <c r="I161">
        <f t="shared" si="28"/>
        <v>30.400983333333333</v>
      </c>
      <c r="J161">
        <f t="shared" si="28"/>
        <v>30.326778333333333</v>
      </c>
      <c r="K161">
        <f t="shared" si="28"/>
        <v>30.252573333333334</v>
      </c>
      <c r="L161">
        <f t="shared" si="28"/>
        <v>30.178368333333335</v>
      </c>
      <c r="M161">
        <f t="shared" si="28"/>
        <v>30.104163333333332</v>
      </c>
      <c r="N161">
        <f t="shared" si="28"/>
        <v>30.029958333333333</v>
      </c>
      <c r="O161">
        <f t="shared" si="28"/>
        <v>29.955753333333334</v>
      </c>
      <c r="P161">
        <f t="shared" si="28"/>
        <v>29.881548333333335</v>
      </c>
      <c r="Q161">
        <f t="shared" si="28"/>
        <v>29.807343333333336</v>
      </c>
      <c r="R161">
        <f t="shared" si="28"/>
        <v>29.733138333333333</v>
      </c>
      <c r="S161">
        <f t="shared" si="28"/>
        <v>29.658933333333334</v>
      </c>
      <c r="T161">
        <f t="shared" si="28"/>
        <v>29.584728333333334</v>
      </c>
      <c r="U161">
        <f t="shared" si="26"/>
        <v>29.510523333333332</v>
      </c>
      <c r="V161">
        <f t="shared" si="26"/>
        <v>29.436318333333332</v>
      </c>
      <c r="W161">
        <f t="shared" si="26"/>
        <v>29.362113333333333</v>
      </c>
      <c r="X161">
        <f t="shared" si="26"/>
        <v>29.287908333333334</v>
      </c>
      <c r="Y161">
        <f t="shared" si="26"/>
        <v>29.213703333333335</v>
      </c>
      <c r="Z161">
        <f t="shared" si="26"/>
        <v>29.139498333333332</v>
      </c>
      <c r="AA161">
        <f t="shared" si="26"/>
        <v>29.065293333333333</v>
      </c>
      <c r="AB161">
        <f t="shared" si="26"/>
        <v>28.991088333333334</v>
      </c>
      <c r="AC161">
        <f t="shared" si="26"/>
        <v>28.916883333333331</v>
      </c>
      <c r="AD161">
        <f t="shared" si="26"/>
        <v>27.581193333333335</v>
      </c>
    </row>
    <row r="162" spans="2:30" x14ac:dyDescent="0.2">
      <c r="B162" s="7">
        <v>44731</v>
      </c>
      <c r="C162" s="8">
        <v>22.268750000000015</v>
      </c>
      <c r="D162">
        <f t="shared" si="25"/>
        <v>25.544925000000013</v>
      </c>
      <c r="E162">
        <f t="shared" si="28"/>
        <v>25.470720000000014</v>
      </c>
      <c r="F162">
        <f t="shared" si="28"/>
        <v>25.396515000000015</v>
      </c>
      <c r="G162">
        <f t="shared" si="28"/>
        <v>25.322310000000016</v>
      </c>
      <c r="H162">
        <f t="shared" si="28"/>
        <v>25.248105000000017</v>
      </c>
      <c r="I162">
        <f t="shared" si="28"/>
        <v>25.173900000000014</v>
      </c>
      <c r="J162">
        <f t="shared" si="28"/>
        <v>25.099695000000015</v>
      </c>
      <c r="K162">
        <f t="shared" si="28"/>
        <v>25.025490000000016</v>
      </c>
      <c r="L162">
        <f t="shared" si="28"/>
        <v>24.951285000000016</v>
      </c>
      <c r="M162">
        <f t="shared" si="28"/>
        <v>24.877080000000014</v>
      </c>
      <c r="N162">
        <f t="shared" si="28"/>
        <v>24.802875000000014</v>
      </c>
      <c r="O162">
        <f t="shared" si="28"/>
        <v>24.728670000000015</v>
      </c>
      <c r="P162">
        <f t="shared" si="28"/>
        <v>24.654465000000016</v>
      </c>
      <c r="Q162">
        <f t="shared" si="28"/>
        <v>24.580260000000017</v>
      </c>
      <c r="R162">
        <f t="shared" si="28"/>
        <v>24.506055000000014</v>
      </c>
      <c r="S162">
        <f t="shared" si="28"/>
        <v>24.431850000000015</v>
      </c>
      <c r="T162">
        <f t="shared" si="28"/>
        <v>24.357645000000016</v>
      </c>
      <c r="U162">
        <f t="shared" si="26"/>
        <v>24.283440000000013</v>
      </c>
      <c r="V162">
        <f t="shared" si="26"/>
        <v>24.209235000000014</v>
      </c>
      <c r="W162">
        <f t="shared" si="26"/>
        <v>24.135030000000015</v>
      </c>
      <c r="X162">
        <f t="shared" si="26"/>
        <v>24.060825000000015</v>
      </c>
      <c r="Y162">
        <f t="shared" si="26"/>
        <v>23.986620000000016</v>
      </c>
      <c r="Z162">
        <f t="shared" si="26"/>
        <v>23.912415000000014</v>
      </c>
      <c r="AA162">
        <f t="shared" si="26"/>
        <v>23.838210000000014</v>
      </c>
      <c r="AB162">
        <f t="shared" si="26"/>
        <v>23.764005000000015</v>
      </c>
      <c r="AC162">
        <f t="shared" si="26"/>
        <v>23.689800000000012</v>
      </c>
      <c r="AD162">
        <f t="shared" si="26"/>
        <v>22.354110000000016</v>
      </c>
    </row>
    <row r="163" spans="2:30" x14ac:dyDescent="0.2">
      <c r="B163" s="7">
        <v>44732</v>
      </c>
      <c r="C163" s="8">
        <v>22.583333333333329</v>
      </c>
      <c r="D163">
        <f t="shared" si="25"/>
        <v>25.859508333333331</v>
      </c>
      <c r="E163">
        <f t="shared" si="28"/>
        <v>25.785303333333328</v>
      </c>
      <c r="F163">
        <f t="shared" si="28"/>
        <v>25.711098333333329</v>
      </c>
      <c r="G163">
        <f t="shared" si="28"/>
        <v>25.63689333333333</v>
      </c>
      <c r="H163">
        <f t="shared" si="28"/>
        <v>25.56268833333333</v>
      </c>
      <c r="I163">
        <f t="shared" si="28"/>
        <v>25.488483333333328</v>
      </c>
      <c r="J163">
        <f t="shared" si="28"/>
        <v>25.414278333333328</v>
      </c>
      <c r="K163">
        <f t="shared" si="28"/>
        <v>25.340073333333329</v>
      </c>
      <c r="L163">
        <f t="shared" si="28"/>
        <v>25.26586833333333</v>
      </c>
      <c r="M163">
        <f t="shared" si="28"/>
        <v>25.191663333333327</v>
      </c>
      <c r="N163">
        <f t="shared" si="28"/>
        <v>25.117458333333328</v>
      </c>
      <c r="O163">
        <f t="shared" si="28"/>
        <v>25.043253333333329</v>
      </c>
      <c r="P163">
        <f t="shared" si="28"/>
        <v>24.96904833333333</v>
      </c>
      <c r="Q163">
        <f t="shared" si="28"/>
        <v>24.894843333333327</v>
      </c>
      <c r="R163">
        <f t="shared" si="28"/>
        <v>24.820638333333328</v>
      </c>
      <c r="S163">
        <f t="shared" si="28"/>
        <v>24.746433333333329</v>
      </c>
      <c r="T163">
        <f t="shared" si="28"/>
        <v>24.672228333333329</v>
      </c>
      <c r="U163">
        <f t="shared" si="26"/>
        <v>24.59802333333333</v>
      </c>
      <c r="V163">
        <f t="shared" si="26"/>
        <v>24.523818333333328</v>
      </c>
      <c r="W163">
        <f t="shared" si="26"/>
        <v>24.449613333333328</v>
      </c>
      <c r="X163">
        <f t="shared" si="26"/>
        <v>24.375408333333329</v>
      </c>
      <c r="Y163">
        <f t="shared" si="26"/>
        <v>24.301203333333326</v>
      </c>
      <c r="Z163">
        <f t="shared" si="26"/>
        <v>24.226998333333327</v>
      </c>
      <c r="AA163">
        <f t="shared" si="26"/>
        <v>24.152793333333328</v>
      </c>
      <c r="AB163">
        <f t="shared" si="26"/>
        <v>24.078588333333329</v>
      </c>
      <c r="AC163">
        <f t="shared" si="26"/>
        <v>24.00438333333333</v>
      </c>
      <c r="AD163">
        <f t="shared" si="26"/>
        <v>22.66869333333333</v>
      </c>
    </row>
    <row r="164" spans="2:30" x14ac:dyDescent="0.2">
      <c r="B164" s="7">
        <v>44733</v>
      </c>
      <c r="C164" s="8">
        <v>23.896527777777774</v>
      </c>
      <c r="D164">
        <f t="shared" si="25"/>
        <v>27.172702777777772</v>
      </c>
      <c r="E164">
        <f t="shared" si="28"/>
        <v>27.098497777777773</v>
      </c>
      <c r="F164">
        <f t="shared" si="28"/>
        <v>27.024292777777774</v>
      </c>
      <c r="G164">
        <f t="shared" si="28"/>
        <v>26.950087777777775</v>
      </c>
      <c r="H164">
        <f t="shared" si="28"/>
        <v>26.875882777777775</v>
      </c>
      <c r="I164">
        <f t="shared" si="28"/>
        <v>26.801677777777773</v>
      </c>
      <c r="J164">
        <f t="shared" si="28"/>
        <v>26.727472777777773</v>
      </c>
      <c r="K164">
        <f t="shared" si="28"/>
        <v>26.653267777777774</v>
      </c>
      <c r="L164">
        <f t="shared" si="28"/>
        <v>26.579062777777775</v>
      </c>
      <c r="M164">
        <f t="shared" si="28"/>
        <v>26.504857777777772</v>
      </c>
      <c r="N164">
        <f t="shared" si="28"/>
        <v>26.430652777777773</v>
      </c>
      <c r="O164">
        <f t="shared" si="28"/>
        <v>26.356447777777774</v>
      </c>
      <c r="P164">
        <f t="shared" si="28"/>
        <v>26.282242777777775</v>
      </c>
      <c r="Q164">
        <f t="shared" si="28"/>
        <v>26.208037777777776</v>
      </c>
      <c r="R164">
        <f t="shared" si="28"/>
        <v>26.133832777777773</v>
      </c>
      <c r="S164">
        <f t="shared" si="28"/>
        <v>26.059627777777774</v>
      </c>
      <c r="T164">
        <f t="shared" ref="T164" si="29">(-1.4841*T$3+3.6472)+$C164</f>
        <v>25.985422777777774</v>
      </c>
      <c r="U164">
        <f t="shared" si="26"/>
        <v>25.911217777777772</v>
      </c>
      <c r="V164">
        <f t="shared" si="26"/>
        <v>25.837012777777772</v>
      </c>
      <c r="W164">
        <f t="shared" si="26"/>
        <v>25.762807777777773</v>
      </c>
      <c r="X164">
        <f t="shared" si="26"/>
        <v>25.688602777777774</v>
      </c>
      <c r="Y164">
        <f t="shared" si="26"/>
        <v>25.614397777777775</v>
      </c>
      <c r="Z164">
        <f t="shared" si="26"/>
        <v>25.540192777777772</v>
      </c>
      <c r="AA164">
        <f t="shared" si="26"/>
        <v>25.465987777777773</v>
      </c>
      <c r="AB164">
        <f t="shared" si="26"/>
        <v>25.391782777777774</v>
      </c>
      <c r="AC164">
        <f t="shared" si="26"/>
        <v>25.317577777777771</v>
      </c>
      <c r="AD164">
        <f t="shared" si="26"/>
        <v>23.981887777777775</v>
      </c>
    </row>
    <row r="165" spans="2:30" x14ac:dyDescent="0.2">
      <c r="B165" s="7">
        <v>44734</v>
      </c>
      <c r="C165" s="8">
        <v>25.572916666666675</v>
      </c>
      <c r="D165">
        <f t="shared" si="25"/>
        <v>28.849091666666673</v>
      </c>
      <c r="E165">
        <f t="shared" ref="E165:T180" si="30">(-1.4841*E$3+3.6472)+$C165</f>
        <v>28.774886666666674</v>
      </c>
      <c r="F165">
        <f t="shared" si="30"/>
        <v>28.700681666666675</v>
      </c>
      <c r="G165">
        <f t="shared" si="30"/>
        <v>28.626476666666676</v>
      </c>
      <c r="H165">
        <f t="shared" si="30"/>
        <v>28.552271666666677</v>
      </c>
      <c r="I165">
        <f t="shared" si="30"/>
        <v>28.478066666666674</v>
      </c>
      <c r="J165">
        <f t="shared" si="30"/>
        <v>28.403861666666675</v>
      </c>
      <c r="K165">
        <f t="shared" si="30"/>
        <v>28.329656666666676</v>
      </c>
      <c r="L165">
        <f t="shared" si="30"/>
        <v>28.255451666666676</v>
      </c>
      <c r="M165">
        <f t="shared" si="30"/>
        <v>28.181246666666674</v>
      </c>
      <c r="N165">
        <f t="shared" si="30"/>
        <v>28.107041666666674</v>
      </c>
      <c r="O165">
        <f t="shared" si="30"/>
        <v>28.032836666666675</v>
      </c>
      <c r="P165">
        <f t="shared" si="30"/>
        <v>27.958631666666676</v>
      </c>
      <c r="Q165">
        <f t="shared" si="30"/>
        <v>27.884426666666677</v>
      </c>
      <c r="R165">
        <f t="shared" si="30"/>
        <v>27.810221666666674</v>
      </c>
      <c r="S165">
        <f t="shared" si="30"/>
        <v>27.736016666666675</v>
      </c>
      <c r="T165">
        <f t="shared" si="30"/>
        <v>27.661811666666676</v>
      </c>
      <c r="U165">
        <f t="shared" si="26"/>
        <v>27.587606666666673</v>
      </c>
      <c r="V165">
        <f t="shared" si="26"/>
        <v>27.513401666666674</v>
      </c>
      <c r="W165">
        <f t="shared" si="26"/>
        <v>27.439196666666675</v>
      </c>
      <c r="X165">
        <f t="shared" si="26"/>
        <v>27.364991666666675</v>
      </c>
      <c r="Y165">
        <f t="shared" si="26"/>
        <v>27.290786666666676</v>
      </c>
      <c r="Z165">
        <f t="shared" si="26"/>
        <v>27.216581666666674</v>
      </c>
      <c r="AA165">
        <f t="shared" si="26"/>
        <v>27.142376666666674</v>
      </c>
      <c r="AB165">
        <f t="shared" si="26"/>
        <v>27.068171666666675</v>
      </c>
      <c r="AC165">
        <f t="shared" si="26"/>
        <v>26.993966666666672</v>
      </c>
      <c r="AD165">
        <f t="shared" si="26"/>
        <v>25.658276666666676</v>
      </c>
    </row>
    <row r="166" spans="2:30" x14ac:dyDescent="0.2">
      <c r="B166" s="7">
        <v>44735</v>
      </c>
      <c r="C166" s="8">
        <v>27.13055555555556</v>
      </c>
      <c r="D166">
        <f t="shared" si="25"/>
        <v>30.406730555555562</v>
      </c>
      <c r="E166">
        <f t="shared" si="30"/>
        <v>30.332525555555559</v>
      </c>
      <c r="F166">
        <f t="shared" si="30"/>
        <v>30.25832055555556</v>
      </c>
      <c r="G166">
        <f t="shared" si="30"/>
        <v>30.184115555555561</v>
      </c>
      <c r="H166">
        <f t="shared" si="30"/>
        <v>30.109910555555562</v>
      </c>
      <c r="I166">
        <f t="shared" si="30"/>
        <v>30.035705555555559</v>
      </c>
      <c r="J166">
        <f t="shared" si="30"/>
        <v>29.96150055555556</v>
      </c>
      <c r="K166">
        <f t="shared" si="30"/>
        <v>29.887295555555561</v>
      </c>
      <c r="L166">
        <f t="shared" si="30"/>
        <v>29.813090555555561</v>
      </c>
      <c r="M166">
        <f t="shared" si="30"/>
        <v>29.738885555555559</v>
      </c>
      <c r="N166">
        <f t="shared" si="30"/>
        <v>29.664680555555559</v>
      </c>
      <c r="O166">
        <f t="shared" si="30"/>
        <v>29.59047555555556</v>
      </c>
      <c r="P166">
        <f t="shared" si="30"/>
        <v>29.516270555555561</v>
      </c>
      <c r="Q166">
        <f t="shared" si="30"/>
        <v>29.442065555555558</v>
      </c>
      <c r="R166">
        <f t="shared" si="30"/>
        <v>29.367860555555559</v>
      </c>
      <c r="S166">
        <f t="shared" si="30"/>
        <v>29.29365555555556</v>
      </c>
      <c r="T166">
        <f t="shared" si="30"/>
        <v>29.219450555555561</v>
      </c>
      <c r="U166">
        <f t="shared" si="26"/>
        <v>29.145245555555562</v>
      </c>
      <c r="V166">
        <f t="shared" si="26"/>
        <v>29.071040555555559</v>
      </c>
      <c r="W166">
        <f t="shared" si="26"/>
        <v>28.99683555555556</v>
      </c>
      <c r="X166">
        <f t="shared" si="26"/>
        <v>28.922630555555561</v>
      </c>
      <c r="Y166">
        <f t="shared" si="26"/>
        <v>28.848425555555558</v>
      </c>
      <c r="Z166">
        <f t="shared" si="26"/>
        <v>28.774220555555559</v>
      </c>
      <c r="AA166">
        <f t="shared" si="26"/>
        <v>28.700015555555559</v>
      </c>
      <c r="AB166">
        <f t="shared" si="26"/>
        <v>28.62581055555556</v>
      </c>
      <c r="AC166">
        <f t="shared" si="26"/>
        <v>28.551605555555561</v>
      </c>
      <c r="AD166">
        <f t="shared" si="26"/>
        <v>27.215915555555561</v>
      </c>
    </row>
    <row r="167" spans="2:30" x14ac:dyDescent="0.2">
      <c r="B167" s="7">
        <v>44736</v>
      </c>
      <c r="C167" s="8">
        <v>27.581250000000011</v>
      </c>
      <c r="D167">
        <f t="shared" si="25"/>
        <v>30.857425000000013</v>
      </c>
      <c r="E167">
        <f t="shared" si="30"/>
        <v>30.783220000000011</v>
      </c>
      <c r="F167">
        <f t="shared" si="30"/>
        <v>30.709015000000011</v>
      </c>
      <c r="G167">
        <f t="shared" si="30"/>
        <v>30.634810000000012</v>
      </c>
      <c r="H167">
        <f t="shared" si="30"/>
        <v>30.560605000000013</v>
      </c>
      <c r="I167">
        <f t="shared" si="30"/>
        <v>30.48640000000001</v>
      </c>
      <c r="J167">
        <f t="shared" si="30"/>
        <v>30.412195000000011</v>
      </c>
      <c r="K167">
        <f t="shared" si="30"/>
        <v>30.337990000000012</v>
      </c>
      <c r="L167">
        <f t="shared" si="30"/>
        <v>30.263785000000013</v>
      </c>
      <c r="M167">
        <f t="shared" si="30"/>
        <v>30.18958000000001</v>
      </c>
      <c r="N167">
        <f t="shared" si="30"/>
        <v>30.115375000000011</v>
      </c>
      <c r="O167">
        <f t="shared" si="30"/>
        <v>30.041170000000012</v>
      </c>
      <c r="P167">
        <f t="shared" si="30"/>
        <v>29.966965000000013</v>
      </c>
      <c r="Q167">
        <f t="shared" si="30"/>
        <v>29.89276000000001</v>
      </c>
      <c r="R167">
        <f t="shared" si="30"/>
        <v>29.818555000000011</v>
      </c>
      <c r="S167">
        <f t="shared" si="30"/>
        <v>29.744350000000011</v>
      </c>
      <c r="T167">
        <f t="shared" si="30"/>
        <v>29.670145000000012</v>
      </c>
      <c r="U167">
        <f t="shared" si="26"/>
        <v>29.595940000000013</v>
      </c>
      <c r="V167">
        <f t="shared" si="26"/>
        <v>29.52173500000001</v>
      </c>
      <c r="W167">
        <f t="shared" si="26"/>
        <v>29.447530000000011</v>
      </c>
      <c r="X167">
        <f t="shared" si="26"/>
        <v>29.373325000000012</v>
      </c>
      <c r="Y167">
        <f t="shared" si="26"/>
        <v>29.299120000000009</v>
      </c>
      <c r="Z167">
        <f t="shared" ref="U167:AD192" si="31">(-1.4841*Z$3+3.6472)+$C167</f>
        <v>29.22491500000001</v>
      </c>
      <c r="AA167">
        <f t="shared" si="31"/>
        <v>29.150710000000011</v>
      </c>
      <c r="AB167">
        <f t="shared" si="31"/>
        <v>29.076505000000012</v>
      </c>
      <c r="AC167">
        <f t="shared" si="31"/>
        <v>29.002300000000012</v>
      </c>
      <c r="AD167">
        <f t="shared" si="31"/>
        <v>27.666610000000013</v>
      </c>
    </row>
    <row r="168" spans="2:30" x14ac:dyDescent="0.2">
      <c r="B168" s="7">
        <v>44737</v>
      </c>
      <c r="C168" s="8">
        <v>25.749305555555555</v>
      </c>
      <c r="D168">
        <f t="shared" si="25"/>
        <v>29.025480555555554</v>
      </c>
      <c r="E168">
        <f t="shared" si="30"/>
        <v>28.951275555555554</v>
      </c>
      <c r="F168">
        <f t="shared" si="30"/>
        <v>28.877070555555555</v>
      </c>
      <c r="G168">
        <f t="shared" si="30"/>
        <v>28.802865555555556</v>
      </c>
      <c r="H168">
        <f t="shared" si="30"/>
        <v>28.728660555555557</v>
      </c>
      <c r="I168">
        <f t="shared" si="30"/>
        <v>28.654455555555554</v>
      </c>
      <c r="J168">
        <f t="shared" si="30"/>
        <v>28.580250555555555</v>
      </c>
      <c r="K168">
        <f t="shared" si="30"/>
        <v>28.506045555555556</v>
      </c>
      <c r="L168">
        <f t="shared" si="30"/>
        <v>28.431840555555556</v>
      </c>
      <c r="M168">
        <f t="shared" si="30"/>
        <v>28.357635555555554</v>
      </c>
      <c r="N168">
        <f t="shared" si="30"/>
        <v>28.283430555555555</v>
      </c>
      <c r="O168">
        <f t="shared" si="30"/>
        <v>28.209225555555555</v>
      </c>
      <c r="P168">
        <f t="shared" si="30"/>
        <v>28.135020555555556</v>
      </c>
      <c r="Q168">
        <f t="shared" si="30"/>
        <v>28.060815555555557</v>
      </c>
      <c r="R168">
        <f t="shared" si="30"/>
        <v>27.986610555555554</v>
      </c>
      <c r="S168">
        <f t="shared" si="30"/>
        <v>27.912405555555555</v>
      </c>
      <c r="T168">
        <f t="shared" si="30"/>
        <v>27.838200555555556</v>
      </c>
      <c r="U168">
        <f t="shared" si="31"/>
        <v>27.763995555555553</v>
      </c>
      <c r="V168">
        <f t="shared" si="31"/>
        <v>27.689790555555554</v>
      </c>
      <c r="W168">
        <f t="shared" si="31"/>
        <v>27.615585555555555</v>
      </c>
      <c r="X168">
        <f t="shared" si="31"/>
        <v>27.541380555555556</v>
      </c>
      <c r="Y168">
        <f t="shared" si="31"/>
        <v>27.467175555555556</v>
      </c>
      <c r="Z168">
        <f t="shared" si="31"/>
        <v>27.392970555555554</v>
      </c>
      <c r="AA168">
        <f t="shared" si="31"/>
        <v>27.318765555555554</v>
      </c>
      <c r="AB168">
        <f t="shared" si="31"/>
        <v>27.244560555555555</v>
      </c>
      <c r="AC168">
        <f t="shared" si="31"/>
        <v>27.170355555555552</v>
      </c>
      <c r="AD168">
        <f t="shared" si="31"/>
        <v>25.834665555555556</v>
      </c>
    </row>
    <row r="169" spans="2:30" x14ac:dyDescent="0.2">
      <c r="B169" s="7">
        <v>44738</v>
      </c>
      <c r="C169" s="8">
        <v>25.422222222222214</v>
      </c>
      <c r="D169">
        <f t="shared" si="25"/>
        <v>28.698397222222212</v>
      </c>
      <c r="E169">
        <f t="shared" si="30"/>
        <v>28.624192222222213</v>
      </c>
      <c r="F169">
        <f t="shared" si="30"/>
        <v>28.549987222222214</v>
      </c>
      <c r="G169">
        <f t="shared" si="30"/>
        <v>28.475782222222215</v>
      </c>
      <c r="H169">
        <f t="shared" si="30"/>
        <v>28.401577222222215</v>
      </c>
      <c r="I169">
        <f t="shared" si="30"/>
        <v>28.327372222222213</v>
      </c>
      <c r="J169">
        <f t="shared" si="30"/>
        <v>28.253167222222213</v>
      </c>
      <c r="K169">
        <f t="shared" si="30"/>
        <v>28.178962222222214</v>
      </c>
      <c r="L169">
        <f t="shared" si="30"/>
        <v>28.104757222222215</v>
      </c>
      <c r="M169">
        <f t="shared" si="30"/>
        <v>28.030552222222212</v>
      </c>
      <c r="N169">
        <f t="shared" si="30"/>
        <v>27.956347222222213</v>
      </c>
      <c r="O169">
        <f t="shared" si="30"/>
        <v>27.882142222222214</v>
      </c>
      <c r="P169">
        <f t="shared" si="30"/>
        <v>27.807937222222215</v>
      </c>
      <c r="Q169">
        <f t="shared" si="30"/>
        <v>27.733732222222216</v>
      </c>
      <c r="R169">
        <f t="shared" si="30"/>
        <v>27.659527222222213</v>
      </c>
      <c r="S169">
        <f t="shared" si="30"/>
        <v>27.585322222222214</v>
      </c>
      <c r="T169">
        <f t="shared" si="30"/>
        <v>27.511117222222214</v>
      </c>
      <c r="U169">
        <f t="shared" si="31"/>
        <v>27.436912222222212</v>
      </c>
      <c r="V169">
        <f t="shared" si="31"/>
        <v>27.362707222222213</v>
      </c>
      <c r="W169">
        <f t="shared" si="31"/>
        <v>27.288502222222213</v>
      </c>
      <c r="X169">
        <f t="shared" si="31"/>
        <v>27.214297222222214</v>
      </c>
      <c r="Y169">
        <f t="shared" si="31"/>
        <v>27.140092222222215</v>
      </c>
      <c r="Z169">
        <f t="shared" si="31"/>
        <v>27.065887222222212</v>
      </c>
      <c r="AA169">
        <f t="shared" si="31"/>
        <v>26.991682222222213</v>
      </c>
      <c r="AB169">
        <f t="shared" si="31"/>
        <v>26.917477222222214</v>
      </c>
      <c r="AC169">
        <f t="shared" si="31"/>
        <v>26.843272222222211</v>
      </c>
      <c r="AD169">
        <f t="shared" si="31"/>
        <v>25.507582222222215</v>
      </c>
    </row>
    <row r="170" spans="2:30" x14ac:dyDescent="0.2">
      <c r="B170" s="7">
        <v>44739</v>
      </c>
      <c r="C170" s="8">
        <v>23.981249999999996</v>
      </c>
      <c r="D170">
        <f t="shared" si="25"/>
        <v>27.257424999999998</v>
      </c>
      <c r="E170">
        <f t="shared" si="30"/>
        <v>27.183219999999995</v>
      </c>
      <c r="F170">
        <f t="shared" si="30"/>
        <v>27.109014999999996</v>
      </c>
      <c r="G170">
        <f t="shared" si="30"/>
        <v>27.034809999999997</v>
      </c>
      <c r="H170">
        <f t="shared" si="30"/>
        <v>26.960604999999997</v>
      </c>
      <c r="I170">
        <f t="shared" si="30"/>
        <v>26.886399999999995</v>
      </c>
      <c r="J170">
        <f t="shared" si="30"/>
        <v>26.812194999999996</v>
      </c>
      <c r="K170">
        <f t="shared" si="30"/>
        <v>26.737989999999996</v>
      </c>
      <c r="L170">
        <f t="shared" si="30"/>
        <v>26.663784999999997</v>
      </c>
      <c r="M170">
        <f t="shared" si="30"/>
        <v>26.589579999999994</v>
      </c>
      <c r="N170">
        <f t="shared" si="30"/>
        <v>26.515374999999995</v>
      </c>
      <c r="O170">
        <f t="shared" si="30"/>
        <v>26.441169999999996</v>
      </c>
      <c r="P170">
        <f t="shared" si="30"/>
        <v>26.366964999999997</v>
      </c>
      <c r="Q170">
        <f t="shared" si="30"/>
        <v>26.292759999999994</v>
      </c>
      <c r="R170">
        <f t="shared" si="30"/>
        <v>26.218554999999995</v>
      </c>
      <c r="S170">
        <f t="shared" si="30"/>
        <v>26.144349999999996</v>
      </c>
      <c r="T170">
        <f t="shared" si="30"/>
        <v>26.070144999999997</v>
      </c>
      <c r="U170">
        <f t="shared" si="31"/>
        <v>25.995939999999997</v>
      </c>
      <c r="V170">
        <f t="shared" si="31"/>
        <v>25.921734999999995</v>
      </c>
      <c r="W170">
        <f t="shared" si="31"/>
        <v>25.847529999999995</v>
      </c>
      <c r="X170">
        <f t="shared" si="31"/>
        <v>25.773324999999996</v>
      </c>
      <c r="Y170">
        <f t="shared" si="31"/>
        <v>25.699119999999994</v>
      </c>
      <c r="Z170">
        <f t="shared" si="31"/>
        <v>25.624914999999994</v>
      </c>
      <c r="AA170">
        <f t="shared" si="31"/>
        <v>25.550709999999995</v>
      </c>
      <c r="AB170">
        <f t="shared" si="31"/>
        <v>25.476504999999996</v>
      </c>
      <c r="AC170">
        <f t="shared" si="31"/>
        <v>25.402299999999997</v>
      </c>
      <c r="AD170">
        <f t="shared" si="31"/>
        <v>24.066609999999997</v>
      </c>
    </row>
    <row r="171" spans="2:30" x14ac:dyDescent="0.2">
      <c r="B171" s="7">
        <v>44740</v>
      </c>
      <c r="C171" s="8">
        <v>24.804166666666671</v>
      </c>
      <c r="D171">
        <f t="shared" si="25"/>
        <v>28.080341666666669</v>
      </c>
      <c r="E171">
        <f t="shared" si="30"/>
        <v>28.00613666666667</v>
      </c>
      <c r="F171">
        <f t="shared" si="30"/>
        <v>27.931931666666671</v>
      </c>
      <c r="G171">
        <f t="shared" si="30"/>
        <v>27.857726666666672</v>
      </c>
      <c r="H171">
        <f t="shared" si="30"/>
        <v>27.783521666666672</v>
      </c>
      <c r="I171">
        <f t="shared" si="30"/>
        <v>27.70931666666667</v>
      </c>
      <c r="J171">
        <f t="shared" si="30"/>
        <v>27.635111666666671</v>
      </c>
      <c r="K171">
        <f t="shared" si="30"/>
        <v>27.560906666666671</v>
      </c>
      <c r="L171">
        <f t="shared" si="30"/>
        <v>27.486701666666672</v>
      </c>
      <c r="M171">
        <f t="shared" si="30"/>
        <v>27.412496666666669</v>
      </c>
      <c r="N171">
        <f t="shared" si="30"/>
        <v>27.33829166666667</v>
      </c>
      <c r="O171">
        <f t="shared" si="30"/>
        <v>27.264086666666671</v>
      </c>
      <c r="P171">
        <f t="shared" si="30"/>
        <v>27.189881666666672</v>
      </c>
      <c r="Q171">
        <f t="shared" si="30"/>
        <v>27.115676666666673</v>
      </c>
      <c r="R171">
        <f t="shared" si="30"/>
        <v>27.04147166666667</v>
      </c>
      <c r="S171">
        <f t="shared" si="30"/>
        <v>26.967266666666671</v>
      </c>
      <c r="T171">
        <f t="shared" si="30"/>
        <v>26.893061666666672</v>
      </c>
      <c r="U171">
        <f t="shared" si="31"/>
        <v>26.818856666666669</v>
      </c>
      <c r="V171">
        <f t="shared" si="31"/>
        <v>26.74465166666667</v>
      </c>
      <c r="W171">
        <f t="shared" si="31"/>
        <v>26.67044666666667</v>
      </c>
      <c r="X171">
        <f t="shared" si="31"/>
        <v>26.596241666666671</v>
      </c>
      <c r="Y171">
        <f t="shared" si="31"/>
        <v>26.522036666666672</v>
      </c>
      <c r="Z171">
        <f t="shared" si="31"/>
        <v>26.447831666666669</v>
      </c>
      <c r="AA171">
        <f t="shared" si="31"/>
        <v>26.37362666666667</v>
      </c>
      <c r="AB171">
        <f t="shared" si="31"/>
        <v>26.299421666666671</v>
      </c>
      <c r="AC171">
        <f t="shared" si="31"/>
        <v>26.225216666666668</v>
      </c>
      <c r="AD171">
        <f t="shared" si="31"/>
        <v>24.889526666666672</v>
      </c>
    </row>
    <row r="172" spans="2:30" x14ac:dyDescent="0.2">
      <c r="B172" s="7">
        <v>44741</v>
      </c>
      <c r="C172" s="8">
        <v>26.608333333333334</v>
      </c>
      <c r="D172">
        <f t="shared" si="25"/>
        <v>29.884508333333336</v>
      </c>
      <c r="E172">
        <f t="shared" si="30"/>
        <v>29.810303333333334</v>
      </c>
      <c r="F172">
        <f t="shared" si="30"/>
        <v>29.736098333333334</v>
      </c>
      <c r="G172">
        <f t="shared" si="30"/>
        <v>29.661893333333335</v>
      </c>
      <c r="H172">
        <f t="shared" si="30"/>
        <v>29.587688333333336</v>
      </c>
      <c r="I172">
        <f t="shared" si="30"/>
        <v>29.513483333333333</v>
      </c>
      <c r="J172">
        <f t="shared" si="30"/>
        <v>29.439278333333334</v>
      </c>
      <c r="K172">
        <f t="shared" si="30"/>
        <v>29.365073333333335</v>
      </c>
      <c r="L172">
        <f t="shared" si="30"/>
        <v>29.290868333333336</v>
      </c>
      <c r="M172">
        <f t="shared" si="30"/>
        <v>29.216663333333333</v>
      </c>
      <c r="N172">
        <f t="shared" si="30"/>
        <v>29.142458333333334</v>
      </c>
      <c r="O172">
        <f t="shared" si="30"/>
        <v>29.068253333333335</v>
      </c>
      <c r="P172">
        <f t="shared" si="30"/>
        <v>28.994048333333335</v>
      </c>
      <c r="Q172">
        <f t="shared" si="30"/>
        <v>28.919843333333333</v>
      </c>
      <c r="R172">
        <f t="shared" si="30"/>
        <v>28.845638333333333</v>
      </c>
      <c r="S172">
        <f t="shared" si="30"/>
        <v>28.771433333333334</v>
      </c>
      <c r="T172">
        <f t="shared" si="30"/>
        <v>28.697228333333335</v>
      </c>
      <c r="U172">
        <f t="shared" si="31"/>
        <v>28.623023333333336</v>
      </c>
      <c r="V172">
        <f t="shared" si="31"/>
        <v>28.548818333333333</v>
      </c>
      <c r="W172">
        <f t="shared" si="31"/>
        <v>28.474613333333334</v>
      </c>
      <c r="X172">
        <f t="shared" si="31"/>
        <v>28.400408333333335</v>
      </c>
      <c r="Y172">
        <f t="shared" si="31"/>
        <v>28.326203333333332</v>
      </c>
      <c r="Z172">
        <f t="shared" si="31"/>
        <v>28.251998333333333</v>
      </c>
      <c r="AA172">
        <f t="shared" si="31"/>
        <v>28.177793333333334</v>
      </c>
      <c r="AB172">
        <f t="shared" si="31"/>
        <v>28.103588333333335</v>
      </c>
      <c r="AC172">
        <f t="shared" si="31"/>
        <v>28.029383333333335</v>
      </c>
      <c r="AD172">
        <f t="shared" si="31"/>
        <v>26.693693333333336</v>
      </c>
    </row>
    <row r="173" spans="2:30" x14ac:dyDescent="0.2">
      <c r="B173" s="7">
        <v>44742</v>
      </c>
      <c r="C173" s="8">
        <v>25.477777777777781</v>
      </c>
      <c r="D173">
        <f t="shared" si="25"/>
        <v>28.753952777777783</v>
      </c>
      <c r="E173">
        <f t="shared" si="30"/>
        <v>28.679747777777781</v>
      </c>
      <c r="F173">
        <f t="shared" si="30"/>
        <v>28.605542777777782</v>
      </c>
      <c r="G173">
        <f t="shared" si="30"/>
        <v>28.531337777777782</v>
      </c>
      <c r="H173">
        <f t="shared" si="30"/>
        <v>28.457132777777783</v>
      </c>
      <c r="I173">
        <f t="shared" si="30"/>
        <v>28.38292777777778</v>
      </c>
      <c r="J173">
        <f t="shared" si="30"/>
        <v>28.308722777777781</v>
      </c>
      <c r="K173">
        <f t="shared" si="30"/>
        <v>28.234517777777782</v>
      </c>
      <c r="L173">
        <f t="shared" si="30"/>
        <v>28.160312777777783</v>
      </c>
      <c r="M173">
        <f t="shared" si="30"/>
        <v>28.08610777777778</v>
      </c>
      <c r="N173">
        <f t="shared" si="30"/>
        <v>28.011902777777781</v>
      </c>
      <c r="O173">
        <f t="shared" si="30"/>
        <v>27.937697777777782</v>
      </c>
      <c r="P173">
        <f t="shared" si="30"/>
        <v>27.863492777777783</v>
      </c>
      <c r="Q173">
        <f t="shared" si="30"/>
        <v>27.78928777777778</v>
      </c>
      <c r="R173">
        <f t="shared" si="30"/>
        <v>27.715082777777781</v>
      </c>
      <c r="S173">
        <f t="shared" si="30"/>
        <v>27.640877777777781</v>
      </c>
      <c r="T173">
        <f t="shared" si="30"/>
        <v>27.566672777777782</v>
      </c>
      <c r="U173">
        <f t="shared" si="31"/>
        <v>27.492467777777783</v>
      </c>
      <c r="V173">
        <f t="shared" si="31"/>
        <v>27.41826277777778</v>
      </c>
      <c r="W173">
        <f t="shared" si="31"/>
        <v>27.344057777777781</v>
      </c>
      <c r="X173">
        <f t="shared" si="31"/>
        <v>27.269852777777782</v>
      </c>
      <c r="Y173">
        <f t="shared" si="31"/>
        <v>27.195647777777779</v>
      </c>
      <c r="Z173">
        <f t="shared" si="31"/>
        <v>27.12144277777778</v>
      </c>
      <c r="AA173">
        <f t="shared" si="31"/>
        <v>27.047237777777781</v>
      </c>
      <c r="AB173">
        <f t="shared" si="31"/>
        <v>26.973032777777782</v>
      </c>
      <c r="AC173">
        <f t="shared" si="31"/>
        <v>26.898827777777782</v>
      </c>
      <c r="AD173">
        <f t="shared" si="31"/>
        <v>25.563137777777783</v>
      </c>
    </row>
    <row r="174" spans="2:30" x14ac:dyDescent="0.2">
      <c r="B174" s="7">
        <v>44743</v>
      </c>
      <c r="C174" s="8">
        <v>23.643055555555545</v>
      </c>
      <c r="D174">
        <f t="shared" si="25"/>
        <v>26.919230555555544</v>
      </c>
      <c r="E174">
        <f t="shared" si="30"/>
        <v>26.845025555555544</v>
      </c>
      <c r="F174">
        <f t="shared" si="30"/>
        <v>26.770820555555545</v>
      </c>
      <c r="G174">
        <f t="shared" si="30"/>
        <v>26.696615555555546</v>
      </c>
      <c r="H174">
        <f t="shared" si="30"/>
        <v>26.622410555555547</v>
      </c>
      <c r="I174">
        <f t="shared" si="30"/>
        <v>26.548205555555544</v>
      </c>
      <c r="J174">
        <f t="shared" si="30"/>
        <v>26.474000555555545</v>
      </c>
      <c r="K174">
        <f t="shared" si="30"/>
        <v>26.399795555555546</v>
      </c>
      <c r="L174">
        <f t="shared" si="30"/>
        <v>26.325590555555547</v>
      </c>
      <c r="M174">
        <f t="shared" si="30"/>
        <v>26.251385555555544</v>
      </c>
      <c r="N174">
        <f t="shared" si="30"/>
        <v>26.177180555555545</v>
      </c>
      <c r="O174">
        <f t="shared" si="30"/>
        <v>26.102975555555545</v>
      </c>
      <c r="P174">
        <f t="shared" si="30"/>
        <v>26.028770555555546</v>
      </c>
      <c r="Q174">
        <f t="shared" si="30"/>
        <v>25.954565555555547</v>
      </c>
      <c r="R174">
        <f t="shared" si="30"/>
        <v>25.880360555555544</v>
      </c>
      <c r="S174">
        <f t="shared" si="30"/>
        <v>25.806155555555545</v>
      </c>
      <c r="T174">
        <f t="shared" si="30"/>
        <v>25.731950555555546</v>
      </c>
      <c r="U174">
        <f t="shared" si="31"/>
        <v>25.657745555555543</v>
      </c>
      <c r="V174">
        <f t="shared" si="31"/>
        <v>25.583540555555544</v>
      </c>
      <c r="W174">
        <f t="shared" si="31"/>
        <v>25.509335555555545</v>
      </c>
      <c r="X174">
        <f t="shared" si="31"/>
        <v>25.435130555555546</v>
      </c>
      <c r="Y174">
        <f t="shared" si="31"/>
        <v>25.360925555555546</v>
      </c>
      <c r="Z174">
        <f t="shared" si="31"/>
        <v>25.286720555555544</v>
      </c>
      <c r="AA174">
        <f t="shared" si="31"/>
        <v>25.212515555555544</v>
      </c>
      <c r="AB174">
        <f t="shared" si="31"/>
        <v>25.138310555555545</v>
      </c>
      <c r="AC174">
        <f t="shared" si="31"/>
        <v>25.064105555555543</v>
      </c>
      <c r="AD174">
        <f t="shared" si="31"/>
        <v>23.728415555555546</v>
      </c>
    </row>
    <row r="175" spans="2:30" x14ac:dyDescent="0.2">
      <c r="B175" s="7">
        <v>44744</v>
      </c>
      <c r="C175" s="8">
        <v>24.659027777777776</v>
      </c>
      <c r="D175">
        <f t="shared" si="25"/>
        <v>27.935202777777775</v>
      </c>
      <c r="E175">
        <f t="shared" si="30"/>
        <v>27.860997777777776</v>
      </c>
      <c r="F175">
        <f t="shared" si="30"/>
        <v>27.786792777777777</v>
      </c>
      <c r="G175">
        <f t="shared" si="30"/>
        <v>27.712587777777777</v>
      </c>
      <c r="H175">
        <f t="shared" si="30"/>
        <v>27.638382777777778</v>
      </c>
      <c r="I175">
        <f t="shared" si="30"/>
        <v>27.564177777777775</v>
      </c>
      <c r="J175">
        <f t="shared" si="30"/>
        <v>27.489972777777776</v>
      </c>
      <c r="K175">
        <f t="shared" si="30"/>
        <v>27.415767777777777</v>
      </c>
      <c r="L175">
        <f t="shared" si="30"/>
        <v>27.341562777777778</v>
      </c>
      <c r="M175">
        <f t="shared" si="30"/>
        <v>27.267357777777775</v>
      </c>
      <c r="N175">
        <f t="shared" si="30"/>
        <v>27.193152777777776</v>
      </c>
      <c r="O175">
        <f t="shared" si="30"/>
        <v>27.118947777777777</v>
      </c>
      <c r="P175">
        <f t="shared" si="30"/>
        <v>27.044742777777778</v>
      </c>
      <c r="Q175">
        <f t="shared" si="30"/>
        <v>26.970537777777778</v>
      </c>
      <c r="R175">
        <f t="shared" si="30"/>
        <v>26.896332777777776</v>
      </c>
      <c r="S175">
        <f t="shared" si="30"/>
        <v>26.822127777777776</v>
      </c>
      <c r="T175">
        <f t="shared" si="30"/>
        <v>26.747922777777777</v>
      </c>
      <c r="U175">
        <f t="shared" si="31"/>
        <v>26.673717777777775</v>
      </c>
      <c r="V175">
        <f t="shared" si="31"/>
        <v>26.599512777777775</v>
      </c>
      <c r="W175">
        <f t="shared" si="31"/>
        <v>26.525307777777776</v>
      </c>
      <c r="X175">
        <f t="shared" si="31"/>
        <v>26.451102777777777</v>
      </c>
      <c r="Y175">
        <f t="shared" si="31"/>
        <v>26.376897777777778</v>
      </c>
      <c r="Z175">
        <f t="shared" si="31"/>
        <v>26.302692777777775</v>
      </c>
      <c r="AA175">
        <f t="shared" si="31"/>
        <v>26.228487777777776</v>
      </c>
      <c r="AB175">
        <f t="shared" si="31"/>
        <v>26.154282777777777</v>
      </c>
      <c r="AC175">
        <f t="shared" si="31"/>
        <v>26.080077777777774</v>
      </c>
      <c r="AD175">
        <f t="shared" si="31"/>
        <v>24.744387777777778</v>
      </c>
    </row>
    <row r="176" spans="2:30" x14ac:dyDescent="0.2">
      <c r="B176" s="7">
        <v>44745</v>
      </c>
      <c r="C176" s="8">
        <v>25.462500000000006</v>
      </c>
      <c r="D176">
        <f t="shared" si="25"/>
        <v>28.738675000000008</v>
      </c>
      <c r="E176">
        <f t="shared" si="30"/>
        <v>28.664470000000005</v>
      </c>
      <c r="F176">
        <f t="shared" si="30"/>
        <v>28.590265000000006</v>
      </c>
      <c r="G176">
        <f t="shared" si="30"/>
        <v>28.516060000000007</v>
      </c>
      <c r="H176">
        <f t="shared" si="30"/>
        <v>28.441855000000007</v>
      </c>
      <c r="I176">
        <f t="shared" si="30"/>
        <v>28.367650000000005</v>
      </c>
      <c r="J176">
        <f t="shared" si="30"/>
        <v>28.293445000000006</v>
      </c>
      <c r="K176">
        <f t="shared" si="30"/>
        <v>28.219240000000006</v>
      </c>
      <c r="L176">
        <f t="shared" si="30"/>
        <v>28.145035000000007</v>
      </c>
      <c r="M176">
        <f t="shared" si="30"/>
        <v>28.070830000000004</v>
      </c>
      <c r="N176">
        <f t="shared" si="30"/>
        <v>27.996625000000005</v>
      </c>
      <c r="O176">
        <f t="shared" si="30"/>
        <v>27.922420000000006</v>
      </c>
      <c r="P176">
        <f t="shared" si="30"/>
        <v>27.848215000000007</v>
      </c>
      <c r="Q176">
        <f t="shared" si="30"/>
        <v>27.774010000000004</v>
      </c>
      <c r="R176">
        <f t="shared" si="30"/>
        <v>27.699805000000005</v>
      </c>
      <c r="S176">
        <f t="shared" si="30"/>
        <v>27.625600000000006</v>
      </c>
      <c r="T176">
        <f t="shared" si="30"/>
        <v>27.551395000000007</v>
      </c>
      <c r="U176">
        <f t="shared" si="31"/>
        <v>27.477190000000007</v>
      </c>
      <c r="V176">
        <f t="shared" si="31"/>
        <v>27.402985000000005</v>
      </c>
      <c r="W176">
        <f t="shared" si="31"/>
        <v>27.328780000000005</v>
      </c>
      <c r="X176">
        <f t="shared" si="31"/>
        <v>27.254575000000006</v>
      </c>
      <c r="Y176">
        <f t="shared" si="31"/>
        <v>27.180370000000003</v>
      </c>
      <c r="Z176">
        <f t="shared" si="31"/>
        <v>27.106165000000004</v>
      </c>
      <c r="AA176">
        <f t="shared" si="31"/>
        <v>27.031960000000005</v>
      </c>
      <c r="AB176">
        <f t="shared" si="31"/>
        <v>26.957755000000006</v>
      </c>
      <c r="AC176">
        <f t="shared" si="31"/>
        <v>26.883550000000007</v>
      </c>
      <c r="AD176">
        <f t="shared" si="31"/>
        <v>25.547860000000007</v>
      </c>
    </row>
    <row r="177" spans="2:30" x14ac:dyDescent="0.2">
      <c r="B177" s="7">
        <v>44746</v>
      </c>
      <c r="C177" s="8">
        <v>25.728472222222219</v>
      </c>
      <c r="D177">
        <f t="shared" si="25"/>
        <v>29.004647222222218</v>
      </c>
      <c r="E177">
        <f t="shared" si="30"/>
        <v>28.930442222222219</v>
      </c>
      <c r="F177">
        <f t="shared" si="30"/>
        <v>28.856237222222219</v>
      </c>
      <c r="G177">
        <f t="shared" si="30"/>
        <v>28.78203222222222</v>
      </c>
      <c r="H177">
        <f t="shared" si="30"/>
        <v>28.707827222222221</v>
      </c>
      <c r="I177">
        <f t="shared" si="30"/>
        <v>28.633622222222218</v>
      </c>
      <c r="J177">
        <f t="shared" si="30"/>
        <v>28.559417222222219</v>
      </c>
      <c r="K177">
        <f t="shared" si="30"/>
        <v>28.48521222222222</v>
      </c>
      <c r="L177">
        <f t="shared" si="30"/>
        <v>28.411007222222221</v>
      </c>
      <c r="M177">
        <f t="shared" si="30"/>
        <v>28.336802222222218</v>
      </c>
      <c r="N177">
        <f t="shared" si="30"/>
        <v>28.262597222222219</v>
      </c>
      <c r="O177">
        <f t="shared" si="30"/>
        <v>28.18839222222222</v>
      </c>
      <c r="P177">
        <f t="shared" si="30"/>
        <v>28.11418722222222</v>
      </c>
      <c r="Q177">
        <f t="shared" si="30"/>
        <v>28.039982222222221</v>
      </c>
      <c r="R177">
        <f t="shared" si="30"/>
        <v>27.965777222222219</v>
      </c>
      <c r="S177">
        <f t="shared" si="30"/>
        <v>27.891572222222219</v>
      </c>
      <c r="T177">
        <f t="shared" si="30"/>
        <v>27.81736722222222</v>
      </c>
      <c r="U177">
        <f t="shared" si="31"/>
        <v>27.743162222222217</v>
      </c>
      <c r="V177">
        <f t="shared" si="31"/>
        <v>27.668957222222218</v>
      </c>
      <c r="W177">
        <f t="shared" si="31"/>
        <v>27.594752222222219</v>
      </c>
      <c r="X177">
        <f t="shared" si="31"/>
        <v>27.52054722222222</v>
      </c>
      <c r="Y177">
        <f t="shared" si="31"/>
        <v>27.446342222222221</v>
      </c>
      <c r="Z177">
        <f t="shared" si="31"/>
        <v>27.372137222222218</v>
      </c>
      <c r="AA177">
        <f t="shared" si="31"/>
        <v>27.297932222222219</v>
      </c>
      <c r="AB177">
        <f t="shared" si="31"/>
        <v>27.22372722222222</v>
      </c>
      <c r="AC177">
        <f t="shared" si="31"/>
        <v>27.149522222222217</v>
      </c>
      <c r="AD177">
        <f t="shared" si="31"/>
        <v>25.813832222222221</v>
      </c>
    </row>
    <row r="178" spans="2:30" x14ac:dyDescent="0.2">
      <c r="B178" s="7">
        <v>44747</v>
      </c>
      <c r="C178" s="8">
        <v>25.554861111111109</v>
      </c>
      <c r="D178">
        <f t="shared" si="25"/>
        <v>28.831036111111111</v>
      </c>
      <c r="E178">
        <f t="shared" si="30"/>
        <v>28.756831111111108</v>
      </c>
      <c r="F178">
        <f t="shared" si="30"/>
        <v>28.682626111111109</v>
      </c>
      <c r="G178">
        <f t="shared" si="30"/>
        <v>28.60842111111111</v>
      </c>
      <c r="H178">
        <f t="shared" si="30"/>
        <v>28.53421611111111</v>
      </c>
      <c r="I178">
        <f t="shared" si="30"/>
        <v>28.460011111111108</v>
      </c>
      <c r="J178">
        <f t="shared" si="30"/>
        <v>28.385806111111108</v>
      </c>
      <c r="K178">
        <f t="shared" si="30"/>
        <v>28.311601111111109</v>
      </c>
      <c r="L178">
        <f t="shared" si="30"/>
        <v>28.23739611111111</v>
      </c>
      <c r="M178">
        <f t="shared" si="30"/>
        <v>28.163191111111107</v>
      </c>
      <c r="N178">
        <f t="shared" si="30"/>
        <v>28.088986111111108</v>
      </c>
      <c r="O178">
        <f t="shared" si="30"/>
        <v>28.014781111111109</v>
      </c>
      <c r="P178">
        <f t="shared" si="30"/>
        <v>27.94057611111111</v>
      </c>
      <c r="Q178">
        <f t="shared" si="30"/>
        <v>27.866371111111107</v>
      </c>
      <c r="R178">
        <f t="shared" si="30"/>
        <v>27.792166111111108</v>
      </c>
      <c r="S178">
        <f t="shared" si="30"/>
        <v>27.717961111111109</v>
      </c>
      <c r="T178">
        <f t="shared" si="30"/>
        <v>27.643756111111109</v>
      </c>
      <c r="U178">
        <f t="shared" si="31"/>
        <v>27.56955111111111</v>
      </c>
      <c r="V178">
        <f t="shared" si="31"/>
        <v>27.495346111111107</v>
      </c>
      <c r="W178">
        <f t="shared" si="31"/>
        <v>27.421141111111108</v>
      </c>
      <c r="X178">
        <f t="shared" si="31"/>
        <v>27.346936111111109</v>
      </c>
      <c r="Y178">
        <f t="shared" si="31"/>
        <v>27.272731111111106</v>
      </c>
      <c r="Z178">
        <f t="shared" si="31"/>
        <v>27.198526111111107</v>
      </c>
      <c r="AA178">
        <f t="shared" si="31"/>
        <v>27.124321111111108</v>
      </c>
      <c r="AB178">
        <f t="shared" si="31"/>
        <v>27.050116111111109</v>
      </c>
      <c r="AC178">
        <f t="shared" si="31"/>
        <v>26.97591111111111</v>
      </c>
      <c r="AD178">
        <f t="shared" si="31"/>
        <v>25.64022111111111</v>
      </c>
    </row>
    <row r="179" spans="2:30" x14ac:dyDescent="0.2">
      <c r="B179" s="7">
        <v>44748</v>
      </c>
      <c r="C179" s="8">
        <v>23.996527777777768</v>
      </c>
      <c r="D179">
        <f t="shared" si="25"/>
        <v>27.272702777777766</v>
      </c>
      <c r="E179">
        <f t="shared" si="30"/>
        <v>27.198497777777767</v>
      </c>
      <c r="F179">
        <f t="shared" si="30"/>
        <v>27.124292777777768</v>
      </c>
      <c r="G179">
        <f t="shared" si="30"/>
        <v>27.050087777777769</v>
      </c>
      <c r="H179">
        <f t="shared" si="30"/>
        <v>26.97588277777777</v>
      </c>
      <c r="I179">
        <f t="shared" si="30"/>
        <v>26.901677777777767</v>
      </c>
      <c r="J179">
        <f t="shared" si="30"/>
        <v>26.827472777777768</v>
      </c>
      <c r="K179">
        <f t="shared" si="30"/>
        <v>26.753267777777769</v>
      </c>
      <c r="L179">
        <f t="shared" si="30"/>
        <v>26.679062777777769</v>
      </c>
      <c r="M179">
        <f t="shared" si="30"/>
        <v>26.604857777777767</v>
      </c>
      <c r="N179">
        <f t="shared" si="30"/>
        <v>26.530652777777767</v>
      </c>
      <c r="O179">
        <f t="shared" si="30"/>
        <v>26.456447777777768</v>
      </c>
      <c r="P179">
        <f t="shared" si="30"/>
        <v>26.382242777777769</v>
      </c>
      <c r="Q179">
        <f t="shared" si="30"/>
        <v>26.30803777777777</v>
      </c>
      <c r="R179">
        <f t="shared" si="30"/>
        <v>26.233832777777767</v>
      </c>
      <c r="S179">
        <f t="shared" si="30"/>
        <v>26.159627777777768</v>
      </c>
      <c r="T179">
        <f t="shared" si="30"/>
        <v>26.085422777777769</v>
      </c>
      <c r="U179">
        <f t="shared" si="31"/>
        <v>26.011217777777766</v>
      </c>
      <c r="V179">
        <f t="shared" si="31"/>
        <v>25.937012777777767</v>
      </c>
      <c r="W179">
        <f t="shared" si="31"/>
        <v>25.862807777777768</v>
      </c>
      <c r="X179">
        <f t="shared" si="31"/>
        <v>25.788602777777768</v>
      </c>
      <c r="Y179">
        <f t="shared" si="31"/>
        <v>25.714397777777769</v>
      </c>
      <c r="Z179">
        <f t="shared" si="31"/>
        <v>25.640192777777767</v>
      </c>
      <c r="AA179">
        <f t="shared" si="31"/>
        <v>25.565987777777767</v>
      </c>
      <c r="AB179">
        <f t="shared" si="31"/>
        <v>25.491782777777768</v>
      </c>
      <c r="AC179">
        <f t="shared" si="31"/>
        <v>25.417577777777765</v>
      </c>
      <c r="AD179">
        <f t="shared" si="31"/>
        <v>24.081887777777769</v>
      </c>
    </row>
    <row r="180" spans="2:30" x14ac:dyDescent="0.2">
      <c r="B180" s="7">
        <v>44749</v>
      </c>
      <c r="C180" s="8">
        <v>22.34513888888889</v>
      </c>
      <c r="D180">
        <f t="shared" si="25"/>
        <v>25.621313888888892</v>
      </c>
      <c r="E180">
        <f t="shared" si="30"/>
        <v>25.547108888888889</v>
      </c>
      <c r="F180">
        <f t="shared" si="30"/>
        <v>25.47290388888889</v>
      </c>
      <c r="G180">
        <f t="shared" si="30"/>
        <v>25.398698888888891</v>
      </c>
      <c r="H180">
        <f t="shared" si="30"/>
        <v>25.324493888888892</v>
      </c>
      <c r="I180">
        <f t="shared" si="30"/>
        <v>25.250288888888889</v>
      </c>
      <c r="J180">
        <f t="shared" si="30"/>
        <v>25.17608388888889</v>
      </c>
      <c r="K180">
        <f t="shared" si="30"/>
        <v>25.101878888888891</v>
      </c>
      <c r="L180">
        <f t="shared" si="30"/>
        <v>25.027673888888891</v>
      </c>
      <c r="M180">
        <f t="shared" si="30"/>
        <v>24.953468888888889</v>
      </c>
      <c r="N180">
        <f t="shared" si="30"/>
        <v>24.87926388888889</v>
      </c>
      <c r="O180">
        <f t="shared" si="30"/>
        <v>24.80505888888889</v>
      </c>
      <c r="P180">
        <f t="shared" si="30"/>
        <v>24.730853888888891</v>
      </c>
      <c r="Q180">
        <f t="shared" si="30"/>
        <v>24.656648888888888</v>
      </c>
      <c r="R180">
        <f t="shared" si="30"/>
        <v>24.582443888888889</v>
      </c>
      <c r="S180">
        <f t="shared" si="30"/>
        <v>24.50823888888889</v>
      </c>
      <c r="T180">
        <f t="shared" ref="T180" si="32">(-1.4841*T$3+3.6472)+$C180</f>
        <v>24.434033888888891</v>
      </c>
      <c r="U180">
        <f t="shared" si="31"/>
        <v>24.359828888888892</v>
      </c>
      <c r="V180">
        <f t="shared" si="31"/>
        <v>24.285623888888889</v>
      </c>
      <c r="W180">
        <f t="shared" si="31"/>
        <v>24.21141888888889</v>
      </c>
      <c r="X180">
        <f t="shared" si="31"/>
        <v>24.137213888888891</v>
      </c>
      <c r="Y180">
        <f t="shared" si="31"/>
        <v>24.063008888888888</v>
      </c>
      <c r="Z180">
        <f t="shared" si="31"/>
        <v>23.988803888888889</v>
      </c>
      <c r="AA180">
        <f t="shared" si="31"/>
        <v>23.914598888888889</v>
      </c>
      <c r="AB180">
        <f t="shared" si="31"/>
        <v>23.84039388888889</v>
      </c>
      <c r="AC180">
        <f t="shared" si="31"/>
        <v>23.766188888888891</v>
      </c>
      <c r="AD180">
        <f t="shared" si="31"/>
        <v>22.430498888888891</v>
      </c>
    </row>
    <row r="181" spans="2:30" x14ac:dyDescent="0.2">
      <c r="B181" s="7">
        <v>44750</v>
      </c>
      <c r="C181" s="8">
        <v>23.951388888888889</v>
      </c>
      <c r="D181">
        <f t="shared" si="25"/>
        <v>27.227563888888888</v>
      </c>
      <c r="E181">
        <f t="shared" ref="E181:T196" si="33">(-1.4841*E$3+3.6472)+$C181</f>
        <v>27.153358888888889</v>
      </c>
      <c r="F181">
        <f t="shared" si="33"/>
        <v>27.079153888888889</v>
      </c>
      <c r="G181">
        <f t="shared" si="33"/>
        <v>27.00494888888889</v>
      </c>
      <c r="H181">
        <f t="shared" si="33"/>
        <v>26.930743888888891</v>
      </c>
      <c r="I181">
        <f t="shared" si="33"/>
        <v>26.856538888888888</v>
      </c>
      <c r="J181">
        <f t="shared" si="33"/>
        <v>26.782333888888889</v>
      </c>
      <c r="K181">
        <f t="shared" si="33"/>
        <v>26.70812888888889</v>
      </c>
      <c r="L181">
        <f t="shared" si="33"/>
        <v>26.633923888888891</v>
      </c>
      <c r="M181">
        <f t="shared" si="33"/>
        <v>26.559718888888888</v>
      </c>
      <c r="N181">
        <f t="shared" si="33"/>
        <v>26.485513888888889</v>
      </c>
      <c r="O181">
        <f t="shared" si="33"/>
        <v>26.41130888888889</v>
      </c>
      <c r="P181">
        <f t="shared" si="33"/>
        <v>26.33710388888889</v>
      </c>
      <c r="Q181">
        <f t="shared" si="33"/>
        <v>26.262898888888891</v>
      </c>
      <c r="R181">
        <f t="shared" si="33"/>
        <v>26.188693888888888</v>
      </c>
      <c r="S181">
        <f t="shared" si="33"/>
        <v>26.114488888888889</v>
      </c>
      <c r="T181">
        <f t="shared" si="33"/>
        <v>26.04028388888889</v>
      </c>
      <c r="U181">
        <f t="shared" si="31"/>
        <v>25.966078888888887</v>
      </c>
      <c r="V181">
        <f t="shared" si="31"/>
        <v>25.891873888888888</v>
      </c>
      <c r="W181">
        <f t="shared" si="31"/>
        <v>25.817668888888889</v>
      </c>
      <c r="X181">
        <f t="shared" si="31"/>
        <v>25.74346388888889</v>
      </c>
      <c r="Y181">
        <f t="shared" si="31"/>
        <v>25.669258888888891</v>
      </c>
      <c r="Z181">
        <f t="shared" si="31"/>
        <v>25.595053888888888</v>
      </c>
      <c r="AA181">
        <f t="shared" si="31"/>
        <v>25.520848888888889</v>
      </c>
      <c r="AB181">
        <f t="shared" si="31"/>
        <v>25.44664388888889</v>
      </c>
      <c r="AC181">
        <f t="shared" si="31"/>
        <v>25.372438888888887</v>
      </c>
      <c r="AD181">
        <f t="shared" si="31"/>
        <v>24.036748888888891</v>
      </c>
    </row>
    <row r="182" spans="2:30" x14ac:dyDescent="0.2">
      <c r="B182" s="7">
        <v>44751</v>
      </c>
      <c r="C182" s="8">
        <v>25.253472222222225</v>
      </c>
      <c r="D182">
        <f t="shared" si="25"/>
        <v>28.529647222222223</v>
      </c>
      <c r="E182">
        <f t="shared" si="33"/>
        <v>28.455442222222224</v>
      </c>
      <c r="F182">
        <f t="shared" si="33"/>
        <v>28.381237222222225</v>
      </c>
      <c r="G182">
        <f t="shared" si="33"/>
        <v>28.307032222222226</v>
      </c>
      <c r="H182">
        <f t="shared" si="33"/>
        <v>28.232827222222227</v>
      </c>
      <c r="I182">
        <f t="shared" si="33"/>
        <v>28.158622222222224</v>
      </c>
      <c r="J182">
        <f t="shared" si="33"/>
        <v>28.084417222222225</v>
      </c>
      <c r="K182">
        <f t="shared" si="33"/>
        <v>28.010212222222226</v>
      </c>
      <c r="L182">
        <f t="shared" si="33"/>
        <v>27.936007222222226</v>
      </c>
      <c r="M182">
        <f t="shared" si="33"/>
        <v>27.861802222222224</v>
      </c>
      <c r="N182">
        <f t="shared" si="33"/>
        <v>27.787597222222225</v>
      </c>
      <c r="O182">
        <f t="shared" si="33"/>
        <v>27.713392222222225</v>
      </c>
      <c r="P182">
        <f t="shared" si="33"/>
        <v>27.639187222222226</v>
      </c>
      <c r="Q182">
        <f t="shared" si="33"/>
        <v>27.564982222222227</v>
      </c>
      <c r="R182">
        <f t="shared" si="33"/>
        <v>27.490777222222224</v>
      </c>
      <c r="S182">
        <f t="shared" si="33"/>
        <v>27.416572222222225</v>
      </c>
      <c r="T182">
        <f t="shared" si="33"/>
        <v>27.342367222222226</v>
      </c>
      <c r="U182">
        <f t="shared" si="31"/>
        <v>27.268162222222223</v>
      </c>
      <c r="V182">
        <f t="shared" si="31"/>
        <v>27.193957222222224</v>
      </c>
      <c r="W182">
        <f t="shared" si="31"/>
        <v>27.119752222222225</v>
      </c>
      <c r="X182">
        <f t="shared" si="31"/>
        <v>27.045547222222226</v>
      </c>
      <c r="Y182">
        <f t="shared" si="31"/>
        <v>26.971342222222226</v>
      </c>
      <c r="Z182">
        <f t="shared" si="31"/>
        <v>26.897137222222224</v>
      </c>
      <c r="AA182">
        <f t="shared" si="31"/>
        <v>26.822932222222224</v>
      </c>
      <c r="AB182">
        <f t="shared" si="31"/>
        <v>26.748727222222225</v>
      </c>
      <c r="AC182">
        <f t="shared" si="31"/>
        <v>26.674522222222222</v>
      </c>
      <c r="AD182">
        <f t="shared" si="31"/>
        <v>25.338832222222226</v>
      </c>
    </row>
    <row r="183" spans="2:30" x14ac:dyDescent="0.2">
      <c r="B183" s="7">
        <v>44752</v>
      </c>
      <c r="C183" s="8">
        <v>23.755555555555556</v>
      </c>
      <c r="D183">
        <f t="shared" si="25"/>
        <v>27.031730555555555</v>
      </c>
      <c r="E183">
        <f t="shared" si="33"/>
        <v>26.957525555555556</v>
      </c>
      <c r="F183">
        <f t="shared" si="33"/>
        <v>26.883320555555557</v>
      </c>
      <c r="G183">
        <f t="shared" si="33"/>
        <v>26.809115555555557</v>
      </c>
      <c r="H183">
        <f t="shared" si="33"/>
        <v>26.734910555555558</v>
      </c>
      <c r="I183">
        <f t="shared" si="33"/>
        <v>26.660705555555555</v>
      </c>
      <c r="J183">
        <f t="shared" si="33"/>
        <v>26.586500555555556</v>
      </c>
      <c r="K183">
        <f t="shared" si="33"/>
        <v>26.512295555555557</v>
      </c>
      <c r="L183">
        <f t="shared" si="33"/>
        <v>26.438090555555558</v>
      </c>
      <c r="M183">
        <f t="shared" si="33"/>
        <v>26.363885555555555</v>
      </c>
      <c r="N183">
        <f t="shared" si="33"/>
        <v>26.289680555555556</v>
      </c>
      <c r="O183">
        <f t="shared" si="33"/>
        <v>26.215475555555557</v>
      </c>
      <c r="P183">
        <f t="shared" si="33"/>
        <v>26.141270555555558</v>
      </c>
      <c r="Q183">
        <f t="shared" si="33"/>
        <v>26.067065555555558</v>
      </c>
      <c r="R183">
        <f t="shared" si="33"/>
        <v>25.992860555555556</v>
      </c>
      <c r="S183">
        <f t="shared" si="33"/>
        <v>25.918655555555556</v>
      </c>
      <c r="T183">
        <f t="shared" si="33"/>
        <v>25.844450555555557</v>
      </c>
      <c r="U183">
        <f t="shared" si="31"/>
        <v>25.770245555555555</v>
      </c>
      <c r="V183">
        <f t="shared" si="31"/>
        <v>25.696040555555555</v>
      </c>
      <c r="W183">
        <f t="shared" si="31"/>
        <v>25.621835555555556</v>
      </c>
      <c r="X183">
        <f t="shared" si="31"/>
        <v>25.547630555555557</v>
      </c>
      <c r="Y183">
        <f t="shared" si="31"/>
        <v>25.473425555555558</v>
      </c>
      <c r="Z183">
        <f t="shared" si="31"/>
        <v>25.399220555555555</v>
      </c>
      <c r="AA183">
        <f t="shared" si="31"/>
        <v>25.325015555555556</v>
      </c>
      <c r="AB183">
        <f t="shared" si="31"/>
        <v>25.250810555555557</v>
      </c>
      <c r="AC183">
        <f t="shared" si="31"/>
        <v>25.176605555555554</v>
      </c>
      <c r="AD183">
        <f t="shared" si="31"/>
        <v>23.840915555555558</v>
      </c>
    </row>
    <row r="184" spans="2:30" x14ac:dyDescent="0.2">
      <c r="B184" s="7">
        <v>44753</v>
      </c>
      <c r="C184" s="8">
        <v>25.847916666666666</v>
      </c>
      <c r="D184">
        <f t="shared" si="25"/>
        <v>29.124091666666665</v>
      </c>
      <c r="E184">
        <f t="shared" si="33"/>
        <v>29.049886666666666</v>
      </c>
      <c r="F184">
        <f t="shared" si="33"/>
        <v>28.975681666666667</v>
      </c>
      <c r="G184">
        <f t="shared" si="33"/>
        <v>28.901476666666667</v>
      </c>
      <c r="H184">
        <f t="shared" si="33"/>
        <v>28.827271666666668</v>
      </c>
      <c r="I184">
        <f t="shared" si="33"/>
        <v>28.753066666666665</v>
      </c>
      <c r="J184">
        <f t="shared" si="33"/>
        <v>28.678861666666666</v>
      </c>
      <c r="K184">
        <f t="shared" si="33"/>
        <v>28.604656666666667</v>
      </c>
      <c r="L184">
        <f t="shared" si="33"/>
        <v>28.530451666666668</v>
      </c>
      <c r="M184">
        <f t="shared" si="33"/>
        <v>28.456246666666665</v>
      </c>
      <c r="N184">
        <f t="shared" si="33"/>
        <v>28.382041666666666</v>
      </c>
      <c r="O184">
        <f t="shared" si="33"/>
        <v>28.307836666666667</v>
      </c>
      <c r="P184">
        <f t="shared" si="33"/>
        <v>28.233631666666668</v>
      </c>
      <c r="Q184">
        <f t="shared" si="33"/>
        <v>28.159426666666668</v>
      </c>
      <c r="R184">
        <f t="shared" si="33"/>
        <v>28.085221666666666</v>
      </c>
      <c r="S184">
        <f t="shared" si="33"/>
        <v>28.011016666666666</v>
      </c>
      <c r="T184">
        <f t="shared" si="33"/>
        <v>27.936811666666667</v>
      </c>
      <c r="U184">
        <f t="shared" si="31"/>
        <v>27.862606666666665</v>
      </c>
      <c r="V184">
        <f t="shared" si="31"/>
        <v>27.788401666666665</v>
      </c>
      <c r="W184">
        <f t="shared" si="31"/>
        <v>27.714196666666666</v>
      </c>
      <c r="X184">
        <f t="shared" si="31"/>
        <v>27.639991666666667</v>
      </c>
      <c r="Y184">
        <f t="shared" si="31"/>
        <v>27.565786666666668</v>
      </c>
      <c r="Z184">
        <f t="shared" si="31"/>
        <v>27.491581666666665</v>
      </c>
      <c r="AA184">
        <f t="shared" si="31"/>
        <v>27.417376666666666</v>
      </c>
      <c r="AB184">
        <f t="shared" si="31"/>
        <v>27.343171666666667</v>
      </c>
      <c r="AC184">
        <f t="shared" si="31"/>
        <v>27.268966666666664</v>
      </c>
      <c r="AD184">
        <f t="shared" si="31"/>
        <v>25.933276666666668</v>
      </c>
    </row>
    <row r="185" spans="2:30" x14ac:dyDescent="0.2">
      <c r="B185" s="7">
        <v>44754</v>
      </c>
      <c r="C185" s="8">
        <v>27.259027777777785</v>
      </c>
      <c r="D185">
        <f t="shared" si="25"/>
        <v>30.535202777777783</v>
      </c>
      <c r="E185">
        <f t="shared" si="33"/>
        <v>30.460997777777784</v>
      </c>
      <c r="F185">
        <f t="shared" si="33"/>
        <v>30.386792777777785</v>
      </c>
      <c r="G185">
        <f t="shared" si="33"/>
        <v>30.312587777777786</v>
      </c>
      <c r="H185">
        <f t="shared" si="33"/>
        <v>30.238382777777787</v>
      </c>
      <c r="I185">
        <f t="shared" si="33"/>
        <v>30.164177777777784</v>
      </c>
      <c r="J185">
        <f t="shared" si="33"/>
        <v>30.089972777777785</v>
      </c>
      <c r="K185">
        <f t="shared" si="33"/>
        <v>30.015767777777786</v>
      </c>
      <c r="L185">
        <f t="shared" si="33"/>
        <v>29.941562777777786</v>
      </c>
      <c r="M185">
        <f t="shared" si="33"/>
        <v>29.867357777777784</v>
      </c>
      <c r="N185">
        <f t="shared" si="33"/>
        <v>29.793152777777784</v>
      </c>
      <c r="O185">
        <f t="shared" si="33"/>
        <v>29.718947777777785</v>
      </c>
      <c r="P185">
        <f t="shared" si="33"/>
        <v>29.644742777777786</v>
      </c>
      <c r="Q185">
        <f t="shared" si="33"/>
        <v>29.570537777777787</v>
      </c>
      <c r="R185">
        <f t="shared" si="33"/>
        <v>29.496332777777784</v>
      </c>
      <c r="S185">
        <f t="shared" si="33"/>
        <v>29.422127777777785</v>
      </c>
      <c r="T185">
        <f t="shared" si="33"/>
        <v>29.347922777777786</v>
      </c>
      <c r="U185">
        <f t="shared" si="31"/>
        <v>29.273717777777783</v>
      </c>
      <c r="V185">
        <f t="shared" si="31"/>
        <v>29.199512777777784</v>
      </c>
      <c r="W185">
        <f t="shared" si="31"/>
        <v>29.125307777777785</v>
      </c>
      <c r="X185">
        <f t="shared" si="31"/>
        <v>29.051102777777785</v>
      </c>
      <c r="Y185">
        <f t="shared" si="31"/>
        <v>28.976897777777786</v>
      </c>
      <c r="Z185">
        <f t="shared" si="31"/>
        <v>28.902692777777784</v>
      </c>
      <c r="AA185">
        <f t="shared" si="31"/>
        <v>28.828487777777784</v>
      </c>
      <c r="AB185">
        <f t="shared" si="31"/>
        <v>28.754282777777785</v>
      </c>
      <c r="AC185">
        <f t="shared" si="31"/>
        <v>28.680077777777782</v>
      </c>
      <c r="AD185">
        <f t="shared" si="31"/>
        <v>27.344387777777786</v>
      </c>
    </row>
    <row r="186" spans="2:30" x14ac:dyDescent="0.2">
      <c r="B186" s="7">
        <v>44755</v>
      </c>
      <c r="C186" s="8">
        <v>28.114583333333339</v>
      </c>
      <c r="D186">
        <f t="shared" si="25"/>
        <v>31.390758333333338</v>
      </c>
      <c r="E186">
        <f t="shared" si="33"/>
        <v>31.316553333333339</v>
      </c>
      <c r="F186">
        <f t="shared" si="33"/>
        <v>31.242348333333339</v>
      </c>
      <c r="G186">
        <f t="shared" si="33"/>
        <v>31.16814333333334</v>
      </c>
      <c r="H186">
        <f t="shared" si="33"/>
        <v>31.093938333333341</v>
      </c>
      <c r="I186">
        <f t="shared" si="33"/>
        <v>31.019733333333338</v>
      </c>
      <c r="J186">
        <f t="shared" si="33"/>
        <v>30.945528333333339</v>
      </c>
      <c r="K186">
        <f t="shared" si="33"/>
        <v>30.87132333333334</v>
      </c>
      <c r="L186">
        <f t="shared" si="33"/>
        <v>30.797118333333341</v>
      </c>
      <c r="M186">
        <f t="shared" si="33"/>
        <v>30.722913333333338</v>
      </c>
      <c r="N186">
        <f t="shared" si="33"/>
        <v>30.648708333333339</v>
      </c>
      <c r="O186">
        <f t="shared" si="33"/>
        <v>30.57450333333334</v>
      </c>
      <c r="P186">
        <f t="shared" si="33"/>
        <v>30.50029833333334</v>
      </c>
      <c r="Q186">
        <f t="shared" si="33"/>
        <v>30.426093333333341</v>
      </c>
      <c r="R186">
        <f t="shared" si="33"/>
        <v>30.351888333333338</v>
      </c>
      <c r="S186">
        <f t="shared" si="33"/>
        <v>30.277683333333339</v>
      </c>
      <c r="T186">
        <f t="shared" si="33"/>
        <v>30.20347833333334</v>
      </c>
      <c r="U186">
        <f t="shared" si="31"/>
        <v>30.129273333333337</v>
      </c>
      <c r="V186">
        <f t="shared" si="31"/>
        <v>30.055068333333338</v>
      </c>
      <c r="W186">
        <f t="shared" si="31"/>
        <v>29.980863333333339</v>
      </c>
      <c r="X186">
        <f t="shared" si="31"/>
        <v>29.90665833333334</v>
      </c>
      <c r="Y186">
        <f t="shared" si="31"/>
        <v>29.832453333333341</v>
      </c>
      <c r="Z186">
        <f t="shared" si="31"/>
        <v>29.758248333333338</v>
      </c>
      <c r="AA186">
        <f t="shared" si="31"/>
        <v>29.684043333333339</v>
      </c>
      <c r="AB186">
        <f t="shared" si="31"/>
        <v>29.609838333333339</v>
      </c>
      <c r="AC186">
        <f t="shared" si="31"/>
        <v>29.535633333333337</v>
      </c>
      <c r="AD186">
        <f t="shared" si="31"/>
        <v>28.199943333333341</v>
      </c>
    </row>
    <row r="187" spans="2:30" x14ac:dyDescent="0.2">
      <c r="B187" s="7">
        <v>44756</v>
      </c>
      <c r="C187" s="8">
        <v>25.613194444444456</v>
      </c>
      <c r="D187">
        <f t="shared" si="25"/>
        <v>28.889369444444455</v>
      </c>
      <c r="E187">
        <f t="shared" si="33"/>
        <v>28.815164444444456</v>
      </c>
      <c r="F187">
        <f t="shared" si="33"/>
        <v>28.740959444444456</v>
      </c>
      <c r="G187">
        <f t="shared" si="33"/>
        <v>28.666754444444457</v>
      </c>
      <c r="H187">
        <f t="shared" si="33"/>
        <v>28.592549444444458</v>
      </c>
      <c r="I187">
        <f t="shared" si="33"/>
        <v>28.518344444444455</v>
      </c>
      <c r="J187">
        <f t="shared" si="33"/>
        <v>28.444139444444456</v>
      </c>
      <c r="K187">
        <f t="shared" si="33"/>
        <v>28.369934444444457</v>
      </c>
      <c r="L187">
        <f t="shared" si="33"/>
        <v>28.295729444444458</v>
      </c>
      <c r="M187">
        <f t="shared" si="33"/>
        <v>28.221524444444455</v>
      </c>
      <c r="N187">
        <f t="shared" si="33"/>
        <v>28.147319444444456</v>
      </c>
      <c r="O187">
        <f t="shared" si="33"/>
        <v>28.073114444444457</v>
      </c>
      <c r="P187">
        <f t="shared" si="33"/>
        <v>27.998909444444458</v>
      </c>
      <c r="Q187">
        <f t="shared" si="33"/>
        <v>27.924704444444458</v>
      </c>
      <c r="R187">
        <f t="shared" si="33"/>
        <v>27.850499444444456</v>
      </c>
      <c r="S187">
        <f t="shared" si="33"/>
        <v>27.776294444444456</v>
      </c>
      <c r="T187">
        <f t="shared" si="33"/>
        <v>27.702089444444457</v>
      </c>
      <c r="U187">
        <f t="shared" si="31"/>
        <v>27.627884444444454</v>
      </c>
      <c r="V187">
        <f t="shared" si="31"/>
        <v>27.553679444444455</v>
      </c>
      <c r="W187">
        <f t="shared" si="31"/>
        <v>27.479474444444456</v>
      </c>
      <c r="X187">
        <f t="shared" si="31"/>
        <v>27.405269444444457</v>
      </c>
      <c r="Y187">
        <f t="shared" si="31"/>
        <v>27.331064444444458</v>
      </c>
      <c r="Z187">
        <f t="shared" si="31"/>
        <v>27.256859444444455</v>
      </c>
      <c r="AA187">
        <f t="shared" si="31"/>
        <v>27.182654444444456</v>
      </c>
      <c r="AB187">
        <f t="shared" si="31"/>
        <v>27.108449444444457</v>
      </c>
      <c r="AC187">
        <f t="shared" si="31"/>
        <v>27.034244444444454</v>
      </c>
      <c r="AD187">
        <f t="shared" si="31"/>
        <v>25.698554444444458</v>
      </c>
    </row>
    <row r="188" spans="2:30" x14ac:dyDescent="0.2">
      <c r="B188" s="7">
        <v>44757</v>
      </c>
      <c r="C188" s="8">
        <v>25.058333333333334</v>
      </c>
      <c r="D188">
        <f t="shared" si="25"/>
        <v>28.334508333333332</v>
      </c>
      <c r="E188">
        <f t="shared" si="33"/>
        <v>28.260303333333333</v>
      </c>
      <c r="F188">
        <f t="shared" si="33"/>
        <v>28.186098333333334</v>
      </c>
      <c r="G188">
        <f t="shared" si="33"/>
        <v>28.111893333333335</v>
      </c>
      <c r="H188">
        <f t="shared" si="33"/>
        <v>28.037688333333335</v>
      </c>
      <c r="I188">
        <f t="shared" si="33"/>
        <v>27.963483333333333</v>
      </c>
      <c r="J188">
        <f t="shared" si="33"/>
        <v>27.889278333333333</v>
      </c>
      <c r="K188">
        <f t="shared" si="33"/>
        <v>27.815073333333334</v>
      </c>
      <c r="L188">
        <f t="shared" si="33"/>
        <v>27.740868333333335</v>
      </c>
      <c r="M188">
        <f t="shared" si="33"/>
        <v>27.666663333333332</v>
      </c>
      <c r="N188">
        <f t="shared" si="33"/>
        <v>27.592458333333333</v>
      </c>
      <c r="O188">
        <f t="shared" si="33"/>
        <v>27.518253333333334</v>
      </c>
      <c r="P188">
        <f t="shared" si="33"/>
        <v>27.444048333333335</v>
      </c>
      <c r="Q188">
        <f t="shared" si="33"/>
        <v>27.369843333333336</v>
      </c>
      <c r="R188">
        <f t="shared" si="33"/>
        <v>27.295638333333333</v>
      </c>
      <c r="S188">
        <f t="shared" si="33"/>
        <v>27.221433333333334</v>
      </c>
      <c r="T188">
        <f t="shared" si="33"/>
        <v>27.147228333333334</v>
      </c>
      <c r="U188">
        <f t="shared" si="31"/>
        <v>27.073023333333332</v>
      </c>
      <c r="V188">
        <f t="shared" si="31"/>
        <v>26.998818333333332</v>
      </c>
      <c r="W188">
        <f t="shared" si="31"/>
        <v>26.924613333333333</v>
      </c>
      <c r="X188">
        <f t="shared" si="31"/>
        <v>26.850408333333334</v>
      </c>
      <c r="Y188">
        <f t="shared" si="31"/>
        <v>26.776203333333335</v>
      </c>
      <c r="Z188">
        <f t="shared" si="31"/>
        <v>26.701998333333332</v>
      </c>
      <c r="AA188">
        <f t="shared" si="31"/>
        <v>26.627793333333333</v>
      </c>
      <c r="AB188">
        <f t="shared" si="31"/>
        <v>26.553588333333334</v>
      </c>
      <c r="AC188">
        <f t="shared" si="31"/>
        <v>26.479383333333331</v>
      </c>
      <c r="AD188">
        <f t="shared" si="31"/>
        <v>25.143693333333335</v>
      </c>
    </row>
    <row r="189" spans="2:30" x14ac:dyDescent="0.2">
      <c r="B189" s="7">
        <v>44758</v>
      </c>
      <c r="C189" s="8">
        <v>25.593750000000004</v>
      </c>
      <c r="D189">
        <f t="shared" si="25"/>
        <v>28.869925000000002</v>
      </c>
      <c r="E189">
        <f t="shared" si="33"/>
        <v>28.795720000000003</v>
      </c>
      <c r="F189">
        <f t="shared" si="33"/>
        <v>28.721515000000004</v>
      </c>
      <c r="G189">
        <f t="shared" si="33"/>
        <v>28.647310000000004</v>
      </c>
      <c r="H189">
        <f t="shared" si="33"/>
        <v>28.573105000000005</v>
      </c>
      <c r="I189">
        <f t="shared" si="33"/>
        <v>28.498900000000003</v>
      </c>
      <c r="J189">
        <f t="shared" si="33"/>
        <v>28.424695000000003</v>
      </c>
      <c r="K189">
        <f t="shared" si="33"/>
        <v>28.350490000000004</v>
      </c>
      <c r="L189">
        <f t="shared" si="33"/>
        <v>28.276285000000005</v>
      </c>
      <c r="M189">
        <f t="shared" si="33"/>
        <v>28.202080000000002</v>
      </c>
      <c r="N189">
        <f t="shared" si="33"/>
        <v>28.127875000000003</v>
      </c>
      <c r="O189">
        <f t="shared" si="33"/>
        <v>28.053670000000004</v>
      </c>
      <c r="P189">
        <f t="shared" si="33"/>
        <v>27.979465000000005</v>
      </c>
      <c r="Q189">
        <f t="shared" si="33"/>
        <v>27.905260000000006</v>
      </c>
      <c r="R189">
        <f t="shared" si="33"/>
        <v>27.831055000000003</v>
      </c>
      <c r="S189">
        <f t="shared" si="33"/>
        <v>27.756850000000004</v>
      </c>
      <c r="T189">
        <f t="shared" si="33"/>
        <v>27.682645000000004</v>
      </c>
      <c r="U189">
        <f t="shared" si="31"/>
        <v>27.608440000000002</v>
      </c>
      <c r="V189">
        <f t="shared" si="31"/>
        <v>27.534235000000002</v>
      </c>
      <c r="W189">
        <f t="shared" si="31"/>
        <v>27.460030000000003</v>
      </c>
      <c r="X189">
        <f t="shared" si="31"/>
        <v>27.385825000000004</v>
      </c>
      <c r="Y189">
        <f t="shared" si="31"/>
        <v>27.311620000000005</v>
      </c>
      <c r="Z189">
        <f t="shared" si="31"/>
        <v>27.237415000000002</v>
      </c>
      <c r="AA189">
        <f t="shared" si="31"/>
        <v>27.163210000000003</v>
      </c>
      <c r="AB189">
        <f t="shared" si="31"/>
        <v>27.089005000000004</v>
      </c>
      <c r="AC189">
        <f t="shared" si="31"/>
        <v>27.014800000000001</v>
      </c>
      <c r="AD189">
        <f t="shared" si="31"/>
        <v>25.679110000000005</v>
      </c>
    </row>
    <row r="190" spans="2:30" x14ac:dyDescent="0.2">
      <c r="B190" s="7">
        <v>44759</v>
      </c>
      <c r="C190" s="8">
        <v>26.203472222222224</v>
      </c>
      <c r="D190">
        <f t="shared" si="25"/>
        <v>29.479647222222226</v>
      </c>
      <c r="E190">
        <f t="shared" si="33"/>
        <v>29.405442222222224</v>
      </c>
      <c r="F190">
        <f t="shared" si="33"/>
        <v>29.331237222222224</v>
      </c>
      <c r="G190">
        <f t="shared" si="33"/>
        <v>29.257032222222225</v>
      </c>
      <c r="H190">
        <f t="shared" si="33"/>
        <v>29.182827222222226</v>
      </c>
      <c r="I190">
        <f t="shared" si="33"/>
        <v>29.108622222222223</v>
      </c>
      <c r="J190">
        <f t="shared" si="33"/>
        <v>29.034417222222224</v>
      </c>
      <c r="K190">
        <f t="shared" si="33"/>
        <v>28.960212222222225</v>
      </c>
      <c r="L190">
        <f t="shared" si="33"/>
        <v>28.886007222222226</v>
      </c>
      <c r="M190">
        <f t="shared" si="33"/>
        <v>28.811802222222223</v>
      </c>
      <c r="N190">
        <f t="shared" si="33"/>
        <v>28.737597222222224</v>
      </c>
      <c r="O190">
        <f t="shared" si="33"/>
        <v>28.663392222222225</v>
      </c>
      <c r="P190">
        <f t="shared" si="33"/>
        <v>28.589187222222225</v>
      </c>
      <c r="Q190">
        <f t="shared" si="33"/>
        <v>28.514982222222223</v>
      </c>
      <c r="R190">
        <f t="shared" si="33"/>
        <v>28.440777222222223</v>
      </c>
      <c r="S190">
        <f t="shared" si="33"/>
        <v>28.366572222222224</v>
      </c>
      <c r="T190">
        <f t="shared" si="33"/>
        <v>28.292367222222225</v>
      </c>
      <c r="U190">
        <f t="shared" si="31"/>
        <v>28.218162222222226</v>
      </c>
      <c r="V190">
        <f t="shared" si="31"/>
        <v>28.143957222222223</v>
      </c>
      <c r="W190">
        <f t="shared" si="31"/>
        <v>28.069752222222224</v>
      </c>
      <c r="X190">
        <f t="shared" si="31"/>
        <v>27.995547222222225</v>
      </c>
      <c r="Y190">
        <f t="shared" si="31"/>
        <v>27.921342222222222</v>
      </c>
      <c r="Z190">
        <f t="shared" si="31"/>
        <v>27.847137222222223</v>
      </c>
      <c r="AA190">
        <f t="shared" si="31"/>
        <v>27.772932222222224</v>
      </c>
      <c r="AB190">
        <f t="shared" si="31"/>
        <v>27.698727222222224</v>
      </c>
      <c r="AC190">
        <f t="shared" si="31"/>
        <v>27.624522222222225</v>
      </c>
      <c r="AD190">
        <f t="shared" si="31"/>
        <v>26.288832222222226</v>
      </c>
    </row>
    <row r="191" spans="2:30" x14ac:dyDescent="0.2">
      <c r="B191" s="7">
        <v>44760</v>
      </c>
      <c r="C191" s="8">
        <v>28.653472222222231</v>
      </c>
      <c r="D191">
        <f t="shared" si="25"/>
        <v>31.929647222222229</v>
      </c>
      <c r="E191">
        <f t="shared" si="33"/>
        <v>31.85544222222223</v>
      </c>
      <c r="F191">
        <f t="shared" si="33"/>
        <v>31.781237222222231</v>
      </c>
      <c r="G191">
        <f t="shared" si="33"/>
        <v>31.707032222222232</v>
      </c>
      <c r="H191">
        <f t="shared" si="33"/>
        <v>31.632827222222232</v>
      </c>
      <c r="I191">
        <f t="shared" si="33"/>
        <v>31.55862222222223</v>
      </c>
      <c r="J191">
        <f t="shared" si="33"/>
        <v>31.48441722222223</v>
      </c>
      <c r="K191">
        <f t="shared" si="33"/>
        <v>31.410212222222231</v>
      </c>
      <c r="L191">
        <f t="shared" si="33"/>
        <v>31.336007222222232</v>
      </c>
      <c r="M191">
        <f t="shared" si="33"/>
        <v>31.261802222222229</v>
      </c>
      <c r="N191">
        <f t="shared" si="33"/>
        <v>31.18759722222223</v>
      </c>
      <c r="O191">
        <f t="shared" si="33"/>
        <v>31.113392222222231</v>
      </c>
      <c r="P191">
        <f t="shared" si="33"/>
        <v>31.039187222222232</v>
      </c>
      <c r="Q191">
        <f t="shared" si="33"/>
        <v>30.964982222222233</v>
      </c>
      <c r="R191">
        <f t="shared" si="33"/>
        <v>30.89077722222223</v>
      </c>
      <c r="S191">
        <f t="shared" si="33"/>
        <v>30.816572222222231</v>
      </c>
      <c r="T191">
        <f t="shared" si="33"/>
        <v>30.742367222222232</v>
      </c>
      <c r="U191">
        <f t="shared" si="31"/>
        <v>30.668162222222229</v>
      </c>
      <c r="V191">
        <f t="shared" si="31"/>
        <v>30.59395722222223</v>
      </c>
      <c r="W191">
        <f t="shared" si="31"/>
        <v>30.51975222222223</v>
      </c>
      <c r="X191">
        <f t="shared" si="31"/>
        <v>30.445547222222231</v>
      </c>
      <c r="Y191">
        <f t="shared" si="31"/>
        <v>30.371342222222232</v>
      </c>
      <c r="Z191">
        <f t="shared" si="31"/>
        <v>30.297137222222229</v>
      </c>
      <c r="AA191">
        <f t="shared" si="31"/>
        <v>30.22293222222223</v>
      </c>
      <c r="AB191">
        <f t="shared" si="31"/>
        <v>30.148727222222231</v>
      </c>
      <c r="AC191">
        <f t="shared" si="31"/>
        <v>30.074522222222228</v>
      </c>
      <c r="AD191">
        <f t="shared" si="31"/>
        <v>28.738832222222232</v>
      </c>
    </row>
    <row r="192" spans="2:30" x14ac:dyDescent="0.2">
      <c r="B192" s="7">
        <v>44761</v>
      </c>
      <c r="C192" s="8">
        <v>30.246527777777771</v>
      </c>
      <c r="D192">
        <f t="shared" si="25"/>
        <v>33.522702777777774</v>
      </c>
      <c r="E192">
        <f t="shared" si="33"/>
        <v>33.448497777777774</v>
      </c>
      <c r="F192">
        <f t="shared" si="33"/>
        <v>33.374292777777768</v>
      </c>
      <c r="G192">
        <f t="shared" si="33"/>
        <v>33.300087777777769</v>
      </c>
      <c r="H192">
        <f t="shared" si="33"/>
        <v>33.22588277777777</v>
      </c>
      <c r="I192">
        <f t="shared" si="33"/>
        <v>33.15167777777777</v>
      </c>
      <c r="J192">
        <f t="shared" si="33"/>
        <v>33.077472777777771</v>
      </c>
      <c r="K192">
        <f t="shared" si="33"/>
        <v>33.003267777777772</v>
      </c>
      <c r="L192">
        <f t="shared" si="33"/>
        <v>32.929062777777773</v>
      </c>
      <c r="M192">
        <f t="shared" si="33"/>
        <v>32.854857777777774</v>
      </c>
      <c r="N192">
        <f t="shared" si="33"/>
        <v>32.780652777777775</v>
      </c>
      <c r="O192">
        <f t="shared" si="33"/>
        <v>32.706447777777768</v>
      </c>
      <c r="P192">
        <f t="shared" si="33"/>
        <v>32.632242777777769</v>
      </c>
      <c r="Q192">
        <f t="shared" si="33"/>
        <v>32.55803777777777</v>
      </c>
      <c r="R192">
        <f t="shared" si="33"/>
        <v>32.483832777777771</v>
      </c>
      <c r="S192">
        <f t="shared" si="33"/>
        <v>32.409627777777771</v>
      </c>
      <c r="T192">
        <f t="shared" si="33"/>
        <v>32.335422777777772</v>
      </c>
      <c r="U192">
        <f t="shared" si="31"/>
        <v>32.261217777777773</v>
      </c>
      <c r="V192">
        <f t="shared" si="31"/>
        <v>32.187012777777774</v>
      </c>
      <c r="W192">
        <f t="shared" si="31"/>
        <v>32.112807777777775</v>
      </c>
      <c r="X192">
        <f t="shared" si="31"/>
        <v>32.038602777777768</v>
      </c>
      <c r="Y192">
        <f t="shared" si="31"/>
        <v>31.964397777777769</v>
      </c>
      <c r="Z192">
        <f t="shared" si="31"/>
        <v>31.89019277777777</v>
      </c>
      <c r="AA192">
        <f t="shared" si="31"/>
        <v>31.815987777777771</v>
      </c>
      <c r="AB192">
        <f t="shared" si="31"/>
        <v>31.741782777777772</v>
      </c>
      <c r="AC192">
        <f t="shared" si="31"/>
        <v>31.667577777777772</v>
      </c>
      <c r="AD192">
        <f t="shared" si="31"/>
        <v>30.331887777777773</v>
      </c>
    </row>
    <row r="193" spans="2:30" x14ac:dyDescent="0.2">
      <c r="B193" s="7">
        <v>44762</v>
      </c>
      <c r="C193" s="8">
        <v>28.71180555555555</v>
      </c>
      <c r="D193">
        <f t="shared" si="25"/>
        <v>31.987980555555552</v>
      </c>
      <c r="E193">
        <f t="shared" si="33"/>
        <v>31.913775555555549</v>
      </c>
      <c r="F193">
        <f t="shared" si="33"/>
        <v>31.83957055555555</v>
      </c>
      <c r="G193">
        <f t="shared" si="33"/>
        <v>31.765365555555551</v>
      </c>
      <c r="H193">
        <f t="shared" si="33"/>
        <v>31.691160555555552</v>
      </c>
      <c r="I193">
        <f t="shared" si="33"/>
        <v>31.616955555555549</v>
      </c>
      <c r="J193">
        <f t="shared" si="33"/>
        <v>31.54275055555555</v>
      </c>
      <c r="K193">
        <f t="shared" si="33"/>
        <v>31.468545555555551</v>
      </c>
      <c r="L193">
        <f t="shared" si="33"/>
        <v>31.394340555555551</v>
      </c>
      <c r="M193">
        <f t="shared" si="33"/>
        <v>31.320135555555549</v>
      </c>
      <c r="N193">
        <f t="shared" si="33"/>
        <v>31.24593055555555</v>
      </c>
      <c r="O193">
        <f t="shared" si="33"/>
        <v>31.17172555555555</v>
      </c>
      <c r="P193">
        <f t="shared" si="33"/>
        <v>31.097520555555551</v>
      </c>
      <c r="Q193">
        <f t="shared" si="33"/>
        <v>31.023315555555548</v>
      </c>
      <c r="R193">
        <f t="shared" si="33"/>
        <v>30.949110555555549</v>
      </c>
      <c r="S193">
        <f t="shared" si="33"/>
        <v>30.87490555555555</v>
      </c>
      <c r="T193">
        <f t="shared" si="33"/>
        <v>30.800700555555551</v>
      </c>
      <c r="U193">
        <f t="shared" ref="U193:AD218" si="34">(-1.4841*U$3+3.6472)+$C193</f>
        <v>30.726495555555552</v>
      </c>
      <c r="V193">
        <f t="shared" si="34"/>
        <v>30.652290555555549</v>
      </c>
      <c r="W193">
        <f t="shared" si="34"/>
        <v>30.57808555555555</v>
      </c>
      <c r="X193">
        <f t="shared" si="34"/>
        <v>30.503880555555551</v>
      </c>
      <c r="Y193">
        <f t="shared" si="34"/>
        <v>30.429675555555548</v>
      </c>
      <c r="Z193">
        <f t="shared" si="34"/>
        <v>30.355470555555549</v>
      </c>
      <c r="AA193">
        <f t="shared" si="34"/>
        <v>30.281265555555549</v>
      </c>
      <c r="AB193">
        <f t="shared" si="34"/>
        <v>30.20706055555555</v>
      </c>
      <c r="AC193">
        <f t="shared" si="34"/>
        <v>30.132855555555551</v>
      </c>
      <c r="AD193">
        <f t="shared" si="34"/>
        <v>28.797165555555551</v>
      </c>
    </row>
    <row r="194" spans="2:30" x14ac:dyDescent="0.2">
      <c r="B194" s="7">
        <v>44763</v>
      </c>
      <c r="C194" s="8">
        <v>24.902777777777768</v>
      </c>
      <c r="D194">
        <f t="shared" si="25"/>
        <v>28.178952777777766</v>
      </c>
      <c r="E194">
        <f t="shared" si="33"/>
        <v>28.104747777777767</v>
      </c>
      <c r="F194">
        <f t="shared" si="33"/>
        <v>28.030542777777768</v>
      </c>
      <c r="G194">
        <f t="shared" si="33"/>
        <v>27.956337777777769</v>
      </c>
      <c r="H194">
        <f t="shared" si="33"/>
        <v>27.88213277777777</v>
      </c>
      <c r="I194">
        <f t="shared" si="33"/>
        <v>27.807927777777767</v>
      </c>
      <c r="J194">
        <f t="shared" si="33"/>
        <v>27.733722777777768</v>
      </c>
      <c r="K194">
        <f t="shared" si="33"/>
        <v>27.659517777777769</v>
      </c>
      <c r="L194">
        <f t="shared" si="33"/>
        <v>27.585312777777769</v>
      </c>
      <c r="M194">
        <f t="shared" si="33"/>
        <v>27.511107777777767</v>
      </c>
      <c r="N194">
        <f t="shared" si="33"/>
        <v>27.436902777777767</v>
      </c>
      <c r="O194">
        <f t="shared" si="33"/>
        <v>27.362697777777768</v>
      </c>
      <c r="P194">
        <f t="shared" si="33"/>
        <v>27.288492777777769</v>
      </c>
      <c r="Q194">
        <f t="shared" si="33"/>
        <v>27.21428777777777</v>
      </c>
      <c r="R194">
        <f t="shared" si="33"/>
        <v>27.140082777777767</v>
      </c>
      <c r="S194">
        <f t="shared" si="33"/>
        <v>27.065877777777768</v>
      </c>
      <c r="T194">
        <f t="shared" si="33"/>
        <v>26.991672777777769</v>
      </c>
      <c r="U194">
        <f t="shared" si="34"/>
        <v>26.917467777777766</v>
      </c>
      <c r="V194">
        <f t="shared" si="34"/>
        <v>26.843262777777767</v>
      </c>
      <c r="W194">
        <f t="shared" si="34"/>
        <v>26.769057777777768</v>
      </c>
      <c r="X194">
        <f t="shared" si="34"/>
        <v>26.694852777777768</v>
      </c>
      <c r="Y194">
        <f t="shared" si="34"/>
        <v>26.620647777777769</v>
      </c>
      <c r="Z194">
        <f t="shared" si="34"/>
        <v>26.546442777777767</v>
      </c>
      <c r="AA194">
        <f t="shared" si="34"/>
        <v>26.472237777777767</v>
      </c>
      <c r="AB194">
        <f t="shared" si="34"/>
        <v>26.398032777777768</v>
      </c>
      <c r="AC194">
        <f t="shared" si="34"/>
        <v>26.323827777777765</v>
      </c>
      <c r="AD194">
        <f t="shared" si="34"/>
        <v>24.988137777777769</v>
      </c>
    </row>
    <row r="195" spans="2:30" x14ac:dyDescent="0.2">
      <c r="B195" s="7">
        <v>44764</v>
      </c>
      <c r="C195" s="8">
        <v>23.706250000000004</v>
      </c>
      <c r="D195">
        <f t="shared" si="25"/>
        <v>26.982425000000006</v>
      </c>
      <c r="E195">
        <f t="shared" si="33"/>
        <v>26.908220000000004</v>
      </c>
      <c r="F195">
        <f t="shared" si="33"/>
        <v>26.834015000000004</v>
      </c>
      <c r="G195">
        <f t="shared" si="33"/>
        <v>26.759810000000005</v>
      </c>
      <c r="H195">
        <f t="shared" si="33"/>
        <v>26.685605000000006</v>
      </c>
      <c r="I195">
        <f t="shared" si="33"/>
        <v>26.611400000000003</v>
      </c>
      <c r="J195">
        <f t="shared" si="33"/>
        <v>26.537195000000004</v>
      </c>
      <c r="K195">
        <f t="shared" si="33"/>
        <v>26.462990000000005</v>
      </c>
      <c r="L195">
        <f t="shared" si="33"/>
        <v>26.388785000000006</v>
      </c>
      <c r="M195">
        <f t="shared" si="33"/>
        <v>26.314580000000003</v>
      </c>
      <c r="N195">
        <f t="shared" si="33"/>
        <v>26.240375000000004</v>
      </c>
      <c r="O195">
        <f t="shared" si="33"/>
        <v>26.166170000000005</v>
      </c>
      <c r="P195">
        <f t="shared" si="33"/>
        <v>26.091965000000005</v>
      </c>
      <c r="Q195">
        <f t="shared" si="33"/>
        <v>26.017760000000003</v>
      </c>
      <c r="R195">
        <f t="shared" si="33"/>
        <v>25.943555000000003</v>
      </c>
      <c r="S195">
        <f t="shared" si="33"/>
        <v>25.869350000000004</v>
      </c>
      <c r="T195">
        <f t="shared" si="33"/>
        <v>25.795145000000005</v>
      </c>
      <c r="U195">
        <f t="shared" si="34"/>
        <v>25.720940000000006</v>
      </c>
      <c r="V195">
        <f t="shared" si="34"/>
        <v>25.646735000000003</v>
      </c>
      <c r="W195">
        <f t="shared" si="34"/>
        <v>25.572530000000004</v>
      </c>
      <c r="X195">
        <f t="shared" si="34"/>
        <v>25.498325000000005</v>
      </c>
      <c r="Y195">
        <f t="shared" si="34"/>
        <v>25.424120000000002</v>
      </c>
      <c r="Z195">
        <f t="shared" si="34"/>
        <v>25.349915000000003</v>
      </c>
      <c r="AA195">
        <f t="shared" si="34"/>
        <v>25.275710000000004</v>
      </c>
      <c r="AB195">
        <f t="shared" si="34"/>
        <v>25.201505000000004</v>
      </c>
      <c r="AC195">
        <f t="shared" si="34"/>
        <v>25.127300000000005</v>
      </c>
      <c r="AD195">
        <f t="shared" si="34"/>
        <v>23.791610000000006</v>
      </c>
    </row>
    <row r="196" spans="2:30" x14ac:dyDescent="0.2">
      <c r="B196" s="7">
        <v>44765</v>
      </c>
      <c r="C196" s="8">
        <v>25.972222222222225</v>
      </c>
      <c r="D196">
        <f t="shared" si="25"/>
        <v>29.248397222222223</v>
      </c>
      <c r="E196">
        <f t="shared" si="33"/>
        <v>29.174192222222224</v>
      </c>
      <c r="F196">
        <f t="shared" si="33"/>
        <v>29.099987222222225</v>
      </c>
      <c r="G196">
        <f t="shared" si="33"/>
        <v>29.025782222222226</v>
      </c>
      <c r="H196">
        <f t="shared" si="33"/>
        <v>28.951577222222227</v>
      </c>
      <c r="I196">
        <f t="shared" si="33"/>
        <v>28.877372222222224</v>
      </c>
      <c r="J196">
        <f t="shared" si="33"/>
        <v>28.803167222222225</v>
      </c>
      <c r="K196">
        <f t="shared" si="33"/>
        <v>28.728962222222226</v>
      </c>
      <c r="L196">
        <f t="shared" si="33"/>
        <v>28.654757222222226</v>
      </c>
      <c r="M196">
        <f t="shared" si="33"/>
        <v>28.580552222222224</v>
      </c>
      <c r="N196">
        <f t="shared" si="33"/>
        <v>28.506347222222225</v>
      </c>
      <c r="O196">
        <f t="shared" si="33"/>
        <v>28.432142222222225</v>
      </c>
      <c r="P196">
        <f t="shared" si="33"/>
        <v>28.357937222222226</v>
      </c>
      <c r="Q196">
        <f t="shared" si="33"/>
        <v>28.283732222222227</v>
      </c>
      <c r="R196">
        <f t="shared" si="33"/>
        <v>28.209527222222224</v>
      </c>
      <c r="S196">
        <f t="shared" si="33"/>
        <v>28.135322222222225</v>
      </c>
      <c r="T196">
        <f t="shared" ref="T196" si="35">(-1.4841*T$3+3.6472)+$C196</f>
        <v>28.061117222222226</v>
      </c>
      <c r="U196">
        <f t="shared" si="34"/>
        <v>27.986912222222223</v>
      </c>
      <c r="V196">
        <f t="shared" si="34"/>
        <v>27.912707222222224</v>
      </c>
      <c r="W196">
        <f t="shared" si="34"/>
        <v>27.838502222222225</v>
      </c>
      <c r="X196">
        <f t="shared" si="34"/>
        <v>27.764297222222226</v>
      </c>
      <c r="Y196">
        <f t="shared" si="34"/>
        <v>27.690092222222226</v>
      </c>
      <c r="Z196">
        <f t="shared" si="34"/>
        <v>27.615887222222224</v>
      </c>
      <c r="AA196">
        <f t="shared" si="34"/>
        <v>27.541682222222224</v>
      </c>
      <c r="AB196">
        <f t="shared" si="34"/>
        <v>27.467477222222225</v>
      </c>
      <c r="AC196">
        <f t="shared" si="34"/>
        <v>27.393272222222222</v>
      </c>
      <c r="AD196">
        <f t="shared" si="34"/>
        <v>26.057582222222226</v>
      </c>
    </row>
    <row r="197" spans="2:30" x14ac:dyDescent="0.2">
      <c r="B197" s="7">
        <v>44766</v>
      </c>
      <c r="C197" s="8">
        <v>27.883333333333347</v>
      </c>
      <c r="D197">
        <f t="shared" si="25"/>
        <v>31.159508333333349</v>
      </c>
      <c r="E197">
        <f t="shared" ref="E197:T212" si="36">(-1.4841*E$3+3.6472)+$C197</f>
        <v>31.085303333333346</v>
      </c>
      <c r="F197">
        <f t="shared" si="36"/>
        <v>31.011098333333347</v>
      </c>
      <c r="G197">
        <f t="shared" si="36"/>
        <v>30.936893333333348</v>
      </c>
      <c r="H197">
        <f t="shared" si="36"/>
        <v>30.862688333333349</v>
      </c>
      <c r="I197">
        <f t="shared" si="36"/>
        <v>30.788483333333346</v>
      </c>
      <c r="J197">
        <f t="shared" si="36"/>
        <v>30.714278333333347</v>
      </c>
      <c r="K197">
        <f t="shared" si="36"/>
        <v>30.640073333333348</v>
      </c>
      <c r="L197">
        <f t="shared" si="36"/>
        <v>30.565868333333349</v>
      </c>
      <c r="M197">
        <f t="shared" si="36"/>
        <v>30.491663333333346</v>
      </c>
      <c r="N197">
        <f t="shared" si="36"/>
        <v>30.417458333333347</v>
      </c>
      <c r="O197">
        <f t="shared" si="36"/>
        <v>30.343253333333347</v>
      </c>
      <c r="P197">
        <f t="shared" si="36"/>
        <v>30.269048333333348</v>
      </c>
      <c r="Q197">
        <f t="shared" si="36"/>
        <v>30.194843333333345</v>
      </c>
      <c r="R197">
        <f t="shared" si="36"/>
        <v>30.120638333333346</v>
      </c>
      <c r="S197">
        <f t="shared" si="36"/>
        <v>30.046433333333347</v>
      </c>
      <c r="T197">
        <f t="shared" si="36"/>
        <v>29.972228333333348</v>
      </c>
      <c r="U197">
        <f t="shared" si="34"/>
        <v>29.898023333333349</v>
      </c>
      <c r="V197">
        <f t="shared" si="34"/>
        <v>29.823818333333346</v>
      </c>
      <c r="W197">
        <f t="shared" si="34"/>
        <v>29.749613333333347</v>
      </c>
      <c r="X197">
        <f t="shared" si="34"/>
        <v>29.675408333333348</v>
      </c>
      <c r="Y197">
        <f t="shared" si="34"/>
        <v>29.601203333333345</v>
      </c>
      <c r="Z197">
        <f t="shared" si="34"/>
        <v>29.526998333333346</v>
      </c>
      <c r="AA197">
        <f t="shared" si="34"/>
        <v>29.452793333333346</v>
      </c>
      <c r="AB197">
        <f t="shared" si="34"/>
        <v>29.378588333333347</v>
      </c>
      <c r="AC197">
        <f t="shared" si="34"/>
        <v>29.304383333333348</v>
      </c>
      <c r="AD197">
        <f t="shared" si="34"/>
        <v>27.968693333333349</v>
      </c>
    </row>
    <row r="198" spans="2:30" x14ac:dyDescent="0.2">
      <c r="B198" s="7">
        <v>44767</v>
      </c>
      <c r="C198" s="8">
        <v>27.122222222222224</v>
      </c>
      <c r="D198">
        <f t="shared" ref="D198:D261" si="37">(-1.4841*D$3+3.6472)+C198</f>
        <v>30.398397222222222</v>
      </c>
      <c r="E198">
        <f t="shared" si="36"/>
        <v>30.324192222222223</v>
      </c>
      <c r="F198">
        <f t="shared" si="36"/>
        <v>30.249987222222224</v>
      </c>
      <c r="G198">
        <f t="shared" si="36"/>
        <v>30.175782222222225</v>
      </c>
      <c r="H198">
        <f t="shared" si="36"/>
        <v>30.101577222222225</v>
      </c>
      <c r="I198">
        <f t="shared" si="36"/>
        <v>30.027372222222223</v>
      </c>
      <c r="J198">
        <f t="shared" si="36"/>
        <v>29.953167222222223</v>
      </c>
      <c r="K198">
        <f t="shared" si="36"/>
        <v>29.878962222222224</v>
      </c>
      <c r="L198">
        <f t="shared" si="36"/>
        <v>29.804757222222225</v>
      </c>
      <c r="M198">
        <f t="shared" si="36"/>
        <v>29.730552222222222</v>
      </c>
      <c r="N198">
        <f t="shared" si="36"/>
        <v>29.656347222222223</v>
      </c>
      <c r="O198">
        <f t="shared" si="36"/>
        <v>29.582142222222224</v>
      </c>
      <c r="P198">
        <f t="shared" si="36"/>
        <v>29.507937222222225</v>
      </c>
      <c r="Q198">
        <f t="shared" si="36"/>
        <v>29.433732222222226</v>
      </c>
      <c r="R198">
        <f t="shared" si="36"/>
        <v>29.359527222222223</v>
      </c>
      <c r="S198">
        <f t="shared" si="36"/>
        <v>29.285322222222224</v>
      </c>
      <c r="T198">
        <f t="shared" si="36"/>
        <v>29.211117222222224</v>
      </c>
      <c r="U198">
        <f t="shared" si="34"/>
        <v>29.136912222222222</v>
      </c>
      <c r="V198">
        <f t="shared" si="34"/>
        <v>29.062707222222222</v>
      </c>
      <c r="W198">
        <f t="shared" si="34"/>
        <v>28.988502222222223</v>
      </c>
      <c r="X198">
        <f t="shared" si="34"/>
        <v>28.914297222222224</v>
      </c>
      <c r="Y198">
        <f t="shared" si="34"/>
        <v>28.840092222222225</v>
      </c>
      <c r="Z198">
        <f t="shared" si="34"/>
        <v>28.765887222222222</v>
      </c>
      <c r="AA198">
        <f t="shared" si="34"/>
        <v>28.691682222222223</v>
      </c>
      <c r="AB198">
        <f t="shared" si="34"/>
        <v>28.617477222222224</v>
      </c>
      <c r="AC198">
        <f t="shared" si="34"/>
        <v>28.543272222222221</v>
      </c>
      <c r="AD198">
        <f t="shared" si="34"/>
        <v>27.207582222222225</v>
      </c>
    </row>
    <row r="199" spans="2:30" x14ac:dyDescent="0.2">
      <c r="B199" s="7">
        <v>44768</v>
      </c>
      <c r="C199" s="8">
        <v>24.159722222222225</v>
      </c>
      <c r="D199">
        <f t="shared" si="37"/>
        <v>27.435897222222223</v>
      </c>
      <c r="E199">
        <f t="shared" si="36"/>
        <v>27.361692222222224</v>
      </c>
      <c r="F199">
        <f t="shared" si="36"/>
        <v>27.287487222222225</v>
      </c>
      <c r="G199">
        <f t="shared" si="36"/>
        <v>27.213282222222226</v>
      </c>
      <c r="H199">
        <f t="shared" si="36"/>
        <v>27.139077222222227</v>
      </c>
      <c r="I199">
        <f t="shared" si="36"/>
        <v>27.064872222222224</v>
      </c>
      <c r="J199">
        <f t="shared" si="36"/>
        <v>26.990667222222225</v>
      </c>
      <c r="K199">
        <f t="shared" si="36"/>
        <v>26.916462222222226</v>
      </c>
      <c r="L199">
        <f t="shared" si="36"/>
        <v>26.842257222222226</v>
      </c>
      <c r="M199">
        <f t="shared" si="36"/>
        <v>26.768052222222224</v>
      </c>
      <c r="N199">
        <f t="shared" si="36"/>
        <v>26.693847222222225</v>
      </c>
      <c r="O199">
        <f t="shared" si="36"/>
        <v>26.619642222222225</v>
      </c>
      <c r="P199">
        <f t="shared" si="36"/>
        <v>26.545437222222226</v>
      </c>
      <c r="Q199">
        <f t="shared" si="36"/>
        <v>26.471232222222227</v>
      </c>
      <c r="R199">
        <f t="shared" si="36"/>
        <v>26.397027222222224</v>
      </c>
      <c r="S199">
        <f t="shared" si="36"/>
        <v>26.322822222222225</v>
      </c>
      <c r="T199">
        <f t="shared" si="36"/>
        <v>26.248617222222226</v>
      </c>
      <c r="U199">
        <f t="shared" si="34"/>
        <v>26.174412222222223</v>
      </c>
      <c r="V199">
        <f t="shared" si="34"/>
        <v>26.100207222222224</v>
      </c>
      <c r="W199">
        <f t="shared" si="34"/>
        <v>26.026002222222225</v>
      </c>
      <c r="X199">
        <f t="shared" si="34"/>
        <v>25.951797222222226</v>
      </c>
      <c r="Y199">
        <f t="shared" si="34"/>
        <v>25.877592222222226</v>
      </c>
      <c r="Z199">
        <f t="shared" si="34"/>
        <v>25.803387222222224</v>
      </c>
      <c r="AA199">
        <f t="shared" si="34"/>
        <v>25.729182222222224</v>
      </c>
      <c r="AB199">
        <f t="shared" si="34"/>
        <v>25.654977222222225</v>
      </c>
      <c r="AC199">
        <f t="shared" si="34"/>
        <v>25.580772222222222</v>
      </c>
      <c r="AD199">
        <f t="shared" si="34"/>
        <v>24.245082222222226</v>
      </c>
    </row>
    <row r="200" spans="2:30" x14ac:dyDescent="0.2">
      <c r="B200" s="7">
        <v>44769</v>
      </c>
      <c r="C200" s="8">
        <v>23.422916666666669</v>
      </c>
      <c r="D200">
        <f t="shared" si="37"/>
        <v>26.699091666666668</v>
      </c>
      <c r="E200">
        <f t="shared" si="36"/>
        <v>26.624886666666669</v>
      </c>
      <c r="F200">
        <f t="shared" si="36"/>
        <v>26.550681666666669</v>
      </c>
      <c r="G200">
        <f t="shared" si="36"/>
        <v>26.47647666666667</v>
      </c>
      <c r="H200">
        <f t="shared" si="36"/>
        <v>26.402271666666671</v>
      </c>
      <c r="I200">
        <f t="shared" si="36"/>
        <v>26.328066666666668</v>
      </c>
      <c r="J200">
        <f t="shared" si="36"/>
        <v>26.253861666666669</v>
      </c>
      <c r="K200">
        <f t="shared" si="36"/>
        <v>26.17965666666667</v>
      </c>
      <c r="L200">
        <f t="shared" si="36"/>
        <v>26.105451666666671</v>
      </c>
      <c r="M200">
        <f t="shared" si="36"/>
        <v>26.031246666666668</v>
      </c>
      <c r="N200">
        <f t="shared" si="36"/>
        <v>25.957041666666669</v>
      </c>
      <c r="O200">
        <f t="shared" si="36"/>
        <v>25.88283666666667</v>
      </c>
      <c r="P200">
        <f t="shared" si="36"/>
        <v>25.80863166666667</v>
      </c>
      <c r="Q200">
        <f t="shared" si="36"/>
        <v>25.734426666666671</v>
      </c>
      <c r="R200">
        <f t="shared" si="36"/>
        <v>25.660221666666668</v>
      </c>
      <c r="S200">
        <f t="shared" si="36"/>
        <v>25.586016666666669</v>
      </c>
      <c r="T200">
        <f t="shared" si="36"/>
        <v>25.51181166666667</v>
      </c>
      <c r="U200">
        <f t="shared" si="34"/>
        <v>25.437606666666667</v>
      </c>
      <c r="V200">
        <f t="shared" si="34"/>
        <v>25.363401666666668</v>
      </c>
      <c r="W200">
        <f t="shared" si="34"/>
        <v>25.289196666666669</v>
      </c>
      <c r="X200">
        <f t="shared" si="34"/>
        <v>25.21499166666667</v>
      </c>
      <c r="Y200">
        <f t="shared" si="34"/>
        <v>25.140786666666671</v>
      </c>
      <c r="Z200">
        <f t="shared" si="34"/>
        <v>25.066581666666668</v>
      </c>
      <c r="AA200">
        <f t="shared" si="34"/>
        <v>24.992376666666669</v>
      </c>
      <c r="AB200">
        <f t="shared" si="34"/>
        <v>24.918171666666669</v>
      </c>
      <c r="AC200">
        <f t="shared" si="34"/>
        <v>24.843966666666667</v>
      </c>
      <c r="AD200">
        <f t="shared" si="34"/>
        <v>23.508276666666671</v>
      </c>
    </row>
    <row r="201" spans="2:30" x14ac:dyDescent="0.2">
      <c r="B201" s="7">
        <v>44770</v>
      </c>
      <c r="C201" s="8">
        <v>22.915277777777778</v>
      </c>
      <c r="D201">
        <f t="shared" si="37"/>
        <v>26.191452777777776</v>
      </c>
      <c r="E201">
        <f t="shared" si="36"/>
        <v>26.117247777777777</v>
      </c>
      <c r="F201">
        <f t="shared" si="36"/>
        <v>26.043042777777778</v>
      </c>
      <c r="G201">
        <f t="shared" si="36"/>
        <v>25.968837777777779</v>
      </c>
      <c r="H201">
        <f t="shared" si="36"/>
        <v>25.89463277777778</v>
      </c>
      <c r="I201">
        <f t="shared" si="36"/>
        <v>25.820427777777777</v>
      </c>
      <c r="J201">
        <f t="shared" si="36"/>
        <v>25.746222777777778</v>
      </c>
      <c r="K201">
        <f t="shared" si="36"/>
        <v>25.672017777777778</v>
      </c>
      <c r="L201">
        <f t="shared" si="36"/>
        <v>25.597812777777779</v>
      </c>
      <c r="M201">
        <f t="shared" si="36"/>
        <v>25.523607777777777</v>
      </c>
      <c r="N201">
        <f t="shared" si="36"/>
        <v>25.449402777777777</v>
      </c>
      <c r="O201">
        <f t="shared" si="36"/>
        <v>25.375197777777778</v>
      </c>
      <c r="P201">
        <f t="shared" si="36"/>
        <v>25.300992777777779</v>
      </c>
      <c r="Q201">
        <f t="shared" si="36"/>
        <v>25.22678777777778</v>
      </c>
      <c r="R201">
        <f t="shared" si="36"/>
        <v>25.152582777777777</v>
      </c>
      <c r="S201">
        <f t="shared" si="36"/>
        <v>25.078377777777778</v>
      </c>
      <c r="T201">
        <f t="shared" si="36"/>
        <v>25.004172777777779</v>
      </c>
      <c r="U201">
        <f t="shared" si="34"/>
        <v>24.929967777777776</v>
      </c>
      <c r="V201">
        <f t="shared" si="34"/>
        <v>24.855762777777777</v>
      </c>
      <c r="W201">
        <f t="shared" si="34"/>
        <v>24.781557777777778</v>
      </c>
      <c r="X201">
        <f t="shared" si="34"/>
        <v>24.707352777777778</v>
      </c>
      <c r="Y201">
        <f t="shared" si="34"/>
        <v>24.633147777777779</v>
      </c>
      <c r="Z201">
        <f t="shared" si="34"/>
        <v>24.558942777777776</v>
      </c>
      <c r="AA201">
        <f t="shared" si="34"/>
        <v>24.484737777777777</v>
      </c>
      <c r="AB201">
        <f t="shared" si="34"/>
        <v>24.410532777777778</v>
      </c>
      <c r="AC201">
        <f t="shared" si="34"/>
        <v>24.336327777777775</v>
      </c>
      <c r="AD201">
        <f t="shared" si="34"/>
        <v>23.000637777777779</v>
      </c>
    </row>
    <row r="202" spans="2:30" x14ac:dyDescent="0.2">
      <c r="B202" s="7">
        <v>44771</v>
      </c>
      <c r="C202" s="8">
        <v>24.353472222222219</v>
      </c>
      <c r="D202">
        <f t="shared" si="37"/>
        <v>27.629647222222218</v>
      </c>
      <c r="E202">
        <f t="shared" si="36"/>
        <v>27.555442222222219</v>
      </c>
      <c r="F202">
        <f t="shared" si="36"/>
        <v>27.481237222222219</v>
      </c>
      <c r="G202">
        <f t="shared" si="36"/>
        <v>27.40703222222222</v>
      </c>
      <c r="H202">
        <f t="shared" si="36"/>
        <v>27.332827222222221</v>
      </c>
      <c r="I202">
        <f t="shared" si="36"/>
        <v>27.258622222222218</v>
      </c>
      <c r="J202">
        <f t="shared" si="36"/>
        <v>27.184417222222219</v>
      </c>
      <c r="K202">
        <f t="shared" si="36"/>
        <v>27.11021222222222</v>
      </c>
      <c r="L202">
        <f t="shared" si="36"/>
        <v>27.036007222222221</v>
      </c>
      <c r="M202">
        <f t="shared" si="36"/>
        <v>26.961802222222218</v>
      </c>
      <c r="N202">
        <f t="shared" si="36"/>
        <v>26.887597222222219</v>
      </c>
      <c r="O202">
        <f t="shared" si="36"/>
        <v>26.81339222222222</v>
      </c>
      <c r="P202">
        <f t="shared" si="36"/>
        <v>26.73918722222222</v>
      </c>
      <c r="Q202">
        <f t="shared" si="36"/>
        <v>26.664982222222221</v>
      </c>
      <c r="R202">
        <f t="shared" si="36"/>
        <v>26.590777222222219</v>
      </c>
      <c r="S202">
        <f t="shared" si="36"/>
        <v>26.516572222222219</v>
      </c>
      <c r="T202">
        <f t="shared" si="36"/>
        <v>26.44236722222222</v>
      </c>
      <c r="U202">
        <f t="shared" si="34"/>
        <v>26.368162222222217</v>
      </c>
      <c r="V202">
        <f t="shared" si="34"/>
        <v>26.293957222222218</v>
      </c>
      <c r="W202">
        <f t="shared" si="34"/>
        <v>26.219752222222219</v>
      </c>
      <c r="X202">
        <f t="shared" si="34"/>
        <v>26.14554722222222</v>
      </c>
      <c r="Y202">
        <f t="shared" si="34"/>
        <v>26.071342222222221</v>
      </c>
      <c r="Z202">
        <f t="shared" si="34"/>
        <v>25.997137222222218</v>
      </c>
      <c r="AA202">
        <f t="shared" si="34"/>
        <v>25.922932222222219</v>
      </c>
      <c r="AB202">
        <f t="shared" si="34"/>
        <v>25.84872722222222</v>
      </c>
      <c r="AC202">
        <f t="shared" si="34"/>
        <v>25.774522222222217</v>
      </c>
      <c r="AD202">
        <f t="shared" si="34"/>
        <v>24.438832222222221</v>
      </c>
    </row>
    <row r="203" spans="2:30" x14ac:dyDescent="0.2">
      <c r="B203" s="7">
        <v>44772</v>
      </c>
      <c r="C203" s="8">
        <v>25.279861111111106</v>
      </c>
      <c r="D203">
        <f t="shared" si="37"/>
        <v>28.556036111111105</v>
      </c>
      <c r="E203">
        <f t="shared" si="36"/>
        <v>28.481831111111106</v>
      </c>
      <c r="F203">
        <f t="shared" si="36"/>
        <v>28.407626111111107</v>
      </c>
      <c r="G203">
        <f t="shared" si="36"/>
        <v>28.333421111111107</v>
      </c>
      <c r="H203">
        <f t="shared" si="36"/>
        <v>28.259216111111108</v>
      </c>
      <c r="I203">
        <f t="shared" si="36"/>
        <v>28.185011111111105</v>
      </c>
      <c r="J203">
        <f t="shared" si="36"/>
        <v>28.110806111111106</v>
      </c>
      <c r="K203">
        <f t="shared" si="36"/>
        <v>28.036601111111107</v>
      </c>
      <c r="L203">
        <f t="shared" si="36"/>
        <v>27.962396111111108</v>
      </c>
      <c r="M203">
        <f t="shared" si="36"/>
        <v>27.888191111111105</v>
      </c>
      <c r="N203">
        <f t="shared" si="36"/>
        <v>27.813986111111106</v>
      </c>
      <c r="O203">
        <f t="shared" si="36"/>
        <v>27.739781111111107</v>
      </c>
      <c r="P203">
        <f t="shared" si="36"/>
        <v>27.665576111111108</v>
      </c>
      <c r="Q203">
        <f t="shared" si="36"/>
        <v>27.591371111111108</v>
      </c>
      <c r="R203">
        <f t="shared" si="36"/>
        <v>27.517166111111106</v>
      </c>
      <c r="S203">
        <f t="shared" si="36"/>
        <v>27.442961111111106</v>
      </c>
      <c r="T203">
        <f t="shared" si="36"/>
        <v>27.368756111111107</v>
      </c>
      <c r="U203">
        <f t="shared" si="34"/>
        <v>27.294551111111105</v>
      </c>
      <c r="V203">
        <f t="shared" si="34"/>
        <v>27.220346111111105</v>
      </c>
      <c r="W203">
        <f t="shared" si="34"/>
        <v>27.146141111111106</v>
      </c>
      <c r="X203">
        <f t="shared" si="34"/>
        <v>27.071936111111107</v>
      </c>
      <c r="Y203">
        <f t="shared" si="34"/>
        <v>26.997731111111108</v>
      </c>
      <c r="Z203">
        <f t="shared" si="34"/>
        <v>26.923526111111105</v>
      </c>
      <c r="AA203">
        <f t="shared" si="34"/>
        <v>26.849321111111106</v>
      </c>
      <c r="AB203">
        <f t="shared" si="34"/>
        <v>26.775116111111107</v>
      </c>
      <c r="AC203">
        <f t="shared" si="34"/>
        <v>26.700911111111104</v>
      </c>
      <c r="AD203">
        <f t="shared" si="34"/>
        <v>25.365221111111108</v>
      </c>
    </row>
    <row r="204" spans="2:30" x14ac:dyDescent="0.2">
      <c r="B204" s="7">
        <v>44773</v>
      </c>
      <c r="C204" s="8">
        <v>24.472916666666677</v>
      </c>
      <c r="D204">
        <f t="shared" si="37"/>
        <v>27.749091666666679</v>
      </c>
      <c r="E204">
        <f t="shared" si="36"/>
        <v>27.674886666666676</v>
      </c>
      <c r="F204">
        <f t="shared" si="36"/>
        <v>27.600681666666677</v>
      </c>
      <c r="G204">
        <f t="shared" si="36"/>
        <v>27.526476666666678</v>
      </c>
      <c r="H204">
        <f t="shared" si="36"/>
        <v>27.452271666666679</v>
      </c>
      <c r="I204">
        <f t="shared" si="36"/>
        <v>27.378066666666676</v>
      </c>
      <c r="J204">
        <f t="shared" si="36"/>
        <v>27.303861666666677</v>
      </c>
      <c r="K204">
        <f t="shared" si="36"/>
        <v>27.229656666666678</v>
      </c>
      <c r="L204">
        <f t="shared" si="36"/>
        <v>27.155451666666679</v>
      </c>
      <c r="M204">
        <f t="shared" si="36"/>
        <v>27.081246666666676</v>
      </c>
      <c r="N204">
        <f t="shared" si="36"/>
        <v>27.007041666666677</v>
      </c>
      <c r="O204">
        <f t="shared" si="36"/>
        <v>26.932836666666677</v>
      </c>
      <c r="P204">
        <f t="shared" si="36"/>
        <v>26.858631666666678</v>
      </c>
      <c r="Q204">
        <f t="shared" si="36"/>
        <v>26.784426666666675</v>
      </c>
      <c r="R204">
        <f t="shared" si="36"/>
        <v>26.710221666666676</v>
      </c>
      <c r="S204">
        <f t="shared" si="36"/>
        <v>26.636016666666677</v>
      </c>
      <c r="T204">
        <f t="shared" si="36"/>
        <v>26.561811666666678</v>
      </c>
      <c r="U204">
        <f t="shared" si="34"/>
        <v>26.487606666666679</v>
      </c>
      <c r="V204">
        <f t="shared" si="34"/>
        <v>26.413401666666676</v>
      </c>
      <c r="W204">
        <f t="shared" si="34"/>
        <v>26.339196666666677</v>
      </c>
      <c r="X204">
        <f t="shared" si="34"/>
        <v>26.264991666666678</v>
      </c>
      <c r="Y204">
        <f t="shared" si="34"/>
        <v>26.190786666666675</v>
      </c>
      <c r="Z204">
        <f t="shared" si="34"/>
        <v>26.116581666666676</v>
      </c>
      <c r="AA204">
        <f t="shared" si="34"/>
        <v>26.042376666666676</v>
      </c>
      <c r="AB204">
        <f t="shared" si="34"/>
        <v>25.968171666666677</v>
      </c>
      <c r="AC204">
        <f t="shared" si="34"/>
        <v>25.893966666666678</v>
      </c>
      <c r="AD204">
        <f t="shared" si="34"/>
        <v>24.558276666666679</v>
      </c>
    </row>
    <row r="205" spans="2:30" x14ac:dyDescent="0.2">
      <c r="B205" s="7">
        <v>44774</v>
      </c>
      <c r="C205" s="8">
        <v>25.561805555555559</v>
      </c>
      <c r="D205">
        <f t="shared" si="37"/>
        <v>28.837980555555561</v>
      </c>
      <c r="E205">
        <f t="shared" si="36"/>
        <v>28.763775555555558</v>
      </c>
      <c r="F205">
        <f t="shared" si="36"/>
        <v>28.689570555555559</v>
      </c>
      <c r="G205">
        <f t="shared" si="36"/>
        <v>28.615365555555559</v>
      </c>
      <c r="H205">
        <f t="shared" si="36"/>
        <v>28.54116055555556</v>
      </c>
      <c r="I205">
        <f t="shared" si="36"/>
        <v>28.466955555555558</v>
      </c>
      <c r="J205">
        <f t="shared" si="36"/>
        <v>28.392750555555558</v>
      </c>
      <c r="K205">
        <f t="shared" si="36"/>
        <v>28.318545555555559</v>
      </c>
      <c r="L205">
        <f t="shared" si="36"/>
        <v>28.24434055555556</v>
      </c>
      <c r="M205">
        <f t="shared" si="36"/>
        <v>28.170135555555557</v>
      </c>
      <c r="N205">
        <f t="shared" si="36"/>
        <v>28.095930555555558</v>
      </c>
      <c r="O205">
        <f t="shared" si="36"/>
        <v>28.021725555555559</v>
      </c>
      <c r="P205">
        <f t="shared" si="36"/>
        <v>27.94752055555556</v>
      </c>
      <c r="Q205">
        <f t="shared" si="36"/>
        <v>27.873315555555557</v>
      </c>
      <c r="R205">
        <f t="shared" si="36"/>
        <v>27.799110555555558</v>
      </c>
      <c r="S205">
        <f t="shared" si="36"/>
        <v>27.724905555555559</v>
      </c>
      <c r="T205">
        <f t="shared" si="36"/>
        <v>27.650700555555559</v>
      </c>
      <c r="U205">
        <f t="shared" si="34"/>
        <v>27.57649555555556</v>
      </c>
      <c r="V205">
        <f t="shared" si="34"/>
        <v>27.502290555555557</v>
      </c>
      <c r="W205">
        <f t="shared" si="34"/>
        <v>27.428085555555558</v>
      </c>
      <c r="X205">
        <f t="shared" si="34"/>
        <v>27.353880555555559</v>
      </c>
      <c r="Y205">
        <f t="shared" si="34"/>
        <v>27.279675555555556</v>
      </c>
      <c r="Z205">
        <f t="shared" si="34"/>
        <v>27.205470555555557</v>
      </c>
      <c r="AA205">
        <f t="shared" si="34"/>
        <v>27.131265555555558</v>
      </c>
      <c r="AB205">
        <f t="shared" si="34"/>
        <v>27.057060555555559</v>
      </c>
      <c r="AC205">
        <f t="shared" si="34"/>
        <v>26.98285555555556</v>
      </c>
      <c r="AD205">
        <f t="shared" si="34"/>
        <v>25.64716555555556</v>
      </c>
    </row>
    <row r="206" spans="2:30" x14ac:dyDescent="0.2">
      <c r="B206" s="7">
        <v>44775</v>
      </c>
      <c r="C206" s="8">
        <v>25.680555555555564</v>
      </c>
      <c r="D206">
        <f t="shared" si="37"/>
        <v>28.956730555555566</v>
      </c>
      <c r="E206">
        <f t="shared" si="36"/>
        <v>28.882525555555564</v>
      </c>
      <c r="F206">
        <f t="shared" si="36"/>
        <v>28.808320555555564</v>
      </c>
      <c r="G206">
        <f t="shared" si="36"/>
        <v>28.734115555555565</v>
      </c>
      <c r="H206">
        <f t="shared" si="36"/>
        <v>28.659910555555566</v>
      </c>
      <c r="I206">
        <f t="shared" si="36"/>
        <v>28.585705555555563</v>
      </c>
      <c r="J206">
        <f t="shared" si="36"/>
        <v>28.511500555555564</v>
      </c>
      <c r="K206">
        <f t="shared" si="36"/>
        <v>28.437295555555565</v>
      </c>
      <c r="L206">
        <f t="shared" si="36"/>
        <v>28.363090555555566</v>
      </c>
      <c r="M206">
        <f t="shared" si="36"/>
        <v>28.288885555555563</v>
      </c>
      <c r="N206">
        <f t="shared" si="36"/>
        <v>28.214680555555564</v>
      </c>
      <c r="O206">
        <f t="shared" si="36"/>
        <v>28.140475555555565</v>
      </c>
      <c r="P206">
        <f t="shared" si="36"/>
        <v>28.066270555555565</v>
      </c>
      <c r="Q206">
        <f t="shared" si="36"/>
        <v>27.992065555555563</v>
      </c>
      <c r="R206">
        <f t="shared" si="36"/>
        <v>27.917860555555563</v>
      </c>
      <c r="S206">
        <f t="shared" si="36"/>
        <v>27.843655555555564</v>
      </c>
      <c r="T206">
        <f t="shared" si="36"/>
        <v>27.769450555555565</v>
      </c>
      <c r="U206">
        <f t="shared" si="34"/>
        <v>27.695245555555566</v>
      </c>
      <c r="V206">
        <f t="shared" si="34"/>
        <v>27.621040555555563</v>
      </c>
      <c r="W206">
        <f t="shared" si="34"/>
        <v>27.546835555555564</v>
      </c>
      <c r="X206">
        <f t="shared" si="34"/>
        <v>27.472630555555565</v>
      </c>
      <c r="Y206">
        <f t="shared" si="34"/>
        <v>27.398425555555562</v>
      </c>
      <c r="Z206">
        <f t="shared" si="34"/>
        <v>27.324220555555563</v>
      </c>
      <c r="AA206">
        <f t="shared" si="34"/>
        <v>27.250015555555564</v>
      </c>
      <c r="AB206">
        <f t="shared" si="34"/>
        <v>27.175810555555564</v>
      </c>
      <c r="AC206">
        <f t="shared" si="34"/>
        <v>27.101605555555565</v>
      </c>
      <c r="AD206">
        <f t="shared" si="34"/>
        <v>25.765915555555566</v>
      </c>
    </row>
    <row r="207" spans="2:30" x14ac:dyDescent="0.2">
      <c r="B207" s="7">
        <v>44776</v>
      </c>
      <c r="C207" s="8">
        <v>27.672916666666676</v>
      </c>
      <c r="D207">
        <f t="shared" si="37"/>
        <v>30.949091666666675</v>
      </c>
      <c r="E207">
        <f t="shared" si="36"/>
        <v>30.874886666666676</v>
      </c>
      <c r="F207">
        <f t="shared" si="36"/>
        <v>30.800681666666677</v>
      </c>
      <c r="G207">
        <f t="shared" si="36"/>
        <v>30.726476666666677</v>
      </c>
      <c r="H207">
        <f t="shared" si="36"/>
        <v>30.652271666666678</v>
      </c>
      <c r="I207">
        <f t="shared" si="36"/>
        <v>30.578066666666675</v>
      </c>
      <c r="J207">
        <f t="shared" si="36"/>
        <v>30.503861666666676</v>
      </c>
      <c r="K207">
        <f t="shared" si="36"/>
        <v>30.429656666666677</v>
      </c>
      <c r="L207">
        <f t="shared" si="36"/>
        <v>30.355451666666678</v>
      </c>
      <c r="M207">
        <f t="shared" si="36"/>
        <v>30.281246666666675</v>
      </c>
      <c r="N207">
        <f t="shared" si="36"/>
        <v>30.207041666666676</v>
      </c>
      <c r="O207">
        <f t="shared" si="36"/>
        <v>30.132836666666677</v>
      </c>
      <c r="P207">
        <f t="shared" si="36"/>
        <v>30.058631666666678</v>
      </c>
      <c r="Q207">
        <f t="shared" si="36"/>
        <v>29.984426666666678</v>
      </c>
      <c r="R207">
        <f t="shared" si="36"/>
        <v>29.910221666666676</v>
      </c>
      <c r="S207">
        <f t="shared" si="36"/>
        <v>29.836016666666676</v>
      </c>
      <c r="T207">
        <f t="shared" si="36"/>
        <v>29.761811666666677</v>
      </c>
      <c r="U207">
        <f t="shared" si="34"/>
        <v>29.687606666666674</v>
      </c>
      <c r="V207">
        <f t="shared" si="34"/>
        <v>29.613401666666675</v>
      </c>
      <c r="W207">
        <f t="shared" si="34"/>
        <v>29.539196666666676</v>
      </c>
      <c r="X207">
        <f t="shared" si="34"/>
        <v>29.464991666666677</v>
      </c>
      <c r="Y207">
        <f t="shared" si="34"/>
        <v>29.390786666666678</v>
      </c>
      <c r="Z207">
        <f t="shared" si="34"/>
        <v>29.316581666666675</v>
      </c>
      <c r="AA207">
        <f t="shared" si="34"/>
        <v>29.242376666666676</v>
      </c>
      <c r="AB207">
        <f t="shared" si="34"/>
        <v>29.168171666666677</v>
      </c>
      <c r="AC207">
        <f t="shared" si="34"/>
        <v>29.093966666666674</v>
      </c>
      <c r="AD207">
        <f t="shared" si="34"/>
        <v>27.758276666666678</v>
      </c>
    </row>
    <row r="208" spans="2:30" x14ac:dyDescent="0.2">
      <c r="B208" s="7">
        <v>44777</v>
      </c>
      <c r="C208" s="8">
        <v>27.753472222222225</v>
      </c>
      <c r="D208">
        <f t="shared" si="37"/>
        <v>31.029647222222223</v>
      </c>
      <c r="E208">
        <f t="shared" si="36"/>
        <v>30.955442222222224</v>
      </c>
      <c r="F208">
        <f t="shared" si="36"/>
        <v>30.881237222222225</v>
      </c>
      <c r="G208">
        <f t="shared" si="36"/>
        <v>30.807032222222226</v>
      </c>
      <c r="H208">
        <f t="shared" si="36"/>
        <v>30.732827222222227</v>
      </c>
      <c r="I208">
        <f t="shared" si="36"/>
        <v>30.658622222222224</v>
      </c>
      <c r="J208">
        <f t="shared" si="36"/>
        <v>30.584417222222225</v>
      </c>
      <c r="K208">
        <f t="shared" si="36"/>
        <v>30.510212222222226</v>
      </c>
      <c r="L208">
        <f t="shared" si="36"/>
        <v>30.436007222222226</v>
      </c>
      <c r="M208">
        <f t="shared" si="36"/>
        <v>30.361802222222224</v>
      </c>
      <c r="N208">
        <f t="shared" si="36"/>
        <v>30.287597222222225</v>
      </c>
      <c r="O208">
        <f t="shared" si="36"/>
        <v>30.213392222222225</v>
      </c>
      <c r="P208">
        <f t="shared" si="36"/>
        <v>30.139187222222226</v>
      </c>
      <c r="Q208">
        <f t="shared" si="36"/>
        <v>30.064982222222227</v>
      </c>
      <c r="R208">
        <f t="shared" si="36"/>
        <v>29.990777222222224</v>
      </c>
      <c r="S208">
        <f t="shared" si="36"/>
        <v>29.916572222222225</v>
      </c>
      <c r="T208">
        <f t="shared" si="36"/>
        <v>29.842367222222226</v>
      </c>
      <c r="U208">
        <f t="shared" si="34"/>
        <v>29.768162222222223</v>
      </c>
      <c r="V208">
        <f t="shared" si="34"/>
        <v>29.693957222222224</v>
      </c>
      <c r="W208">
        <f t="shared" si="34"/>
        <v>29.619752222222225</v>
      </c>
      <c r="X208">
        <f t="shared" si="34"/>
        <v>29.545547222222226</v>
      </c>
      <c r="Y208">
        <f t="shared" si="34"/>
        <v>29.471342222222226</v>
      </c>
      <c r="Z208">
        <f t="shared" si="34"/>
        <v>29.397137222222224</v>
      </c>
      <c r="AA208">
        <f t="shared" si="34"/>
        <v>29.322932222222224</v>
      </c>
      <c r="AB208">
        <f t="shared" si="34"/>
        <v>29.248727222222225</v>
      </c>
      <c r="AC208">
        <f t="shared" si="34"/>
        <v>29.174522222222222</v>
      </c>
      <c r="AD208">
        <f t="shared" si="34"/>
        <v>27.838832222222226</v>
      </c>
    </row>
    <row r="209" spans="2:30" x14ac:dyDescent="0.2">
      <c r="B209" s="7">
        <v>44778</v>
      </c>
      <c r="C209" s="8">
        <v>24.543055555555551</v>
      </c>
      <c r="D209">
        <f t="shared" si="37"/>
        <v>27.819230555555549</v>
      </c>
      <c r="E209">
        <f t="shared" si="36"/>
        <v>27.74502555555555</v>
      </c>
      <c r="F209">
        <f t="shared" si="36"/>
        <v>27.670820555555551</v>
      </c>
      <c r="G209">
        <f t="shared" si="36"/>
        <v>27.596615555555552</v>
      </c>
      <c r="H209">
        <f t="shared" si="36"/>
        <v>27.522410555555552</v>
      </c>
      <c r="I209">
        <f t="shared" si="36"/>
        <v>27.44820555555555</v>
      </c>
      <c r="J209">
        <f t="shared" si="36"/>
        <v>27.374000555555551</v>
      </c>
      <c r="K209">
        <f t="shared" si="36"/>
        <v>27.299795555555551</v>
      </c>
      <c r="L209">
        <f t="shared" si="36"/>
        <v>27.225590555555552</v>
      </c>
      <c r="M209">
        <f t="shared" si="36"/>
        <v>27.151385555555549</v>
      </c>
      <c r="N209">
        <f t="shared" si="36"/>
        <v>27.07718055555555</v>
      </c>
      <c r="O209">
        <f t="shared" si="36"/>
        <v>27.002975555555551</v>
      </c>
      <c r="P209">
        <f t="shared" si="36"/>
        <v>26.928770555555552</v>
      </c>
      <c r="Q209">
        <f t="shared" si="36"/>
        <v>26.854565555555553</v>
      </c>
      <c r="R209">
        <f t="shared" si="36"/>
        <v>26.78036055555555</v>
      </c>
      <c r="S209">
        <f t="shared" si="36"/>
        <v>26.706155555555551</v>
      </c>
      <c r="T209">
        <f t="shared" si="36"/>
        <v>26.631950555555552</v>
      </c>
      <c r="U209">
        <f t="shared" si="34"/>
        <v>26.557745555555549</v>
      </c>
      <c r="V209">
        <f t="shared" si="34"/>
        <v>26.48354055555555</v>
      </c>
      <c r="W209">
        <f t="shared" si="34"/>
        <v>26.40933555555555</v>
      </c>
      <c r="X209">
        <f t="shared" si="34"/>
        <v>26.335130555555551</v>
      </c>
      <c r="Y209">
        <f t="shared" si="34"/>
        <v>26.260925555555552</v>
      </c>
      <c r="Z209">
        <f t="shared" si="34"/>
        <v>26.186720555555549</v>
      </c>
      <c r="AA209">
        <f t="shared" si="34"/>
        <v>26.11251555555555</v>
      </c>
      <c r="AB209">
        <f t="shared" si="34"/>
        <v>26.038310555555551</v>
      </c>
      <c r="AC209">
        <f t="shared" si="34"/>
        <v>25.964105555555548</v>
      </c>
      <c r="AD209">
        <f t="shared" si="34"/>
        <v>24.628415555555552</v>
      </c>
    </row>
    <row r="210" spans="2:30" x14ac:dyDescent="0.2">
      <c r="B210" s="7">
        <v>44779</v>
      </c>
      <c r="C210" s="8">
        <v>23.773611111111105</v>
      </c>
      <c r="D210">
        <f t="shared" si="37"/>
        <v>27.049786111111104</v>
      </c>
      <c r="E210">
        <f t="shared" si="36"/>
        <v>26.975581111111104</v>
      </c>
      <c r="F210">
        <f t="shared" si="36"/>
        <v>26.901376111111105</v>
      </c>
      <c r="G210">
        <f t="shared" si="36"/>
        <v>26.827171111111106</v>
      </c>
      <c r="H210">
        <f t="shared" si="36"/>
        <v>26.752966111111107</v>
      </c>
      <c r="I210">
        <f t="shared" si="36"/>
        <v>26.678761111111104</v>
      </c>
      <c r="J210">
        <f t="shared" si="36"/>
        <v>26.604556111111105</v>
      </c>
      <c r="K210">
        <f t="shared" si="36"/>
        <v>26.530351111111106</v>
      </c>
      <c r="L210">
        <f t="shared" si="36"/>
        <v>26.456146111111106</v>
      </c>
      <c r="M210">
        <f t="shared" si="36"/>
        <v>26.381941111111104</v>
      </c>
      <c r="N210">
        <f t="shared" si="36"/>
        <v>26.307736111111105</v>
      </c>
      <c r="O210">
        <f t="shared" si="36"/>
        <v>26.233531111111105</v>
      </c>
      <c r="P210">
        <f t="shared" si="36"/>
        <v>26.159326111111106</v>
      </c>
      <c r="Q210">
        <f t="shared" si="36"/>
        <v>26.085121111111107</v>
      </c>
      <c r="R210">
        <f t="shared" si="36"/>
        <v>26.010916111111104</v>
      </c>
      <c r="S210">
        <f t="shared" si="36"/>
        <v>25.936711111111105</v>
      </c>
      <c r="T210">
        <f t="shared" si="36"/>
        <v>25.862506111111106</v>
      </c>
      <c r="U210">
        <f t="shared" si="34"/>
        <v>25.788301111111103</v>
      </c>
      <c r="V210">
        <f t="shared" si="34"/>
        <v>25.714096111111104</v>
      </c>
      <c r="W210">
        <f t="shared" si="34"/>
        <v>25.639891111111105</v>
      </c>
      <c r="X210">
        <f t="shared" si="34"/>
        <v>25.565686111111106</v>
      </c>
      <c r="Y210">
        <f t="shared" si="34"/>
        <v>25.491481111111106</v>
      </c>
      <c r="Z210">
        <f t="shared" si="34"/>
        <v>25.417276111111104</v>
      </c>
      <c r="AA210">
        <f t="shared" si="34"/>
        <v>25.343071111111104</v>
      </c>
      <c r="AB210">
        <f t="shared" si="34"/>
        <v>25.268866111111105</v>
      </c>
      <c r="AC210">
        <f t="shared" si="34"/>
        <v>25.194661111111103</v>
      </c>
      <c r="AD210">
        <f t="shared" si="34"/>
        <v>23.858971111111106</v>
      </c>
    </row>
    <row r="211" spans="2:30" x14ac:dyDescent="0.2">
      <c r="B211" s="7">
        <v>44780</v>
      </c>
      <c r="C211" s="8">
        <v>24.422916666666673</v>
      </c>
      <c r="D211">
        <f t="shared" si="37"/>
        <v>27.699091666666675</v>
      </c>
      <c r="E211">
        <f t="shared" si="36"/>
        <v>27.624886666666672</v>
      </c>
      <c r="F211">
        <f t="shared" si="36"/>
        <v>27.550681666666673</v>
      </c>
      <c r="G211">
        <f t="shared" si="36"/>
        <v>27.476476666666674</v>
      </c>
      <c r="H211">
        <f t="shared" si="36"/>
        <v>27.402271666666675</v>
      </c>
      <c r="I211">
        <f t="shared" si="36"/>
        <v>27.328066666666672</v>
      </c>
      <c r="J211">
        <f t="shared" si="36"/>
        <v>27.253861666666673</v>
      </c>
      <c r="K211">
        <f t="shared" si="36"/>
        <v>27.179656666666673</v>
      </c>
      <c r="L211">
        <f t="shared" si="36"/>
        <v>27.105451666666674</v>
      </c>
      <c r="M211">
        <f t="shared" si="36"/>
        <v>27.031246666666672</v>
      </c>
      <c r="N211">
        <f t="shared" si="36"/>
        <v>26.957041666666672</v>
      </c>
      <c r="O211">
        <f t="shared" si="36"/>
        <v>26.882836666666673</v>
      </c>
      <c r="P211">
        <f t="shared" si="36"/>
        <v>26.808631666666674</v>
      </c>
      <c r="Q211">
        <f t="shared" si="36"/>
        <v>26.734426666666671</v>
      </c>
      <c r="R211">
        <f t="shared" si="36"/>
        <v>26.660221666666672</v>
      </c>
      <c r="S211">
        <f t="shared" si="36"/>
        <v>26.586016666666673</v>
      </c>
      <c r="T211">
        <f t="shared" si="36"/>
        <v>26.511811666666674</v>
      </c>
      <c r="U211">
        <f t="shared" si="34"/>
        <v>26.437606666666674</v>
      </c>
      <c r="V211">
        <f t="shared" si="34"/>
        <v>26.363401666666672</v>
      </c>
      <c r="W211">
        <f t="shared" si="34"/>
        <v>26.289196666666673</v>
      </c>
      <c r="X211">
        <f t="shared" si="34"/>
        <v>26.214991666666673</v>
      </c>
      <c r="Y211">
        <f t="shared" si="34"/>
        <v>26.140786666666671</v>
      </c>
      <c r="Z211">
        <f t="shared" si="34"/>
        <v>26.066581666666671</v>
      </c>
      <c r="AA211">
        <f t="shared" si="34"/>
        <v>25.992376666666672</v>
      </c>
      <c r="AB211">
        <f t="shared" si="34"/>
        <v>25.918171666666673</v>
      </c>
      <c r="AC211">
        <f t="shared" si="34"/>
        <v>25.843966666666674</v>
      </c>
      <c r="AD211">
        <f t="shared" si="34"/>
        <v>24.508276666666674</v>
      </c>
    </row>
    <row r="212" spans="2:30" x14ac:dyDescent="0.2">
      <c r="B212" s="7">
        <v>44781</v>
      </c>
      <c r="C212" s="8">
        <v>24.457638888888891</v>
      </c>
      <c r="D212">
        <f t="shared" si="37"/>
        <v>27.733813888888889</v>
      </c>
      <c r="E212">
        <f t="shared" si="36"/>
        <v>27.65960888888889</v>
      </c>
      <c r="F212">
        <f t="shared" si="36"/>
        <v>27.585403888888891</v>
      </c>
      <c r="G212">
        <f t="shared" si="36"/>
        <v>27.511198888888892</v>
      </c>
      <c r="H212">
        <f t="shared" si="36"/>
        <v>27.436993888888892</v>
      </c>
      <c r="I212">
        <f t="shared" si="36"/>
        <v>27.36278888888889</v>
      </c>
      <c r="J212">
        <f t="shared" si="36"/>
        <v>27.288583888888891</v>
      </c>
      <c r="K212">
        <f t="shared" si="36"/>
        <v>27.214378888888891</v>
      </c>
      <c r="L212">
        <f t="shared" si="36"/>
        <v>27.140173888888892</v>
      </c>
      <c r="M212">
        <f t="shared" si="36"/>
        <v>27.065968888888889</v>
      </c>
      <c r="N212">
        <f t="shared" si="36"/>
        <v>26.99176388888889</v>
      </c>
      <c r="O212">
        <f t="shared" si="36"/>
        <v>26.917558888888891</v>
      </c>
      <c r="P212">
        <f t="shared" si="36"/>
        <v>26.843353888888892</v>
      </c>
      <c r="Q212">
        <f t="shared" si="36"/>
        <v>26.769148888888893</v>
      </c>
      <c r="R212">
        <f t="shared" si="36"/>
        <v>26.69494388888889</v>
      </c>
      <c r="S212">
        <f t="shared" si="36"/>
        <v>26.620738888888891</v>
      </c>
      <c r="T212">
        <f t="shared" ref="T212" si="38">(-1.4841*T$3+3.6472)+$C212</f>
        <v>26.546533888888892</v>
      </c>
      <c r="U212">
        <f t="shared" si="34"/>
        <v>26.472328888888889</v>
      </c>
      <c r="V212">
        <f t="shared" si="34"/>
        <v>26.39812388888889</v>
      </c>
      <c r="W212">
        <f t="shared" si="34"/>
        <v>26.32391888888889</v>
      </c>
      <c r="X212">
        <f t="shared" si="34"/>
        <v>26.249713888888891</v>
      </c>
      <c r="Y212">
        <f t="shared" si="34"/>
        <v>26.175508888888892</v>
      </c>
      <c r="Z212">
        <f t="shared" si="34"/>
        <v>26.101303888888889</v>
      </c>
      <c r="AA212">
        <f t="shared" si="34"/>
        <v>26.02709888888889</v>
      </c>
      <c r="AB212">
        <f t="shared" si="34"/>
        <v>25.952893888888891</v>
      </c>
      <c r="AC212">
        <f t="shared" si="34"/>
        <v>25.878688888888888</v>
      </c>
      <c r="AD212">
        <f t="shared" si="34"/>
        <v>24.542998888888892</v>
      </c>
    </row>
    <row r="213" spans="2:30" x14ac:dyDescent="0.2">
      <c r="B213" s="7">
        <v>44782</v>
      </c>
      <c r="C213" s="8">
        <v>25.197222222222226</v>
      </c>
      <c r="D213">
        <f t="shared" si="37"/>
        <v>28.473397222222225</v>
      </c>
      <c r="E213">
        <f t="shared" ref="E213:T228" si="39">(-1.4841*E$3+3.6472)+$C213</f>
        <v>28.399192222222226</v>
      </c>
      <c r="F213">
        <f t="shared" si="39"/>
        <v>28.324987222222227</v>
      </c>
      <c r="G213">
        <f t="shared" si="39"/>
        <v>28.250782222222227</v>
      </c>
      <c r="H213">
        <f t="shared" si="39"/>
        <v>28.176577222222228</v>
      </c>
      <c r="I213">
        <f t="shared" si="39"/>
        <v>28.102372222222225</v>
      </c>
      <c r="J213">
        <f t="shared" si="39"/>
        <v>28.028167222222226</v>
      </c>
      <c r="K213">
        <f t="shared" si="39"/>
        <v>27.953962222222227</v>
      </c>
      <c r="L213">
        <f t="shared" si="39"/>
        <v>27.879757222222228</v>
      </c>
      <c r="M213">
        <f t="shared" si="39"/>
        <v>27.805552222222225</v>
      </c>
      <c r="N213">
        <f t="shared" si="39"/>
        <v>27.731347222222226</v>
      </c>
      <c r="O213">
        <f t="shared" si="39"/>
        <v>27.657142222222227</v>
      </c>
      <c r="P213">
        <f t="shared" si="39"/>
        <v>27.582937222222228</v>
      </c>
      <c r="Q213">
        <f t="shared" si="39"/>
        <v>27.508732222222228</v>
      </c>
      <c r="R213">
        <f t="shared" si="39"/>
        <v>27.434527222222226</v>
      </c>
      <c r="S213">
        <f t="shared" si="39"/>
        <v>27.360322222222226</v>
      </c>
      <c r="T213">
        <f t="shared" si="39"/>
        <v>27.286117222222227</v>
      </c>
      <c r="U213">
        <f t="shared" si="34"/>
        <v>27.211912222222225</v>
      </c>
      <c r="V213">
        <f t="shared" si="34"/>
        <v>27.137707222222225</v>
      </c>
      <c r="W213">
        <f t="shared" si="34"/>
        <v>27.063502222222226</v>
      </c>
      <c r="X213">
        <f t="shared" si="34"/>
        <v>26.989297222222227</v>
      </c>
      <c r="Y213">
        <f t="shared" si="34"/>
        <v>26.915092222222228</v>
      </c>
      <c r="Z213">
        <f t="shared" si="34"/>
        <v>26.840887222222225</v>
      </c>
      <c r="AA213">
        <f t="shared" si="34"/>
        <v>26.766682222222226</v>
      </c>
      <c r="AB213">
        <f t="shared" si="34"/>
        <v>26.692477222222227</v>
      </c>
      <c r="AC213">
        <f t="shared" si="34"/>
        <v>26.618272222222224</v>
      </c>
      <c r="AD213">
        <f t="shared" si="34"/>
        <v>25.282582222222228</v>
      </c>
    </row>
    <row r="214" spans="2:30" x14ac:dyDescent="0.2">
      <c r="B214" s="7">
        <v>44783</v>
      </c>
      <c r="C214" s="8">
        <v>25.942361111111115</v>
      </c>
      <c r="D214">
        <f t="shared" si="37"/>
        <v>29.218536111111113</v>
      </c>
      <c r="E214">
        <f t="shared" si="39"/>
        <v>29.144331111111114</v>
      </c>
      <c r="F214">
        <f t="shared" si="39"/>
        <v>29.070126111111115</v>
      </c>
      <c r="G214">
        <f t="shared" si="39"/>
        <v>28.995921111111116</v>
      </c>
      <c r="H214">
        <f t="shared" si="39"/>
        <v>28.921716111111117</v>
      </c>
      <c r="I214">
        <f t="shared" si="39"/>
        <v>28.847511111111114</v>
      </c>
      <c r="J214">
        <f t="shared" si="39"/>
        <v>28.773306111111115</v>
      </c>
      <c r="K214">
        <f t="shared" si="39"/>
        <v>28.699101111111116</v>
      </c>
      <c r="L214">
        <f t="shared" si="39"/>
        <v>28.624896111111116</v>
      </c>
      <c r="M214">
        <f t="shared" si="39"/>
        <v>28.550691111111114</v>
      </c>
      <c r="N214">
        <f t="shared" si="39"/>
        <v>28.476486111111114</v>
      </c>
      <c r="O214">
        <f t="shared" si="39"/>
        <v>28.402281111111115</v>
      </c>
      <c r="P214">
        <f t="shared" si="39"/>
        <v>28.328076111111116</v>
      </c>
      <c r="Q214">
        <f t="shared" si="39"/>
        <v>28.253871111111117</v>
      </c>
      <c r="R214">
        <f t="shared" si="39"/>
        <v>28.179666111111114</v>
      </c>
      <c r="S214">
        <f t="shared" si="39"/>
        <v>28.105461111111115</v>
      </c>
      <c r="T214">
        <f t="shared" si="39"/>
        <v>28.031256111111116</v>
      </c>
      <c r="U214">
        <f t="shared" si="34"/>
        <v>27.957051111111113</v>
      </c>
      <c r="V214">
        <f t="shared" si="34"/>
        <v>27.882846111111114</v>
      </c>
      <c r="W214">
        <f t="shared" si="34"/>
        <v>27.808641111111115</v>
      </c>
      <c r="X214">
        <f t="shared" si="34"/>
        <v>27.734436111111116</v>
      </c>
      <c r="Y214">
        <f t="shared" si="34"/>
        <v>27.660231111111116</v>
      </c>
      <c r="Z214">
        <f t="shared" si="34"/>
        <v>27.586026111111114</v>
      </c>
      <c r="AA214">
        <f t="shared" si="34"/>
        <v>27.511821111111114</v>
      </c>
      <c r="AB214">
        <f t="shared" si="34"/>
        <v>27.437616111111115</v>
      </c>
      <c r="AC214">
        <f t="shared" si="34"/>
        <v>27.363411111111112</v>
      </c>
      <c r="AD214">
        <f t="shared" si="34"/>
        <v>26.027721111111116</v>
      </c>
    </row>
    <row r="215" spans="2:30" x14ac:dyDescent="0.2">
      <c r="B215" s="7">
        <v>44784</v>
      </c>
      <c r="C215" s="8">
        <v>26.870833333333341</v>
      </c>
      <c r="D215">
        <f t="shared" si="37"/>
        <v>30.147008333333339</v>
      </c>
      <c r="E215">
        <f t="shared" si="39"/>
        <v>30.07280333333334</v>
      </c>
      <c r="F215">
        <f t="shared" si="39"/>
        <v>29.998598333333341</v>
      </c>
      <c r="G215">
        <f t="shared" si="39"/>
        <v>29.924393333333342</v>
      </c>
      <c r="H215">
        <f t="shared" si="39"/>
        <v>29.850188333333342</v>
      </c>
      <c r="I215">
        <f t="shared" si="39"/>
        <v>29.77598333333334</v>
      </c>
      <c r="J215">
        <f t="shared" si="39"/>
        <v>29.70177833333334</v>
      </c>
      <c r="K215">
        <f t="shared" si="39"/>
        <v>29.627573333333341</v>
      </c>
      <c r="L215">
        <f t="shared" si="39"/>
        <v>29.553368333333342</v>
      </c>
      <c r="M215">
        <f t="shared" si="39"/>
        <v>29.479163333333339</v>
      </c>
      <c r="N215">
        <f t="shared" si="39"/>
        <v>29.40495833333334</v>
      </c>
      <c r="O215">
        <f t="shared" si="39"/>
        <v>29.330753333333341</v>
      </c>
      <c r="P215">
        <f t="shared" si="39"/>
        <v>29.256548333333342</v>
      </c>
      <c r="Q215">
        <f t="shared" si="39"/>
        <v>29.182343333333343</v>
      </c>
      <c r="R215">
        <f t="shared" si="39"/>
        <v>29.10813833333334</v>
      </c>
      <c r="S215">
        <f t="shared" si="39"/>
        <v>29.033933333333341</v>
      </c>
      <c r="T215">
        <f t="shared" si="39"/>
        <v>28.959728333333342</v>
      </c>
      <c r="U215">
        <f t="shared" si="34"/>
        <v>28.885523333333339</v>
      </c>
      <c r="V215">
        <f t="shared" si="34"/>
        <v>28.81131833333334</v>
      </c>
      <c r="W215">
        <f t="shared" si="34"/>
        <v>28.73711333333334</v>
      </c>
      <c r="X215">
        <f t="shared" si="34"/>
        <v>28.662908333333341</v>
      </c>
      <c r="Y215">
        <f t="shared" si="34"/>
        <v>28.588703333333342</v>
      </c>
      <c r="Z215">
        <f t="shared" si="34"/>
        <v>28.514498333333339</v>
      </c>
      <c r="AA215">
        <f t="shared" si="34"/>
        <v>28.44029333333334</v>
      </c>
      <c r="AB215">
        <f t="shared" si="34"/>
        <v>28.366088333333341</v>
      </c>
      <c r="AC215">
        <f t="shared" si="34"/>
        <v>28.291883333333338</v>
      </c>
      <c r="AD215">
        <f t="shared" si="34"/>
        <v>26.956193333333342</v>
      </c>
    </row>
    <row r="216" spans="2:30" x14ac:dyDescent="0.2">
      <c r="B216" s="7">
        <v>44785</v>
      </c>
      <c r="C216" s="8">
        <v>27.354166666666661</v>
      </c>
      <c r="D216">
        <f t="shared" si="37"/>
        <v>30.630341666666659</v>
      </c>
      <c r="E216">
        <f t="shared" si="39"/>
        <v>30.55613666666666</v>
      </c>
      <c r="F216">
        <f t="shared" si="39"/>
        <v>30.481931666666661</v>
      </c>
      <c r="G216">
        <f t="shared" si="39"/>
        <v>30.407726666666662</v>
      </c>
      <c r="H216">
        <f t="shared" si="39"/>
        <v>30.333521666666662</v>
      </c>
      <c r="I216">
        <f t="shared" si="39"/>
        <v>30.25931666666666</v>
      </c>
      <c r="J216">
        <f t="shared" si="39"/>
        <v>30.185111666666661</v>
      </c>
      <c r="K216">
        <f t="shared" si="39"/>
        <v>30.110906666666661</v>
      </c>
      <c r="L216">
        <f t="shared" si="39"/>
        <v>30.036701666666662</v>
      </c>
      <c r="M216">
        <f t="shared" si="39"/>
        <v>29.962496666666659</v>
      </c>
      <c r="N216">
        <f t="shared" si="39"/>
        <v>29.88829166666666</v>
      </c>
      <c r="O216">
        <f t="shared" si="39"/>
        <v>29.814086666666661</v>
      </c>
      <c r="P216">
        <f t="shared" si="39"/>
        <v>29.739881666666662</v>
      </c>
      <c r="Q216">
        <f t="shared" si="39"/>
        <v>29.665676666666663</v>
      </c>
      <c r="R216">
        <f t="shared" si="39"/>
        <v>29.59147166666666</v>
      </c>
      <c r="S216">
        <f t="shared" si="39"/>
        <v>29.517266666666661</v>
      </c>
      <c r="T216">
        <f t="shared" si="39"/>
        <v>29.443061666666662</v>
      </c>
      <c r="U216">
        <f t="shared" si="34"/>
        <v>29.368856666666659</v>
      </c>
      <c r="V216">
        <f t="shared" si="34"/>
        <v>29.29465166666666</v>
      </c>
      <c r="W216">
        <f t="shared" si="34"/>
        <v>29.22044666666666</v>
      </c>
      <c r="X216">
        <f t="shared" si="34"/>
        <v>29.146241666666661</v>
      </c>
      <c r="Y216">
        <f t="shared" si="34"/>
        <v>29.072036666666662</v>
      </c>
      <c r="Z216">
        <f t="shared" si="34"/>
        <v>28.997831666666659</v>
      </c>
      <c r="AA216">
        <f t="shared" si="34"/>
        <v>28.92362666666666</v>
      </c>
      <c r="AB216">
        <f t="shared" si="34"/>
        <v>28.849421666666661</v>
      </c>
      <c r="AC216">
        <f t="shared" si="34"/>
        <v>28.775216666666658</v>
      </c>
      <c r="AD216">
        <f t="shared" si="34"/>
        <v>27.439526666666662</v>
      </c>
    </row>
    <row r="217" spans="2:30" x14ac:dyDescent="0.2">
      <c r="B217" s="7">
        <v>44786</v>
      </c>
      <c r="C217" s="8">
        <v>27.681250000000016</v>
      </c>
      <c r="D217">
        <f t="shared" si="37"/>
        <v>30.957425000000015</v>
      </c>
      <c r="E217">
        <f t="shared" si="39"/>
        <v>30.883220000000016</v>
      </c>
      <c r="F217">
        <f t="shared" si="39"/>
        <v>30.809015000000016</v>
      </c>
      <c r="G217">
        <f t="shared" si="39"/>
        <v>30.734810000000017</v>
      </c>
      <c r="H217">
        <f t="shared" si="39"/>
        <v>30.660605000000018</v>
      </c>
      <c r="I217">
        <f t="shared" si="39"/>
        <v>30.586400000000015</v>
      </c>
      <c r="J217">
        <f t="shared" si="39"/>
        <v>30.512195000000016</v>
      </c>
      <c r="K217">
        <f t="shared" si="39"/>
        <v>30.437990000000017</v>
      </c>
      <c r="L217">
        <f t="shared" si="39"/>
        <v>30.363785000000018</v>
      </c>
      <c r="M217">
        <f t="shared" si="39"/>
        <v>30.289580000000015</v>
      </c>
      <c r="N217">
        <f t="shared" si="39"/>
        <v>30.215375000000016</v>
      </c>
      <c r="O217">
        <f t="shared" si="39"/>
        <v>30.141170000000017</v>
      </c>
      <c r="P217">
        <f t="shared" si="39"/>
        <v>30.066965000000017</v>
      </c>
      <c r="Q217">
        <f t="shared" si="39"/>
        <v>29.992760000000018</v>
      </c>
      <c r="R217">
        <f t="shared" si="39"/>
        <v>29.918555000000016</v>
      </c>
      <c r="S217">
        <f t="shared" si="39"/>
        <v>29.844350000000016</v>
      </c>
      <c r="T217">
        <f t="shared" si="39"/>
        <v>29.770145000000017</v>
      </c>
      <c r="U217">
        <f t="shared" si="34"/>
        <v>29.695940000000014</v>
      </c>
      <c r="V217">
        <f t="shared" si="34"/>
        <v>29.621735000000015</v>
      </c>
      <c r="W217">
        <f t="shared" si="34"/>
        <v>29.547530000000016</v>
      </c>
      <c r="X217">
        <f t="shared" si="34"/>
        <v>29.473325000000017</v>
      </c>
      <c r="Y217">
        <f t="shared" si="34"/>
        <v>29.399120000000018</v>
      </c>
      <c r="Z217">
        <f t="shared" si="34"/>
        <v>29.324915000000015</v>
      </c>
      <c r="AA217">
        <f t="shared" si="34"/>
        <v>29.250710000000016</v>
      </c>
      <c r="AB217">
        <f t="shared" si="34"/>
        <v>29.176505000000017</v>
      </c>
      <c r="AC217">
        <f t="shared" si="34"/>
        <v>29.102300000000014</v>
      </c>
      <c r="AD217">
        <f t="shared" si="34"/>
        <v>27.766610000000018</v>
      </c>
    </row>
    <row r="218" spans="2:30" x14ac:dyDescent="0.2">
      <c r="B218" s="7">
        <v>44787</v>
      </c>
      <c r="C218" s="8">
        <v>28.419444444444458</v>
      </c>
      <c r="D218">
        <f t="shared" si="37"/>
        <v>31.695619444444461</v>
      </c>
      <c r="E218">
        <f t="shared" si="39"/>
        <v>31.621414444444458</v>
      </c>
      <c r="F218">
        <f t="shared" si="39"/>
        <v>31.547209444444459</v>
      </c>
      <c r="G218">
        <f t="shared" si="39"/>
        <v>31.473004444444459</v>
      </c>
      <c r="H218">
        <f t="shared" si="39"/>
        <v>31.39879944444446</v>
      </c>
      <c r="I218">
        <f t="shared" si="39"/>
        <v>31.324594444444458</v>
      </c>
      <c r="J218">
        <f t="shared" si="39"/>
        <v>31.250389444444458</v>
      </c>
      <c r="K218">
        <f t="shared" si="39"/>
        <v>31.176184444444459</v>
      </c>
      <c r="L218">
        <f t="shared" si="39"/>
        <v>31.10197944444446</v>
      </c>
      <c r="M218">
        <f t="shared" si="39"/>
        <v>31.027774444444457</v>
      </c>
      <c r="N218">
        <f t="shared" si="39"/>
        <v>30.953569444444458</v>
      </c>
      <c r="O218">
        <f t="shared" si="39"/>
        <v>30.879364444444459</v>
      </c>
      <c r="P218">
        <f t="shared" si="39"/>
        <v>30.80515944444446</v>
      </c>
      <c r="Q218">
        <f t="shared" si="39"/>
        <v>30.730954444444457</v>
      </c>
      <c r="R218">
        <f t="shared" si="39"/>
        <v>30.656749444444458</v>
      </c>
      <c r="S218">
        <f t="shared" si="39"/>
        <v>30.582544444444459</v>
      </c>
      <c r="T218">
        <f t="shared" si="39"/>
        <v>30.508339444444459</v>
      </c>
      <c r="U218">
        <f t="shared" si="34"/>
        <v>30.43413444444446</v>
      </c>
      <c r="V218">
        <f t="shared" si="34"/>
        <v>30.359929444444457</v>
      </c>
      <c r="W218">
        <f t="shared" si="34"/>
        <v>30.285724444444458</v>
      </c>
      <c r="X218">
        <f t="shared" si="34"/>
        <v>30.211519444444459</v>
      </c>
      <c r="Y218">
        <f t="shared" si="34"/>
        <v>30.137314444444456</v>
      </c>
      <c r="Z218">
        <f t="shared" ref="U218:AD243" si="40">(-1.4841*Z$3+3.6472)+$C218</f>
        <v>30.063109444444457</v>
      </c>
      <c r="AA218">
        <f t="shared" si="40"/>
        <v>29.988904444444458</v>
      </c>
      <c r="AB218">
        <f t="shared" si="40"/>
        <v>29.914699444444459</v>
      </c>
      <c r="AC218">
        <f t="shared" si="40"/>
        <v>29.84049444444446</v>
      </c>
      <c r="AD218">
        <f t="shared" si="40"/>
        <v>28.50480444444446</v>
      </c>
    </row>
    <row r="219" spans="2:30" x14ac:dyDescent="0.2">
      <c r="B219" s="7">
        <v>44788</v>
      </c>
      <c r="C219" s="8">
        <v>27.861111111111125</v>
      </c>
      <c r="D219">
        <f t="shared" si="37"/>
        <v>31.137286111111123</v>
      </c>
      <c r="E219">
        <f t="shared" si="39"/>
        <v>31.063081111111124</v>
      </c>
      <c r="F219">
        <f t="shared" si="39"/>
        <v>30.988876111111125</v>
      </c>
      <c r="G219">
        <f t="shared" si="39"/>
        <v>30.914671111111126</v>
      </c>
      <c r="H219">
        <f t="shared" si="39"/>
        <v>30.840466111111127</v>
      </c>
      <c r="I219">
        <f t="shared" si="39"/>
        <v>30.766261111111124</v>
      </c>
      <c r="J219">
        <f t="shared" si="39"/>
        <v>30.692056111111125</v>
      </c>
      <c r="K219">
        <f t="shared" si="39"/>
        <v>30.617851111111126</v>
      </c>
      <c r="L219">
        <f t="shared" si="39"/>
        <v>30.543646111111126</v>
      </c>
      <c r="M219">
        <f t="shared" si="39"/>
        <v>30.469441111111124</v>
      </c>
      <c r="N219">
        <f t="shared" si="39"/>
        <v>30.395236111111124</v>
      </c>
      <c r="O219">
        <f t="shared" si="39"/>
        <v>30.321031111111125</v>
      </c>
      <c r="P219">
        <f t="shared" si="39"/>
        <v>30.246826111111126</v>
      </c>
      <c r="Q219">
        <f t="shared" si="39"/>
        <v>30.172621111111127</v>
      </c>
      <c r="R219">
        <f t="shared" si="39"/>
        <v>30.098416111111124</v>
      </c>
      <c r="S219">
        <f t="shared" si="39"/>
        <v>30.024211111111125</v>
      </c>
      <c r="T219">
        <f t="shared" si="39"/>
        <v>29.950006111111126</v>
      </c>
      <c r="U219">
        <f t="shared" si="40"/>
        <v>29.875801111111123</v>
      </c>
      <c r="V219">
        <f t="shared" si="40"/>
        <v>29.801596111111124</v>
      </c>
      <c r="W219">
        <f t="shared" si="40"/>
        <v>29.727391111111125</v>
      </c>
      <c r="X219">
        <f t="shared" si="40"/>
        <v>29.653186111111125</v>
      </c>
      <c r="Y219">
        <f t="shared" si="40"/>
        <v>29.578981111111126</v>
      </c>
      <c r="Z219">
        <f t="shared" si="40"/>
        <v>29.504776111111124</v>
      </c>
      <c r="AA219">
        <f t="shared" si="40"/>
        <v>29.430571111111124</v>
      </c>
      <c r="AB219">
        <f t="shared" si="40"/>
        <v>29.356366111111125</v>
      </c>
      <c r="AC219">
        <f t="shared" si="40"/>
        <v>29.282161111111122</v>
      </c>
      <c r="AD219">
        <f t="shared" si="40"/>
        <v>27.946471111111126</v>
      </c>
    </row>
    <row r="220" spans="2:30" x14ac:dyDescent="0.2">
      <c r="B220" s="7">
        <v>44789</v>
      </c>
      <c r="C220" s="8">
        <v>27.147222222222219</v>
      </c>
      <c r="D220">
        <f t="shared" si="37"/>
        <v>30.423397222222221</v>
      </c>
      <c r="E220">
        <f t="shared" si="39"/>
        <v>30.349192222222218</v>
      </c>
      <c r="F220">
        <f t="shared" si="39"/>
        <v>30.274987222222219</v>
      </c>
      <c r="G220">
        <f t="shared" si="39"/>
        <v>30.20078222222222</v>
      </c>
      <c r="H220">
        <f t="shared" si="39"/>
        <v>30.12657722222222</v>
      </c>
      <c r="I220">
        <f t="shared" si="39"/>
        <v>30.052372222222218</v>
      </c>
      <c r="J220">
        <f t="shared" si="39"/>
        <v>29.978167222222218</v>
      </c>
      <c r="K220">
        <f t="shared" si="39"/>
        <v>29.903962222222219</v>
      </c>
      <c r="L220">
        <f t="shared" si="39"/>
        <v>29.82975722222222</v>
      </c>
      <c r="M220">
        <f t="shared" si="39"/>
        <v>29.755552222222217</v>
      </c>
      <c r="N220">
        <f t="shared" si="39"/>
        <v>29.681347222222218</v>
      </c>
      <c r="O220">
        <f t="shared" si="39"/>
        <v>29.607142222222219</v>
      </c>
      <c r="P220">
        <f t="shared" si="39"/>
        <v>29.53293722222222</v>
      </c>
      <c r="Q220">
        <f t="shared" si="39"/>
        <v>29.458732222222217</v>
      </c>
      <c r="R220">
        <f t="shared" si="39"/>
        <v>29.384527222222218</v>
      </c>
      <c r="S220">
        <f t="shared" si="39"/>
        <v>29.310322222222219</v>
      </c>
      <c r="T220">
        <f t="shared" si="39"/>
        <v>29.236117222222219</v>
      </c>
      <c r="U220">
        <f t="shared" si="40"/>
        <v>29.16191222222222</v>
      </c>
      <c r="V220">
        <f t="shared" si="40"/>
        <v>29.087707222222217</v>
      </c>
      <c r="W220">
        <f t="shared" si="40"/>
        <v>29.013502222222218</v>
      </c>
      <c r="X220">
        <f t="shared" si="40"/>
        <v>28.939297222222219</v>
      </c>
      <c r="Y220">
        <f t="shared" si="40"/>
        <v>28.865092222222216</v>
      </c>
      <c r="Z220">
        <f t="shared" si="40"/>
        <v>28.790887222222217</v>
      </c>
      <c r="AA220">
        <f t="shared" si="40"/>
        <v>28.716682222222218</v>
      </c>
      <c r="AB220">
        <f t="shared" si="40"/>
        <v>28.642477222222219</v>
      </c>
      <c r="AC220">
        <f t="shared" si="40"/>
        <v>28.56827222222222</v>
      </c>
      <c r="AD220">
        <f t="shared" si="40"/>
        <v>27.23258222222222</v>
      </c>
    </row>
    <row r="221" spans="2:30" x14ac:dyDescent="0.2">
      <c r="B221" s="7">
        <v>44790</v>
      </c>
      <c r="C221" s="8">
        <v>25.110416666666669</v>
      </c>
      <c r="D221">
        <f t="shared" si="37"/>
        <v>28.386591666666668</v>
      </c>
      <c r="E221">
        <f t="shared" si="39"/>
        <v>28.312386666666669</v>
      </c>
      <c r="F221">
        <f t="shared" si="39"/>
        <v>28.238181666666669</v>
      </c>
      <c r="G221">
        <f t="shared" si="39"/>
        <v>28.16397666666667</v>
      </c>
      <c r="H221">
        <f t="shared" si="39"/>
        <v>28.089771666666671</v>
      </c>
      <c r="I221">
        <f t="shared" si="39"/>
        <v>28.015566666666668</v>
      </c>
      <c r="J221">
        <f t="shared" si="39"/>
        <v>27.941361666666669</v>
      </c>
      <c r="K221">
        <f t="shared" si="39"/>
        <v>27.86715666666667</v>
      </c>
      <c r="L221">
        <f t="shared" si="39"/>
        <v>27.792951666666671</v>
      </c>
      <c r="M221">
        <f t="shared" si="39"/>
        <v>27.718746666666668</v>
      </c>
      <c r="N221">
        <f t="shared" si="39"/>
        <v>27.644541666666669</v>
      </c>
      <c r="O221">
        <f t="shared" si="39"/>
        <v>27.57033666666667</v>
      </c>
      <c r="P221">
        <f t="shared" si="39"/>
        <v>27.49613166666667</v>
      </c>
      <c r="Q221">
        <f t="shared" si="39"/>
        <v>27.421926666666671</v>
      </c>
      <c r="R221">
        <f t="shared" si="39"/>
        <v>27.347721666666668</v>
      </c>
      <c r="S221">
        <f t="shared" si="39"/>
        <v>27.273516666666669</v>
      </c>
      <c r="T221">
        <f t="shared" si="39"/>
        <v>27.19931166666667</v>
      </c>
      <c r="U221">
        <f t="shared" si="40"/>
        <v>27.125106666666667</v>
      </c>
      <c r="V221">
        <f t="shared" si="40"/>
        <v>27.050901666666668</v>
      </c>
      <c r="W221">
        <f t="shared" si="40"/>
        <v>26.976696666666669</v>
      </c>
      <c r="X221">
        <f t="shared" si="40"/>
        <v>26.90249166666667</v>
      </c>
      <c r="Y221">
        <f t="shared" si="40"/>
        <v>26.828286666666671</v>
      </c>
      <c r="Z221">
        <f t="shared" si="40"/>
        <v>26.754081666666668</v>
      </c>
      <c r="AA221">
        <f t="shared" si="40"/>
        <v>26.679876666666669</v>
      </c>
      <c r="AB221">
        <f t="shared" si="40"/>
        <v>26.605671666666669</v>
      </c>
      <c r="AC221">
        <f t="shared" si="40"/>
        <v>26.531466666666667</v>
      </c>
      <c r="AD221">
        <f t="shared" si="40"/>
        <v>25.195776666666671</v>
      </c>
    </row>
    <row r="222" spans="2:30" x14ac:dyDescent="0.2">
      <c r="B222" s="7">
        <v>44791</v>
      </c>
      <c r="C222" s="8">
        <v>25.668055555555547</v>
      </c>
      <c r="D222">
        <f t="shared" si="37"/>
        <v>28.944230555555549</v>
      </c>
      <c r="E222">
        <f t="shared" si="39"/>
        <v>28.870025555555547</v>
      </c>
      <c r="F222">
        <f t="shared" si="39"/>
        <v>28.795820555555547</v>
      </c>
      <c r="G222">
        <f t="shared" si="39"/>
        <v>28.721615555555548</v>
      </c>
      <c r="H222">
        <f t="shared" si="39"/>
        <v>28.647410555555549</v>
      </c>
      <c r="I222">
        <f t="shared" si="39"/>
        <v>28.573205555555546</v>
      </c>
      <c r="J222">
        <f t="shared" si="39"/>
        <v>28.499000555555547</v>
      </c>
      <c r="K222">
        <f t="shared" si="39"/>
        <v>28.424795555555548</v>
      </c>
      <c r="L222">
        <f t="shared" si="39"/>
        <v>28.350590555555549</v>
      </c>
      <c r="M222">
        <f t="shared" si="39"/>
        <v>28.276385555555546</v>
      </c>
      <c r="N222">
        <f t="shared" si="39"/>
        <v>28.202180555555547</v>
      </c>
      <c r="O222">
        <f t="shared" si="39"/>
        <v>28.127975555555548</v>
      </c>
      <c r="P222">
        <f t="shared" si="39"/>
        <v>28.053770555555548</v>
      </c>
      <c r="Q222">
        <f t="shared" si="39"/>
        <v>27.979565555555546</v>
      </c>
      <c r="R222">
        <f t="shared" si="39"/>
        <v>27.905360555555546</v>
      </c>
      <c r="S222">
        <f t="shared" si="39"/>
        <v>27.831155555555547</v>
      </c>
      <c r="T222">
        <f t="shared" si="39"/>
        <v>27.756950555555548</v>
      </c>
      <c r="U222">
        <f t="shared" si="40"/>
        <v>27.682745555555549</v>
      </c>
      <c r="V222">
        <f t="shared" si="40"/>
        <v>27.608540555555546</v>
      </c>
      <c r="W222">
        <f t="shared" si="40"/>
        <v>27.534335555555547</v>
      </c>
      <c r="X222">
        <f t="shared" si="40"/>
        <v>27.460130555555548</v>
      </c>
      <c r="Y222">
        <f t="shared" si="40"/>
        <v>27.385925555555545</v>
      </c>
      <c r="Z222">
        <f t="shared" si="40"/>
        <v>27.311720555555546</v>
      </c>
      <c r="AA222">
        <f t="shared" si="40"/>
        <v>27.237515555555547</v>
      </c>
      <c r="AB222">
        <f t="shared" si="40"/>
        <v>27.163310555555547</v>
      </c>
      <c r="AC222">
        <f t="shared" si="40"/>
        <v>27.089105555555548</v>
      </c>
      <c r="AD222">
        <f t="shared" si="40"/>
        <v>25.753415555555549</v>
      </c>
    </row>
    <row r="223" spans="2:30" x14ac:dyDescent="0.2">
      <c r="B223" s="7">
        <v>44792</v>
      </c>
      <c r="C223" s="8">
        <v>25.937499999999996</v>
      </c>
      <c r="D223">
        <f t="shared" si="37"/>
        <v>29.213674999999995</v>
      </c>
      <c r="E223">
        <f t="shared" si="39"/>
        <v>29.139469999999996</v>
      </c>
      <c r="F223">
        <f t="shared" si="39"/>
        <v>29.065264999999997</v>
      </c>
      <c r="G223">
        <f t="shared" si="39"/>
        <v>28.991059999999997</v>
      </c>
      <c r="H223">
        <f t="shared" si="39"/>
        <v>28.916854999999998</v>
      </c>
      <c r="I223">
        <f t="shared" si="39"/>
        <v>28.842649999999995</v>
      </c>
      <c r="J223">
        <f t="shared" si="39"/>
        <v>28.768444999999996</v>
      </c>
      <c r="K223">
        <f t="shared" si="39"/>
        <v>28.694239999999997</v>
      </c>
      <c r="L223">
        <f t="shared" si="39"/>
        <v>28.620034999999998</v>
      </c>
      <c r="M223">
        <f t="shared" si="39"/>
        <v>28.545829999999995</v>
      </c>
      <c r="N223">
        <f t="shared" si="39"/>
        <v>28.471624999999996</v>
      </c>
      <c r="O223">
        <f t="shared" si="39"/>
        <v>28.397419999999997</v>
      </c>
      <c r="P223">
        <f t="shared" si="39"/>
        <v>28.323214999999998</v>
      </c>
      <c r="Q223">
        <f t="shared" si="39"/>
        <v>28.249009999999998</v>
      </c>
      <c r="R223">
        <f t="shared" si="39"/>
        <v>28.174804999999996</v>
      </c>
      <c r="S223">
        <f t="shared" si="39"/>
        <v>28.100599999999996</v>
      </c>
      <c r="T223">
        <f t="shared" si="39"/>
        <v>28.026394999999997</v>
      </c>
      <c r="U223">
        <f t="shared" si="40"/>
        <v>27.952189999999995</v>
      </c>
      <c r="V223">
        <f t="shared" si="40"/>
        <v>27.877984999999995</v>
      </c>
      <c r="W223">
        <f t="shared" si="40"/>
        <v>27.803779999999996</v>
      </c>
      <c r="X223">
        <f t="shared" si="40"/>
        <v>27.729574999999997</v>
      </c>
      <c r="Y223">
        <f t="shared" si="40"/>
        <v>27.655369999999998</v>
      </c>
      <c r="Z223">
        <f t="shared" si="40"/>
        <v>27.581164999999995</v>
      </c>
      <c r="AA223">
        <f t="shared" si="40"/>
        <v>27.506959999999996</v>
      </c>
      <c r="AB223">
        <f t="shared" si="40"/>
        <v>27.432754999999997</v>
      </c>
      <c r="AC223">
        <f t="shared" si="40"/>
        <v>27.358549999999994</v>
      </c>
      <c r="AD223">
        <f t="shared" si="40"/>
        <v>26.022859999999998</v>
      </c>
    </row>
    <row r="224" spans="2:30" x14ac:dyDescent="0.2">
      <c r="B224" s="7">
        <v>44793</v>
      </c>
      <c r="C224" s="8">
        <v>26.597222222222225</v>
      </c>
      <c r="D224">
        <f t="shared" si="37"/>
        <v>29.873397222222223</v>
      </c>
      <c r="E224">
        <f t="shared" si="39"/>
        <v>29.799192222222224</v>
      </c>
      <c r="F224">
        <f t="shared" si="39"/>
        <v>29.724987222222225</v>
      </c>
      <c r="G224">
        <f t="shared" si="39"/>
        <v>29.650782222222226</v>
      </c>
      <c r="H224">
        <f t="shared" si="39"/>
        <v>29.576577222222227</v>
      </c>
      <c r="I224">
        <f t="shared" si="39"/>
        <v>29.502372222222224</v>
      </c>
      <c r="J224">
        <f t="shared" si="39"/>
        <v>29.428167222222225</v>
      </c>
      <c r="K224">
        <f t="shared" si="39"/>
        <v>29.353962222222226</v>
      </c>
      <c r="L224">
        <f t="shared" si="39"/>
        <v>29.279757222222226</v>
      </c>
      <c r="M224">
        <f t="shared" si="39"/>
        <v>29.205552222222224</v>
      </c>
      <c r="N224">
        <f t="shared" si="39"/>
        <v>29.131347222222225</v>
      </c>
      <c r="O224">
        <f t="shared" si="39"/>
        <v>29.057142222222225</v>
      </c>
      <c r="P224">
        <f t="shared" si="39"/>
        <v>28.982937222222226</v>
      </c>
      <c r="Q224">
        <f t="shared" si="39"/>
        <v>28.908732222222227</v>
      </c>
      <c r="R224">
        <f t="shared" si="39"/>
        <v>28.834527222222224</v>
      </c>
      <c r="S224">
        <f t="shared" si="39"/>
        <v>28.760322222222225</v>
      </c>
      <c r="T224">
        <f t="shared" si="39"/>
        <v>28.686117222222226</v>
      </c>
      <c r="U224">
        <f t="shared" si="40"/>
        <v>28.611912222222223</v>
      </c>
      <c r="V224">
        <f t="shared" si="40"/>
        <v>28.537707222222224</v>
      </c>
      <c r="W224">
        <f t="shared" si="40"/>
        <v>28.463502222222225</v>
      </c>
      <c r="X224">
        <f t="shared" si="40"/>
        <v>28.389297222222226</v>
      </c>
      <c r="Y224">
        <f t="shared" si="40"/>
        <v>28.315092222222226</v>
      </c>
      <c r="Z224">
        <f t="shared" si="40"/>
        <v>28.240887222222224</v>
      </c>
      <c r="AA224">
        <f t="shared" si="40"/>
        <v>28.166682222222224</v>
      </c>
      <c r="AB224">
        <f t="shared" si="40"/>
        <v>28.092477222222225</v>
      </c>
      <c r="AC224">
        <f t="shared" si="40"/>
        <v>28.018272222222222</v>
      </c>
      <c r="AD224">
        <f t="shared" si="40"/>
        <v>26.682582222222226</v>
      </c>
    </row>
    <row r="225" spans="2:30" x14ac:dyDescent="0.2">
      <c r="B225" s="7">
        <v>44794</v>
      </c>
      <c r="C225" s="8">
        <v>25.426388888888894</v>
      </c>
      <c r="D225">
        <f t="shared" si="37"/>
        <v>28.702563888888896</v>
      </c>
      <c r="E225">
        <f t="shared" si="39"/>
        <v>28.628358888888894</v>
      </c>
      <c r="F225">
        <f t="shared" si="39"/>
        <v>28.554153888888894</v>
      </c>
      <c r="G225">
        <f t="shared" si="39"/>
        <v>28.479948888888895</v>
      </c>
      <c r="H225">
        <f t="shared" si="39"/>
        <v>28.405743888888896</v>
      </c>
      <c r="I225">
        <f t="shared" si="39"/>
        <v>28.331538888888893</v>
      </c>
      <c r="J225">
        <f t="shared" si="39"/>
        <v>28.257333888888894</v>
      </c>
      <c r="K225">
        <f t="shared" si="39"/>
        <v>28.183128888888895</v>
      </c>
      <c r="L225">
        <f t="shared" si="39"/>
        <v>28.108923888888896</v>
      </c>
      <c r="M225">
        <f t="shared" si="39"/>
        <v>28.034718888888893</v>
      </c>
      <c r="N225">
        <f t="shared" si="39"/>
        <v>27.960513888888894</v>
      </c>
      <c r="O225">
        <f t="shared" si="39"/>
        <v>27.886308888888895</v>
      </c>
      <c r="P225">
        <f t="shared" si="39"/>
        <v>27.812103888888895</v>
      </c>
      <c r="Q225">
        <f t="shared" si="39"/>
        <v>27.737898888888893</v>
      </c>
      <c r="R225">
        <f t="shared" si="39"/>
        <v>27.663693888888893</v>
      </c>
      <c r="S225">
        <f t="shared" si="39"/>
        <v>27.589488888888894</v>
      </c>
      <c r="T225">
        <f t="shared" si="39"/>
        <v>27.515283888888895</v>
      </c>
      <c r="U225">
        <f t="shared" si="40"/>
        <v>27.441078888888896</v>
      </c>
      <c r="V225">
        <f t="shared" si="40"/>
        <v>27.366873888888893</v>
      </c>
      <c r="W225">
        <f t="shared" si="40"/>
        <v>27.292668888888894</v>
      </c>
      <c r="X225">
        <f t="shared" si="40"/>
        <v>27.218463888888895</v>
      </c>
      <c r="Y225">
        <f t="shared" si="40"/>
        <v>27.144258888888892</v>
      </c>
      <c r="Z225">
        <f t="shared" si="40"/>
        <v>27.070053888888893</v>
      </c>
      <c r="AA225">
        <f t="shared" si="40"/>
        <v>26.995848888888894</v>
      </c>
      <c r="AB225">
        <f t="shared" si="40"/>
        <v>26.921643888888894</v>
      </c>
      <c r="AC225">
        <f t="shared" si="40"/>
        <v>26.847438888888895</v>
      </c>
      <c r="AD225">
        <f t="shared" si="40"/>
        <v>25.511748888888896</v>
      </c>
    </row>
    <row r="226" spans="2:30" x14ac:dyDescent="0.2">
      <c r="B226" s="7">
        <v>44795</v>
      </c>
      <c r="C226" s="8">
        <v>26.616319444444454</v>
      </c>
      <c r="D226">
        <f t="shared" si="37"/>
        <v>29.892494444444452</v>
      </c>
      <c r="E226">
        <f t="shared" si="39"/>
        <v>29.818289444444453</v>
      </c>
      <c r="F226">
        <f t="shared" si="39"/>
        <v>29.744084444444454</v>
      </c>
      <c r="G226">
        <f t="shared" si="39"/>
        <v>29.669879444444454</v>
      </c>
      <c r="H226">
        <f t="shared" si="39"/>
        <v>29.595674444444455</v>
      </c>
      <c r="I226">
        <f t="shared" si="39"/>
        <v>29.521469444444453</v>
      </c>
      <c r="J226">
        <f t="shared" si="39"/>
        <v>29.447264444444453</v>
      </c>
      <c r="K226">
        <f t="shared" si="39"/>
        <v>29.373059444444454</v>
      </c>
      <c r="L226">
        <f t="shared" si="39"/>
        <v>29.298854444444455</v>
      </c>
      <c r="M226">
        <f t="shared" si="39"/>
        <v>29.224649444444452</v>
      </c>
      <c r="N226">
        <f t="shared" si="39"/>
        <v>29.150444444444453</v>
      </c>
      <c r="O226">
        <f t="shared" si="39"/>
        <v>29.076239444444454</v>
      </c>
      <c r="P226">
        <f t="shared" si="39"/>
        <v>29.002034444444455</v>
      </c>
      <c r="Q226">
        <f t="shared" si="39"/>
        <v>28.927829444444455</v>
      </c>
      <c r="R226">
        <f t="shared" si="39"/>
        <v>28.853624444444453</v>
      </c>
      <c r="S226">
        <f t="shared" si="39"/>
        <v>28.779419444444454</v>
      </c>
      <c r="T226">
        <f t="shared" si="39"/>
        <v>28.705214444444454</v>
      </c>
      <c r="U226">
        <f t="shared" si="40"/>
        <v>28.631009444444452</v>
      </c>
      <c r="V226">
        <f t="shared" si="40"/>
        <v>28.556804444444452</v>
      </c>
      <c r="W226">
        <f t="shared" si="40"/>
        <v>28.482599444444453</v>
      </c>
      <c r="X226">
        <f t="shared" si="40"/>
        <v>28.408394444444454</v>
      </c>
      <c r="Y226">
        <f t="shared" si="40"/>
        <v>28.334189444444455</v>
      </c>
      <c r="Z226">
        <f t="shared" si="40"/>
        <v>28.259984444444452</v>
      </c>
      <c r="AA226">
        <f t="shared" si="40"/>
        <v>28.185779444444453</v>
      </c>
      <c r="AB226">
        <f t="shared" si="40"/>
        <v>28.111574444444454</v>
      </c>
      <c r="AC226">
        <f t="shared" si="40"/>
        <v>28.037369444444451</v>
      </c>
      <c r="AD226">
        <f t="shared" si="40"/>
        <v>26.701679444444455</v>
      </c>
    </row>
    <row r="227" spans="2:30" x14ac:dyDescent="0.2">
      <c r="B227" s="7">
        <v>44796</v>
      </c>
      <c r="C227" s="8">
        <v>27.513888888888882</v>
      </c>
      <c r="D227">
        <f t="shared" si="37"/>
        <v>30.790063888888881</v>
      </c>
      <c r="E227">
        <f t="shared" si="39"/>
        <v>30.715858888888881</v>
      </c>
      <c r="F227">
        <f t="shared" si="39"/>
        <v>30.641653888888882</v>
      </c>
      <c r="G227">
        <f t="shared" si="39"/>
        <v>30.567448888888883</v>
      </c>
      <c r="H227">
        <f t="shared" si="39"/>
        <v>30.493243888888884</v>
      </c>
      <c r="I227">
        <f t="shared" si="39"/>
        <v>30.419038888888881</v>
      </c>
      <c r="J227">
        <f t="shared" si="39"/>
        <v>30.344833888888882</v>
      </c>
      <c r="K227">
        <f t="shared" si="39"/>
        <v>30.270628888888883</v>
      </c>
      <c r="L227">
        <f t="shared" si="39"/>
        <v>30.196423888888884</v>
      </c>
      <c r="M227">
        <f t="shared" si="39"/>
        <v>30.122218888888881</v>
      </c>
      <c r="N227">
        <f t="shared" si="39"/>
        <v>30.048013888888882</v>
      </c>
      <c r="O227">
        <f t="shared" si="39"/>
        <v>29.973808888888883</v>
      </c>
      <c r="P227">
        <f t="shared" si="39"/>
        <v>29.899603888888883</v>
      </c>
      <c r="Q227">
        <f t="shared" si="39"/>
        <v>29.825398888888884</v>
      </c>
      <c r="R227">
        <f t="shared" si="39"/>
        <v>29.751193888888881</v>
      </c>
      <c r="S227">
        <f t="shared" si="39"/>
        <v>29.676988888888882</v>
      </c>
      <c r="T227">
        <f t="shared" si="39"/>
        <v>29.602783888888883</v>
      </c>
      <c r="U227">
        <f t="shared" si="40"/>
        <v>29.52857888888888</v>
      </c>
      <c r="V227">
        <f t="shared" si="40"/>
        <v>29.454373888888881</v>
      </c>
      <c r="W227">
        <f t="shared" si="40"/>
        <v>29.380168888888882</v>
      </c>
      <c r="X227">
        <f t="shared" si="40"/>
        <v>29.305963888888883</v>
      </c>
      <c r="Y227">
        <f t="shared" si="40"/>
        <v>29.231758888888884</v>
      </c>
      <c r="Z227">
        <f t="shared" si="40"/>
        <v>29.157553888888881</v>
      </c>
      <c r="AA227">
        <f t="shared" si="40"/>
        <v>29.083348888888882</v>
      </c>
      <c r="AB227">
        <f t="shared" si="40"/>
        <v>29.009143888888882</v>
      </c>
      <c r="AC227">
        <f t="shared" si="40"/>
        <v>28.93493888888888</v>
      </c>
      <c r="AD227">
        <f t="shared" si="40"/>
        <v>27.599248888888884</v>
      </c>
    </row>
    <row r="228" spans="2:30" x14ac:dyDescent="0.2">
      <c r="B228" s="7">
        <v>44797</v>
      </c>
      <c r="C228" s="8">
        <v>28.337500000000009</v>
      </c>
      <c r="D228">
        <f t="shared" si="37"/>
        <v>31.613675000000008</v>
      </c>
      <c r="E228">
        <f t="shared" si="39"/>
        <v>31.539470000000009</v>
      </c>
      <c r="F228">
        <f t="shared" si="39"/>
        <v>31.465265000000009</v>
      </c>
      <c r="G228">
        <f t="shared" si="39"/>
        <v>31.39106000000001</v>
      </c>
      <c r="H228">
        <f t="shared" si="39"/>
        <v>31.316855000000011</v>
      </c>
      <c r="I228">
        <f t="shared" si="39"/>
        <v>31.242650000000008</v>
      </c>
      <c r="J228">
        <f t="shared" si="39"/>
        <v>31.168445000000009</v>
      </c>
      <c r="K228">
        <f t="shared" si="39"/>
        <v>31.09424000000001</v>
      </c>
      <c r="L228">
        <f t="shared" si="39"/>
        <v>31.020035000000011</v>
      </c>
      <c r="M228">
        <f t="shared" si="39"/>
        <v>30.945830000000008</v>
      </c>
      <c r="N228">
        <f t="shared" si="39"/>
        <v>30.871625000000009</v>
      </c>
      <c r="O228">
        <f t="shared" si="39"/>
        <v>30.79742000000001</v>
      </c>
      <c r="P228">
        <f t="shared" si="39"/>
        <v>30.72321500000001</v>
      </c>
      <c r="Q228">
        <f t="shared" si="39"/>
        <v>30.649010000000011</v>
      </c>
      <c r="R228">
        <f t="shared" si="39"/>
        <v>30.574805000000008</v>
      </c>
      <c r="S228">
        <f t="shared" si="39"/>
        <v>30.500600000000009</v>
      </c>
      <c r="T228">
        <f t="shared" ref="T228" si="41">(-1.4841*T$3+3.6472)+$C228</f>
        <v>30.42639500000001</v>
      </c>
      <c r="U228">
        <f t="shared" si="40"/>
        <v>30.352190000000007</v>
      </c>
      <c r="V228">
        <f t="shared" si="40"/>
        <v>30.277985000000008</v>
      </c>
      <c r="W228">
        <f t="shared" si="40"/>
        <v>30.203780000000009</v>
      </c>
      <c r="X228">
        <f t="shared" si="40"/>
        <v>30.12957500000001</v>
      </c>
      <c r="Y228">
        <f t="shared" si="40"/>
        <v>30.055370000000011</v>
      </c>
      <c r="Z228">
        <f t="shared" si="40"/>
        <v>29.981165000000008</v>
      </c>
      <c r="AA228">
        <f t="shared" si="40"/>
        <v>29.906960000000009</v>
      </c>
      <c r="AB228">
        <f t="shared" si="40"/>
        <v>29.832755000000009</v>
      </c>
      <c r="AC228">
        <f t="shared" si="40"/>
        <v>29.758550000000007</v>
      </c>
      <c r="AD228">
        <f t="shared" si="40"/>
        <v>28.422860000000011</v>
      </c>
    </row>
    <row r="229" spans="2:30" x14ac:dyDescent="0.2">
      <c r="B229" s="7">
        <v>44798</v>
      </c>
      <c r="C229" s="8">
        <v>28.296527777777779</v>
      </c>
      <c r="D229">
        <f t="shared" si="37"/>
        <v>31.572702777777778</v>
      </c>
      <c r="E229">
        <f t="shared" ref="E229:T244" si="42">(-1.4841*E$3+3.6472)+$C229</f>
        <v>31.498497777777779</v>
      </c>
      <c r="F229">
        <f t="shared" si="42"/>
        <v>31.424292777777779</v>
      </c>
      <c r="G229">
        <f t="shared" si="42"/>
        <v>31.35008777777778</v>
      </c>
      <c r="H229">
        <f t="shared" si="42"/>
        <v>31.275882777777781</v>
      </c>
      <c r="I229">
        <f t="shared" si="42"/>
        <v>31.201677777777778</v>
      </c>
      <c r="J229">
        <f t="shared" si="42"/>
        <v>31.127472777777779</v>
      </c>
      <c r="K229">
        <f t="shared" si="42"/>
        <v>31.05326777777778</v>
      </c>
      <c r="L229">
        <f t="shared" si="42"/>
        <v>30.979062777777781</v>
      </c>
      <c r="M229">
        <f t="shared" si="42"/>
        <v>30.904857777777778</v>
      </c>
      <c r="N229">
        <f t="shared" si="42"/>
        <v>30.830652777777779</v>
      </c>
      <c r="O229">
        <f t="shared" si="42"/>
        <v>30.75644777777778</v>
      </c>
      <c r="P229">
        <f t="shared" si="42"/>
        <v>30.68224277777778</v>
      </c>
      <c r="Q229">
        <f t="shared" si="42"/>
        <v>30.608037777777781</v>
      </c>
      <c r="R229">
        <f t="shared" si="42"/>
        <v>30.533832777777778</v>
      </c>
      <c r="S229">
        <f t="shared" si="42"/>
        <v>30.459627777777779</v>
      </c>
      <c r="T229">
        <f t="shared" si="42"/>
        <v>30.38542277777778</v>
      </c>
      <c r="U229">
        <f t="shared" si="40"/>
        <v>30.311217777777777</v>
      </c>
      <c r="V229">
        <f t="shared" si="40"/>
        <v>30.237012777777778</v>
      </c>
      <c r="W229">
        <f t="shared" si="40"/>
        <v>30.162807777777779</v>
      </c>
      <c r="X229">
        <f t="shared" si="40"/>
        <v>30.08860277777778</v>
      </c>
      <c r="Y229">
        <f t="shared" si="40"/>
        <v>30.014397777777781</v>
      </c>
      <c r="Z229">
        <f t="shared" si="40"/>
        <v>29.940192777777778</v>
      </c>
      <c r="AA229">
        <f t="shared" si="40"/>
        <v>29.865987777777779</v>
      </c>
      <c r="AB229">
        <f t="shared" si="40"/>
        <v>29.79178277777778</v>
      </c>
      <c r="AC229">
        <f t="shared" si="40"/>
        <v>29.717577777777777</v>
      </c>
      <c r="AD229">
        <f t="shared" si="40"/>
        <v>28.381887777777781</v>
      </c>
    </row>
    <row r="230" spans="2:30" x14ac:dyDescent="0.2">
      <c r="B230" s="7">
        <v>44799</v>
      </c>
      <c r="C230" s="8">
        <v>24.913888888888881</v>
      </c>
      <c r="D230">
        <f t="shared" si="37"/>
        <v>28.190063888888879</v>
      </c>
      <c r="E230">
        <f t="shared" si="42"/>
        <v>28.11585888888888</v>
      </c>
      <c r="F230">
        <f t="shared" si="42"/>
        <v>28.041653888888881</v>
      </c>
      <c r="G230">
        <f t="shared" si="42"/>
        <v>27.967448888888882</v>
      </c>
      <c r="H230">
        <f t="shared" si="42"/>
        <v>27.893243888888883</v>
      </c>
      <c r="I230">
        <f t="shared" si="42"/>
        <v>27.81903888888888</v>
      </c>
      <c r="J230">
        <f t="shared" si="42"/>
        <v>27.744833888888881</v>
      </c>
      <c r="K230">
        <f t="shared" si="42"/>
        <v>27.670628888888881</v>
      </c>
      <c r="L230">
        <f t="shared" si="42"/>
        <v>27.596423888888882</v>
      </c>
      <c r="M230">
        <f t="shared" si="42"/>
        <v>27.522218888888879</v>
      </c>
      <c r="N230">
        <f t="shared" si="42"/>
        <v>27.44801388888888</v>
      </c>
      <c r="O230">
        <f t="shared" si="42"/>
        <v>27.373808888888881</v>
      </c>
      <c r="P230">
        <f t="shared" si="42"/>
        <v>27.299603888888882</v>
      </c>
      <c r="Q230">
        <f t="shared" si="42"/>
        <v>27.225398888888883</v>
      </c>
      <c r="R230">
        <f t="shared" si="42"/>
        <v>27.15119388888888</v>
      </c>
      <c r="S230">
        <f t="shared" si="42"/>
        <v>27.076988888888881</v>
      </c>
      <c r="T230">
        <f t="shared" si="42"/>
        <v>27.002783888888882</v>
      </c>
      <c r="U230">
        <f t="shared" si="40"/>
        <v>26.928578888888879</v>
      </c>
      <c r="V230">
        <f t="shared" si="40"/>
        <v>26.85437388888888</v>
      </c>
      <c r="W230">
        <f t="shared" si="40"/>
        <v>26.78016888888888</v>
      </c>
      <c r="X230">
        <f t="shared" si="40"/>
        <v>26.705963888888881</v>
      </c>
      <c r="Y230">
        <f t="shared" si="40"/>
        <v>26.631758888888882</v>
      </c>
      <c r="Z230">
        <f t="shared" si="40"/>
        <v>26.557553888888879</v>
      </c>
      <c r="AA230">
        <f t="shared" si="40"/>
        <v>26.48334888888888</v>
      </c>
      <c r="AB230">
        <f t="shared" si="40"/>
        <v>26.409143888888881</v>
      </c>
      <c r="AC230">
        <f t="shared" si="40"/>
        <v>26.334938888888878</v>
      </c>
      <c r="AD230">
        <f t="shared" si="40"/>
        <v>24.999248888888882</v>
      </c>
    </row>
    <row r="231" spans="2:30" x14ac:dyDescent="0.2">
      <c r="B231" s="7">
        <v>44800</v>
      </c>
      <c r="C231" s="8">
        <v>22.652777777777779</v>
      </c>
      <c r="D231">
        <f t="shared" si="37"/>
        <v>25.928952777777781</v>
      </c>
      <c r="E231">
        <f t="shared" si="42"/>
        <v>25.854747777777778</v>
      </c>
      <c r="F231">
        <f t="shared" si="42"/>
        <v>25.780542777777779</v>
      </c>
      <c r="G231">
        <f t="shared" si="42"/>
        <v>25.70633777777778</v>
      </c>
      <c r="H231">
        <f t="shared" si="42"/>
        <v>25.63213277777778</v>
      </c>
      <c r="I231">
        <f t="shared" si="42"/>
        <v>25.557927777777778</v>
      </c>
      <c r="J231">
        <f t="shared" si="42"/>
        <v>25.483722777777778</v>
      </c>
      <c r="K231">
        <f t="shared" si="42"/>
        <v>25.409517777777779</v>
      </c>
      <c r="L231">
        <f t="shared" si="42"/>
        <v>25.33531277777778</v>
      </c>
      <c r="M231">
        <f t="shared" si="42"/>
        <v>25.261107777777777</v>
      </c>
      <c r="N231">
        <f t="shared" si="42"/>
        <v>25.186902777777778</v>
      </c>
      <c r="O231">
        <f t="shared" si="42"/>
        <v>25.112697777777779</v>
      </c>
      <c r="P231">
        <f t="shared" si="42"/>
        <v>25.03849277777778</v>
      </c>
      <c r="Q231">
        <f t="shared" si="42"/>
        <v>24.964287777777777</v>
      </c>
      <c r="R231">
        <f t="shared" si="42"/>
        <v>24.890082777777778</v>
      </c>
      <c r="S231">
        <f t="shared" si="42"/>
        <v>24.815877777777779</v>
      </c>
      <c r="T231">
        <f t="shared" si="42"/>
        <v>24.741672777777779</v>
      </c>
      <c r="U231">
        <f t="shared" si="40"/>
        <v>24.66746777777778</v>
      </c>
      <c r="V231">
        <f t="shared" si="40"/>
        <v>24.593262777777777</v>
      </c>
      <c r="W231">
        <f t="shared" si="40"/>
        <v>24.519057777777778</v>
      </c>
      <c r="X231">
        <f t="shared" si="40"/>
        <v>24.444852777777779</v>
      </c>
      <c r="Y231">
        <f t="shared" si="40"/>
        <v>24.370647777777776</v>
      </c>
      <c r="Z231">
        <f t="shared" si="40"/>
        <v>24.296442777777777</v>
      </c>
      <c r="AA231">
        <f t="shared" si="40"/>
        <v>24.222237777777778</v>
      </c>
      <c r="AB231">
        <f t="shared" si="40"/>
        <v>24.148032777777779</v>
      </c>
      <c r="AC231">
        <f t="shared" si="40"/>
        <v>24.07382777777778</v>
      </c>
      <c r="AD231">
        <f t="shared" si="40"/>
        <v>22.73813777777778</v>
      </c>
    </row>
    <row r="232" spans="2:30" x14ac:dyDescent="0.2">
      <c r="B232" s="7">
        <v>44801</v>
      </c>
      <c r="C232" s="8">
        <v>22.34236111111111</v>
      </c>
      <c r="D232">
        <f t="shared" si="37"/>
        <v>25.618536111111112</v>
      </c>
      <c r="E232">
        <f t="shared" si="42"/>
        <v>25.544331111111109</v>
      </c>
      <c r="F232">
        <f t="shared" si="42"/>
        <v>25.47012611111111</v>
      </c>
      <c r="G232">
        <f t="shared" si="42"/>
        <v>25.395921111111111</v>
      </c>
      <c r="H232">
        <f t="shared" si="42"/>
        <v>25.321716111111112</v>
      </c>
      <c r="I232">
        <f t="shared" si="42"/>
        <v>25.247511111111109</v>
      </c>
      <c r="J232">
        <f t="shared" si="42"/>
        <v>25.17330611111111</v>
      </c>
      <c r="K232">
        <f t="shared" si="42"/>
        <v>25.099101111111111</v>
      </c>
      <c r="L232">
        <f t="shared" si="42"/>
        <v>25.024896111111111</v>
      </c>
      <c r="M232">
        <f t="shared" si="42"/>
        <v>24.950691111111109</v>
      </c>
      <c r="N232">
        <f t="shared" si="42"/>
        <v>24.87648611111111</v>
      </c>
      <c r="O232">
        <f t="shared" si="42"/>
        <v>24.80228111111111</v>
      </c>
      <c r="P232">
        <f t="shared" si="42"/>
        <v>24.728076111111111</v>
      </c>
      <c r="Q232">
        <f t="shared" si="42"/>
        <v>24.653871111111108</v>
      </c>
      <c r="R232">
        <f t="shared" si="42"/>
        <v>24.579666111111109</v>
      </c>
      <c r="S232">
        <f t="shared" si="42"/>
        <v>24.50546111111111</v>
      </c>
      <c r="T232">
        <f t="shared" si="42"/>
        <v>24.431256111111111</v>
      </c>
      <c r="U232">
        <f t="shared" si="40"/>
        <v>24.357051111111112</v>
      </c>
      <c r="V232">
        <f t="shared" si="40"/>
        <v>24.282846111111109</v>
      </c>
      <c r="W232">
        <f t="shared" si="40"/>
        <v>24.20864111111111</v>
      </c>
      <c r="X232">
        <f t="shared" si="40"/>
        <v>24.134436111111111</v>
      </c>
      <c r="Y232">
        <f t="shared" si="40"/>
        <v>24.060231111111108</v>
      </c>
      <c r="Z232">
        <f t="shared" si="40"/>
        <v>23.986026111111109</v>
      </c>
      <c r="AA232">
        <f t="shared" si="40"/>
        <v>23.911821111111109</v>
      </c>
      <c r="AB232">
        <f t="shared" si="40"/>
        <v>23.83761611111111</v>
      </c>
      <c r="AC232">
        <f t="shared" si="40"/>
        <v>23.763411111111111</v>
      </c>
      <c r="AD232">
        <f t="shared" si="40"/>
        <v>22.427721111111111</v>
      </c>
    </row>
    <row r="233" spans="2:30" x14ac:dyDescent="0.2">
      <c r="B233" s="7">
        <v>44802</v>
      </c>
      <c r="C233" s="8">
        <v>22.451388888888886</v>
      </c>
      <c r="D233">
        <f t="shared" si="37"/>
        <v>25.727563888888888</v>
      </c>
      <c r="E233">
        <f t="shared" si="42"/>
        <v>25.653358888888885</v>
      </c>
      <c r="F233">
        <f t="shared" si="42"/>
        <v>25.579153888888886</v>
      </c>
      <c r="G233">
        <f t="shared" si="42"/>
        <v>25.504948888888887</v>
      </c>
      <c r="H233">
        <f t="shared" si="42"/>
        <v>25.430743888888887</v>
      </c>
      <c r="I233">
        <f t="shared" si="42"/>
        <v>25.356538888888885</v>
      </c>
      <c r="J233">
        <f t="shared" si="42"/>
        <v>25.282333888888886</v>
      </c>
      <c r="K233">
        <f t="shared" si="42"/>
        <v>25.208128888888886</v>
      </c>
      <c r="L233">
        <f t="shared" si="42"/>
        <v>25.133923888888887</v>
      </c>
      <c r="M233">
        <f t="shared" si="42"/>
        <v>25.059718888888884</v>
      </c>
      <c r="N233">
        <f t="shared" si="42"/>
        <v>24.985513888888885</v>
      </c>
      <c r="O233">
        <f t="shared" si="42"/>
        <v>24.911308888888886</v>
      </c>
      <c r="P233">
        <f t="shared" si="42"/>
        <v>24.837103888888887</v>
      </c>
      <c r="Q233">
        <f t="shared" si="42"/>
        <v>24.762898888888884</v>
      </c>
      <c r="R233">
        <f t="shared" si="42"/>
        <v>24.688693888888885</v>
      </c>
      <c r="S233">
        <f t="shared" si="42"/>
        <v>24.614488888888886</v>
      </c>
      <c r="T233">
        <f t="shared" si="42"/>
        <v>24.540283888888887</v>
      </c>
      <c r="U233">
        <f t="shared" si="40"/>
        <v>24.466078888888887</v>
      </c>
      <c r="V233">
        <f t="shared" si="40"/>
        <v>24.391873888888885</v>
      </c>
      <c r="W233">
        <f t="shared" si="40"/>
        <v>24.317668888888885</v>
      </c>
      <c r="X233">
        <f t="shared" si="40"/>
        <v>24.243463888888886</v>
      </c>
      <c r="Y233">
        <f t="shared" si="40"/>
        <v>24.169258888888884</v>
      </c>
      <c r="Z233">
        <f t="shared" si="40"/>
        <v>24.095053888888884</v>
      </c>
      <c r="AA233">
        <f t="shared" si="40"/>
        <v>24.020848888888885</v>
      </c>
      <c r="AB233">
        <f t="shared" si="40"/>
        <v>23.946643888888886</v>
      </c>
      <c r="AC233">
        <f t="shared" si="40"/>
        <v>23.872438888888887</v>
      </c>
      <c r="AD233">
        <f t="shared" si="40"/>
        <v>22.536748888888887</v>
      </c>
    </row>
    <row r="234" spans="2:30" x14ac:dyDescent="0.2">
      <c r="B234" s="7">
        <v>44803</v>
      </c>
      <c r="C234" s="8">
        <v>22.968749999999996</v>
      </c>
      <c r="D234">
        <f t="shared" si="37"/>
        <v>26.244924999999995</v>
      </c>
      <c r="E234">
        <f t="shared" si="42"/>
        <v>26.170719999999996</v>
      </c>
      <c r="F234">
        <f t="shared" si="42"/>
        <v>26.096514999999997</v>
      </c>
      <c r="G234">
        <f t="shared" si="42"/>
        <v>26.022309999999997</v>
      </c>
      <c r="H234">
        <f t="shared" si="42"/>
        <v>25.948104999999998</v>
      </c>
      <c r="I234">
        <f t="shared" si="42"/>
        <v>25.873899999999995</v>
      </c>
      <c r="J234">
        <f t="shared" si="42"/>
        <v>25.799694999999996</v>
      </c>
      <c r="K234">
        <f t="shared" si="42"/>
        <v>25.725489999999997</v>
      </c>
      <c r="L234">
        <f t="shared" si="42"/>
        <v>25.651284999999998</v>
      </c>
      <c r="M234">
        <f t="shared" si="42"/>
        <v>25.577079999999995</v>
      </c>
      <c r="N234">
        <f t="shared" si="42"/>
        <v>25.502874999999996</v>
      </c>
      <c r="O234">
        <f t="shared" si="42"/>
        <v>25.428669999999997</v>
      </c>
      <c r="P234">
        <f t="shared" si="42"/>
        <v>25.354464999999998</v>
      </c>
      <c r="Q234">
        <f t="shared" si="42"/>
        <v>25.280259999999998</v>
      </c>
      <c r="R234">
        <f t="shared" si="42"/>
        <v>25.206054999999996</v>
      </c>
      <c r="S234">
        <f t="shared" si="42"/>
        <v>25.131849999999996</v>
      </c>
      <c r="T234">
        <f t="shared" si="42"/>
        <v>25.057644999999997</v>
      </c>
      <c r="U234">
        <f t="shared" si="40"/>
        <v>24.983439999999995</v>
      </c>
      <c r="V234">
        <f t="shared" si="40"/>
        <v>24.909234999999995</v>
      </c>
      <c r="W234">
        <f t="shared" si="40"/>
        <v>24.835029999999996</v>
      </c>
      <c r="X234">
        <f t="shared" si="40"/>
        <v>24.760824999999997</v>
      </c>
      <c r="Y234">
        <f t="shared" si="40"/>
        <v>24.686619999999998</v>
      </c>
      <c r="Z234">
        <f t="shared" si="40"/>
        <v>24.612414999999995</v>
      </c>
      <c r="AA234">
        <f t="shared" si="40"/>
        <v>24.538209999999996</v>
      </c>
      <c r="AB234">
        <f t="shared" si="40"/>
        <v>24.464004999999997</v>
      </c>
      <c r="AC234">
        <f t="shared" si="40"/>
        <v>24.389799999999994</v>
      </c>
      <c r="AD234">
        <f t="shared" si="40"/>
        <v>23.054109999999998</v>
      </c>
    </row>
    <row r="235" spans="2:30" x14ac:dyDescent="0.2">
      <c r="B235" s="7">
        <v>44804</v>
      </c>
      <c r="C235" s="8">
        <v>22.340277777777775</v>
      </c>
      <c r="D235">
        <f t="shared" si="37"/>
        <v>25.616452777777774</v>
      </c>
      <c r="E235">
        <f t="shared" si="42"/>
        <v>25.542247777777774</v>
      </c>
      <c r="F235">
        <f t="shared" si="42"/>
        <v>25.468042777777775</v>
      </c>
      <c r="G235">
        <f t="shared" si="42"/>
        <v>25.393837777777776</v>
      </c>
      <c r="H235">
        <f t="shared" si="42"/>
        <v>25.319632777777777</v>
      </c>
      <c r="I235">
        <f t="shared" si="42"/>
        <v>25.245427777777774</v>
      </c>
      <c r="J235">
        <f t="shared" si="42"/>
        <v>25.171222777777775</v>
      </c>
      <c r="K235">
        <f t="shared" si="42"/>
        <v>25.097017777777776</v>
      </c>
      <c r="L235">
        <f t="shared" si="42"/>
        <v>25.022812777777776</v>
      </c>
      <c r="M235">
        <f t="shared" si="42"/>
        <v>24.948607777777774</v>
      </c>
      <c r="N235">
        <f t="shared" si="42"/>
        <v>24.874402777777775</v>
      </c>
      <c r="O235">
        <f t="shared" si="42"/>
        <v>24.800197777777775</v>
      </c>
      <c r="P235">
        <f t="shared" si="42"/>
        <v>24.725992777777776</v>
      </c>
      <c r="Q235">
        <f t="shared" si="42"/>
        <v>24.651787777777777</v>
      </c>
      <c r="R235">
        <f t="shared" si="42"/>
        <v>24.577582777777774</v>
      </c>
      <c r="S235">
        <f t="shared" si="42"/>
        <v>24.503377777777775</v>
      </c>
      <c r="T235">
        <f t="shared" si="42"/>
        <v>24.429172777777776</v>
      </c>
      <c r="U235">
        <f t="shared" si="40"/>
        <v>24.354967777777773</v>
      </c>
      <c r="V235">
        <f t="shared" si="40"/>
        <v>24.280762777777774</v>
      </c>
      <c r="W235">
        <f t="shared" si="40"/>
        <v>24.206557777777775</v>
      </c>
      <c r="X235">
        <f t="shared" si="40"/>
        <v>24.132352777777776</v>
      </c>
      <c r="Y235">
        <f t="shared" si="40"/>
        <v>24.058147777777776</v>
      </c>
      <c r="Z235">
        <f t="shared" si="40"/>
        <v>23.983942777777774</v>
      </c>
      <c r="AA235">
        <f t="shared" si="40"/>
        <v>23.909737777777774</v>
      </c>
      <c r="AB235">
        <f t="shared" si="40"/>
        <v>23.835532777777775</v>
      </c>
      <c r="AC235">
        <f t="shared" si="40"/>
        <v>23.761327777777772</v>
      </c>
      <c r="AD235">
        <f t="shared" si="40"/>
        <v>22.425637777777776</v>
      </c>
    </row>
    <row r="236" spans="2:30" x14ac:dyDescent="0.2">
      <c r="B236" s="7">
        <v>44805</v>
      </c>
      <c r="C236" s="8">
        <v>22.25694444444445</v>
      </c>
      <c r="D236">
        <f t="shared" si="37"/>
        <v>25.533119444444452</v>
      </c>
      <c r="E236">
        <f t="shared" si="42"/>
        <v>25.458914444444449</v>
      </c>
      <c r="F236">
        <f t="shared" si="42"/>
        <v>25.38470944444445</v>
      </c>
      <c r="G236">
        <f t="shared" si="42"/>
        <v>25.310504444444451</v>
      </c>
      <c r="H236">
        <f t="shared" si="42"/>
        <v>25.236299444444452</v>
      </c>
      <c r="I236">
        <f t="shared" si="42"/>
        <v>25.162094444444449</v>
      </c>
      <c r="J236">
        <f t="shared" si="42"/>
        <v>25.08788944444445</v>
      </c>
      <c r="K236">
        <f t="shared" si="42"/>
        <v>25.013684444444451</v>
      </c>
      <c r="L236">
        <f t="shared" si="42"/>
        <v>24.939479444444451</v>
      </c>
      <c r="M236">
        <f t="shared" si="42"/>
        <v>24.865274444444449</v>
      </c>
      <c r="N236">
        <f t="shared" si="42"/>
        <v>24.791069444444449</v>
      </c>
      <c r="O236">
        <f t="shared" si="42"/>
        <v>24.71686444444445</v>
      </c>
      <c r="P236">
        <f t="shared" si="42"/>
        <v>24.642659444444451</v>
      </c>
      <c r="Q236">
        <f t="shared" si="42"/>
        <v>24.568454444444448</v>
      </c>
      <c r="R236">
        <f t="shared" si="42"/>
        <v>24.494249444444449</v>
      </c>
      <c r="S236">
        <f t="shared" si="42"/>
        <v>24.42004444444445</v>
      </c>
      <c r="T236">
        <f t="shared" si="42"/>
        <v>24.345839444444451</v>
      </c>
      <c r="U236">
        <f t="shared" si="40"/>
        <v>24.271634444444452</v>
      </c>
      <c r="V236">
        <f t="shared" si="40"/>
        <v>24.197429444444449</v>
      </c>
      <c r="W236">
        <f t="shared" si="40"/>
        <v>24.12322444444445</v>
      </c>
      <c r="X236">
        <f t="shared" si="40"/>
        <v>24.04901944444445</v>
      </c>
      <c r="Y236">
        <f t="shared" si="40"/>
        <v>23.974814444444448</v>
      </c>
      <c r="Z236">
        <f t="shared" si="40"/>
        <v>23.900609444444449</v>
      </c>
      <c r="AA236">
        <f t="shared" si="40"/>
        <v>23.826404444444449</v>
      </c>
      <c r="AB236">
        <f t="shared" si="40"/>
        <v>23.75219944444445</v>
      </c>
      <c r="AC236">
        <f t="shared" si="40"/>
        <v>23.677994444444451</v>
      </c>
      <c r="AD236">
        <f t="shared" si="40"/>
        <v>22.342304444444451</v>
      </c>
    </row>
    <row r="237" spans="2:30" x14ac:dyDescent="0.2">
      <c r="B237" s="7">
        <v>44806</v>
      </c>
      <c r="C237" s="8">
        <v>22.291666666666661</v>
      </c>
      <c r="D237">
        <f t="shared" si="37"/>
        <v>25.567841666666659</v>
      </c>
      <c r="E237">
        <f t="shared" si="42"/>
        <v>25.49363666666666</v>
      </c>
      <c r="F237">
        <f t="shared" si="42"/>
        <v>25.419431666666661</v>
      </c>
      <c r="G237">
        <f t="shared" si="42"/>
        <v>25.345226666666662</v>
      </c>
      <c r="H237">
        <f t="shared" si="42"/>
        <v>25.271021666666662</v>
      </c>
      <c r="I237">
        <f t="shared" si="42"/>
        <v>25.19681666666666</v>
      </c>
      <c r="J237">
        <f t="shared" si="42"/>
        <v>25.122611666666661</v>
      </c>
      <c r="K237">
        <f t="shared" si="42"/>
        <v>25.048406666666661</v>
      </c>
      <c r="L237">
        <f t="shared" si="42"/>
        <v>24.974201666666662</v>
      </c>
      <c r="M237">
        <f t="shared" si="42"/>
        <v>24.899996666666659</v>
      </c>
      <c r="N237">
        <f t="shared" si="42"/>
        <v>24.82579166666666</v>
      </c>
      <c r="O237">
        <f t="shared" si="42"/>
        <v>24.751586666666661</v>
      </c>
      <c r="P237">
        <f t="shared" si="42"/>
        <v>24.677381666666662</v>
      </c>
      <c r="Q237">
        <f t="shared" si="42"/>
        <v>24.603176666666663</v>
      </c>
      <c r="R237">
        <f t="shared" si="42"/>
        <v>24.52897166666666</v>
      </c>
      <c r="S237">
        <f t="shared" si="42"/>
        <v>24.454766666666661</v>
      </c>
      <c r="T237">
        <f t="shared" si="42"/>
        <v>24.380561666666662</v>
      </c>
      <c r="U237">
        <f t="shared" si="40"/>
        <v>24.306356666666659</v>
      </c>
      <c r="V237">
        <f t="shared" si="40"/>
        <v>24.23215166666666</v>
      </c>
      <c r="W237">
        <f t="shared" si="40"/>
        <v>24.15794666666666</v>
      </c>
      <c r="X237">
        <f t="shared" si="40"/>
        <v>24.083741666666661</v>
      </c>
      <c r="Y237">
        <f t="shared" si="40"/>
        <v>24.009536666666662</v>
      </c>
      <c r="Z237">
        <f t="shared" si="40"/>
        <v>23.935331666666659</v>
      </c>
      <c r="AA237">
        <f t="shared" si="40"/>
        <v>23.86112666666666</v>
      </c>
      <c r="AB237">
        <f t="shared" si="40"/>
        <v>23.786921666666661</v>
      </c>
      <c r="AC237">
        <f t="shared" si="40"/>
        <v>23.712716666666658</v>
      </c>
      <c r="AD237">
        <f t="shared" si="40"/>
        <v>22.377026666666662</v>
      </c>
    </row>
    <row r="238" spans="2:30" x14ac:dyDescent="0.2">
      <c r="B238" s="7">
        <v>44807</v>
      </c>
      <c r="C238" s="8">
        <v>22.887499999999992</v>
      </c>
      <c r="D238">
        <f t="shared" si="37"/>
        <v>26.163674999999991</v>
      </c>
      <c r="E238">
        <f t="shared" si="42"/>
        <v>26.089469999999992</v>
      </c>
      <c r="F238">
        <f t="shared" si="42"/>
        <v>26.015264999999992</v>
      </c>
      <c r="G238">
        <f t="shared" si="42"/>
        <v>25.941059999999993</v>
      </c>
      <c r="H238">
        <f t="shared" si="42"/>
        <v>25.866854999999994</v>
      </c>
      <c r="I238">
        <f t="shared" si="42"/>
        <v>25.792649999999991</v>
      </c>
      <c r="J238">
        <f t="shared" si="42"/>
        <v>25.718444999999992</v>
      </c>
      <c r="K238">
        <f t="shared" si="42"/>
        <v>25.644239999999993</v>
      </c>
      <c r="L238">
        <f t="shared" si="42"/>
        <v>25.570034999999994</v>
      </c>
      <c r="M238">
        <f t="shared" si="42"/>
        <v>25.495829999999991</v>
      </c>
      <c r="N238">
        <f t="shared" si="42"/>
        <v>25.421624999999992</v>
      </c>
      <c r="O238">
        <f t="shared" si="42"/>
        <v>25.347419999999993</v>
      </c>
      <c r="P238">
        <f t="shared" si="42"/>
        <v>25.273214999999993</v>
      </c>
      <c r="Q238">
        <f t="shared" si="42"/>
        <v>25.199009999999994</v>
      </c>
      <c r="R238">
        <f t="shared" si="42"/>
        <v>25.124804999999991</v>
      </c>
      <c r="S238">
        <f t="shared" si="42"/>
        <v>25.050599999999992</v>
      </c>
      <c r="T238">
        <f t="shared" si="42"/>
        <v>24.976394999999993</v>
      </c>
      <c r="U238">
        <f t="shared" si="40"/>
        <v>24.90218999999999</v>
      </c>
      <c r="V238">
        <f t="shared" si="40"/>
        <v>24.827984999999991</v>
      </c>
      <c r="W238">
        <f t="shared" si="40"/>
        <v>24.753779999999992</v>
      </c>
      <c r="X238">
        <f t="shared" si="40"/>
        <v>24.679574999999993</v>
      </c>
      <c r="Y238">
        <f t="shared" si="40"/>
        <v>24.605369999999994</v>
      </c>
      <c r="Z238">
        <f t="shared" si="40"/>
        <v>24.531164999999991</v>
      </c>
      <c r="AA238">
        <f t="shared" si="40"/>
        <v>24.456959999999992</v>
      </c>
      <c r="AB238">
        <f t="shared" si="40"/>
        <v>24.382754999999992</v>
      </c>
      <c r="AC238">
        <f t="shared" si="40"/>
        <v>24.30854999999999</v>
      </c>
      <c r="AD238">
        <f t="shared" si="40"/>
        <v>22.972859999999994</v>
      </c>
    </row>
    <row r="239" spans="2:30" x14ac:dyDescent="0.2">
      <c r="B239" s="7">
        <v>44808</v>
      </c>
      <c r="C239" s="8">
        <v>24.536111111111115</v>
      </c>
      <c r="D239">
        <f t="shared" si="37"/>
        <v>27.812286111111113</v>
      </c>
      <c r="E239">
        <f t="shared" si="42"/>
        <v>27.738081111111114</v>
      </c>
      <c r="F239">
        <f t="shared" si="42"/>
        <v>27.663876111111115</v>
      </c>
      <c r="G239">
        <f t="shared" si="42"/>
        <v>27.589671111111116</v>
      </c>
      <c r="H239">
        <f t="shared" si="42"/>
        <v>27.515466111111117</v>
      </c>
      <c r="I239">
        <f t="shared" si="42"/>
        <v>27.441261111111114</v>
      </c>
      <c r="J239">
        <f t="shared" si="42"/>
        <v>27.367056111111115</v>
      </c>
      <c r="K239">
        <f t="shared" si="42"/>
        <v>27.292851111111116</v>
      </c>
      <c r="L239">
        <f t="shared" si="42"/>
        <v>27.218646111111116</v>
      </c>
      <c r="M239">
        <f t="shared" si="42"/>
        <v>27.144441111111114</v>
      </c>
      <c r="N239">
        <f t="shared" si="42"/>
        <v>27.070236111111114</v>
      </c>
      <c r="O239">
        <f t="shared" si="42"/>
        <v>26.996031111111115</v>
      </c>
      <c r="P239">
        <f t="shared" si="42"/>
        <v>26.921826111111116</v>
      </c>
      <c r="Q239">
        <f t="shared" si="42"/>
        <v>26.847621111111117</v>
      </c>
      <c r="R239">
        <f t="shared" si="42"/>
        <v>26.773416111111114</v>
      </c>
      <c r="S239">
        <f t="shared" si="42"/>
        <v>26.699211111111115</v>
      </c>
      <c r="T239">
        <f t="shared" si="42"/>
        <v>26.625006111111116</v>
      </c>
      <c r="U239">
        <f t="shared" si="40"/>
        <v>26.550801111111113</v>
      </c>
      <c r="V239">
        <f t="shared" si="40"/>
        <v>26.476596111111114</v>
      </c>
      <c r="W239">
        <f t="shared" si="40"/>
        <v>26.402391111111115</v>
      </c>
      <c r="X239">
        <f t="shared" si="40"/>
        <v>26.328186111111116</v>
      </c>
      <c r="Y239">
        <f t="shared" si="40"/>
        <v>26.253981111111116</v>
      </c>
      <c r="Z239">
        <f t="shared" si="40"/>
        <v>26.179776111111114</v>
      </c>
      <c r="AA239">
        <f t="shared" si="40"/>
        <v>26.105571111111114</v>
      </c>
      <c r="AB239">
        <f t="shared" si="40"/>
        <v>26.031366111111115</v>
      </c>
      <c r="AC239">
        <f t="shared" si="40"/>
        <v>25.957161111111112</v>
      </c>
      <c r="AD239">
        <f t="shared" si="40"/>
        <v>24.621471111111116</v>
      </c>
    </row>
    <row r="240" spans="2:30" x14ac:dyDescent="0.2">
      <c r="B240" s="7">
        <v>44809</v>
      </c>
      <c r="C240" s="8">
        <v>24.974305555555564</v>
      </c>
      <c r="D240">
        <f t="shared" si="37"/>
        <v>28.250480555555562</v>
      </c>
      <c r="E240">
        <f t="shared" si="42"/>
        <v>28.176275555555563</v>
      </c>
      <c r="F240">
        <f t="shared" si="42"/>
        <v>28.102070555555564</v>
      </c>
      <c r="G240">
        <f t="shared" si="42"/>
        <v>28.027865555555564</v>
      </c>
      <c r="H240">
        <f t="shared" si="42"/>
        <v>27.953660555555565</v>
      </c>
      <c r="I240">
        <f t="shared" si="42"/>
        <v>27.879455555555563</v>
      </c>
      <c r="J240">
        <f t="shared" si="42"/>
        <v>27.805250555555563</v>
      </c>
      <c r="K240">
        <f t="shared" si="42"/>
        <v>27.731045555555564</v>
      </c>
      <c r="L240">
        <f t="shared" si="42"/>
        <v>27.656840555555565</v>
      </c>
      <c r="M240">
        <f t="shared" si="42"/>
        <v>27.582635555555562</v>
      </c>
      <c r="N240">
        <f t="shared" si="42"/>
        <v>27.508430555555563</v>
      </c>
      <c r="O240">
        <f t="shared" si="42"/>
        <v>27.434225555555564</v>
      </c>
      <c r="P240">
        <f t="shared" si="42"/>
        <v>27.360020555555565</v>
      </c>
      <c r="Q240">
        <f t="shared" si="42"/>
        <v>27.285815555555565</v>
      </c>
      <c r="R240">
        <f t="shared" si="42"/>
        <v>27.211610555555563</v>
      </c>
      <c r="S240">
        <f t="shared" si="42"/>
        <v>27.137405555555564</v>
      </c>
      <c r="T240">
        <f t="shared" si="42"/>
        <v>27.063200555555564</v>
      </c>
      <c r="U240">
        <f t="shared" si="40"/>
        <v>26.988995555555562</v>
      </c>
      <c r="V240">
        <f t="shared" si="40"/>
        <v>26.914790555555562</v>
      </c>
      <c r="W240">
        <f t="shared" si="40"/>
        <v>26.840585555555563</v>
      </c>
      <c r="X240">
        <f t="shared" si="40"/>
        <v>26.766380555555564</v>
      </c>
      <c r="Y240">
        <f t="shared" si="40"/>
        <v>26.692175555555565</v>
      </c>
      <c r="Z240">
        <f t="shared" si="40"/>
        <v>26.617970555555562</v>
      </c>
      <c r="AA240">
        <f t="shared" si="40"/>
        <v>26.543765555555563</v>
      </c>
      <c r="AB240">
        <f t="shared" si="40"/>
        <v>26.469560555555564</v>
      </c>
      <c r="AC240">
        <f t="shared" si="40"/>
        <v>26.395355555555561</v>
      </c>
      <c r="AD240">
        <f t="shared" si="40"/>
        <v>25.059665555555565</v>
      </c>
    </row>
    <row r="241" spans="2:30" x14ac:dyDescent="0.2">
      <c r="B241" s="7">
        <v>44810</v>
      </c>
      <c r="C241" s="8">
        <v>25.572222222222234</v>
      </c>
      <c r="D241">
        <f t="shared" si="37"/>
        <v>28.848397222222232</v>
      </c>
      <c r="E241">
        <f t="shared" si="42"/>
        <v>28.774192222222233</v>
      </c>
      <c r="F241">
        <f t="shared" si="42"/>
        <v>28.699987222222234</v>
      </c>
      <c r="G241">
        <f t="shared" si="42"/>
        <v>28.625782222222234</v>
      </c>
      <c r="H241">
        <f t="shared" si="42"/>
        <v>28.551577222222235</v>
      </c>
      <c r="I241">
        <f t="shared" si="42"/>
        <v>28.477372222222233</v>
      </c>
      <c r="J241">
        <f t="shared" si="42"/>
        <v>28.403167222222233</v>
      </c>
      <c r="K241">
        <f t="shared" si="42"/>
        <v>28.328962222222234</v>
      </c>
      <c r="L241">
        <f t="shared" si="42"/>
        <v>28.254757222222235</v>
      </c>
      <c r="M241">
        <f t="shared" si="42"/>
        <v>28.180552222222232</v>
      </c>
      <c r="N241">
        <f t="shared" si="42"/>
        <v>28.106347222222233</v>
      </c>
      <c r="O241">
        <f t="shared" si="42"/>
        <v>28.032142222222234</v>
      </c>
      <c r="P241">
        <f t="shared" si="42"/>
        <v>27.957937222222235</v>
      </c>
      <c r="Q241">
        <f t="shared" si="42"/>
        <v>27.883732222222235</v>
      </c>
      <c r="R241">
        <f t="shared" si="42"/>
        <v>27.809527222222233</v>
      </c>
      <c r="S241">
        <f t="shared" si="42"/>
        <v>27.735322222222234</v>
      </c>
      <c r="T241">
        <f t="shared" si="42"/>
        <v>27.661117222222234</v>
      </c>
      <c r="U241">
        <f t="shared" si="40"/>
        <v>27.586912222222232</v>
      </c>
      <c r="V241">
        <f t="shared" si="40"/>
        <v>27.512707222222232</v>
      </c>
      <c r="W241">
        <f t="shared" si="40"/>
        <v>27.438502222222233</v>
      </c>
      <c r="X241">
        <f t="shared" si="40"/>
        <v>27.364297222222234</v>
      </c>
      <c r="Y241">
        <f t="shared" si="40"/>
        <v>27.290092222222235</v>
      </c>
      <c r="Z241">
        <f t="shared" si="40"/>
        <v>27.215887222222232</v>
      </c>
      <c r="AA241">
        <f t="shared" si="40"/>
        <v>27.141682222222233</v>
      </c>
      <c r="AB241">
        <f t="shared" si="40"/>
        <v>27.067477222222234</v>
      </c>
      <c r="AC241">
        <f t="shared" si="40"/>
        <v>26.993272222222231</v>
      </c>
      <c r="AD241">
        <f t="shared" si="40"/>
        <v>25.657582222222235</v>
      </c>
    </row>
    <row r="242" spans="2:30" x14ac:dyDescent="0.2">
      <c r="B242" s="7">
        <v>44811</v>
      </c>
      <c r="C242" s="8">
        <v>25.233333333333338</v>
      </c>
      <c r="D242">
        <f t="shared" si="37"/>
        <v>28.509508333333336</v>
      </c>
      <c r="E242">
        <f t="shared" si="42"/>
        <v>28.435303333333337</v>
      </c>
      <c r="F242">
        <f t="shared" si="42"/>
        <v>28.361098333333338</v>
      </c>
      <c r="G242">
        <f t="shared" si="42"/>
        <v>28.286893333333339</v>
      </c>
      <c r="H242">
        <f t="shared" si="42"/>
        <v>28.21268833333334</v>
      </c>
      <c r="I242">
        <f t="shared" si="42"/>
        <v>28.138483333333337</v>
      </c>
      <c r="J242">
        <f t="shared" si="42"/>
        <v>28.064278333333338</v>
      </c>
      <c r="K242">
        <f t="shared" si="42"/>
        <v>27.990073333333338</v>
      </c>
      <c r="L242">
        <f t="shared" si="42"/>
        <v>27.915868333333339</v>
      </c>
      <c r="M242">
        <f t="shared" si="42"/>
        <v>27.841663333333337</v>
      </c>
      <c r="N242">
        <f t="shared" si="42"/>
        <v>27.767458333333337</v>
      </c>
      <c r="O242">
        <f t="shared" si="42"/>
        <v>27.693253333333338</v>
      </c>
      <c r="P242">
        <f t="shared" si="42"/>
        <v>27.619048333333339</v>
      </c>
      <c r="Q242">
        <f t="shared" si="42"/>
        <v>27.54484333333334</v>
      </c>
      <c r="R242">
        <f t="shared" si="42"/>
        <v>27.470638333333337</v>
      </c>
      <c r="S242">
        <f t="shared" si="42"/>
        <v>27.396433333333338</v>
      </c>
      <c r="T242">
        <f t="shared" si="42"/>
        <v>27.322228333333339</v>
      </c>
      <c r="U242">
        <f t="shared" si="40"/>
        <v>27.248023333333336</v>
      </c>
      <c r="V242">
        <f t="shared" si="40"/>
        <v>27.173818333333337</v>
      </c>
      <c r="W242">
        <f t="shared" si="40"/>
        <v>27.099613333333338</v>
      </c>
      <c r="X242">
        <f t="shared" si="40"/>
        <v>27.025408333333338</v>
      </c>
      <c r="Y242">
        <f t="shared" si="40"/>
        <v>26.951203333333339</v>
      </c>
      <c r="Z242">
        <f t="shared" si="40"/>
        <v>26.876998333333336</v>
      </c>
      <c r="AA242">
        <f t="shared" si="40"/>
        <v>26.802793333333337</v>
      </c>
      <c r="AB242">
        <f t="shared" si="40"/>
        <v>26.728588333333338</v>
      </c>
      <c r="AC242">
        <f t="shared" si="40"/>
        <v>26.654383333333335</v>
      </c>
      <c r="AD242">
        <f t="shared" si="40"/>
        <v>25.318693333333339</v>
      </c>
    </row>
    <row r="243" spans="2:30" x14ac:dyDescent="0.2">
      <c r="B243" s="7">
        <v>44812</v>
      </c>
      <c r="C243" s="8">
        <v>24.218750000000004</v>
      </c>
      <c r="D243">
        <f t="shared" si="37"/>
        <v>27.494925000000002</v>
      </c>
      <c r="E243">
        <f t="shared" si="42"/>
        <v>27.420720000000003</v>
      </c>
      <c r="F243">
        <f t="shared" si="42"/>
        <v>27.346515000000004</v>
      </c>
      <c r="G243">
        <f t="shared" si="42"/>
        <v>27.272310000000004</v>
      </c>
      <c r="H243">
        <f t="shared" si="42"/>
        <v>27.198105000000005</v>
      </c>
      <c r="I243">
        <f t="shared" si="42"/>
        <v>27.123900000000003</v>
      </c>
      <c r="J243">
        <f t="shared" si="42"/>
        <v>27.049695000000003</v>
      </c>
      <c r="K243">
        <f t="shared" si="42"/>
        <v>26.975490000000004</v>
      </c>
      <c r="L243">
        <f t="shared" si="42"/>
        <v>26.901285000000005</v>
      </c>
      <c r="M243">
        <f t="shared" si="42"/>
        <v>26.827080000000002</v>
      </c>
      <c r="N243">
        <f t="shared" si="42"/>
        <v>26.752875000000003</v>
      </c>
      <c r="O243">
        <f t="shared" si="42"/>
        <v>26.678670000000004</v>
      </c>
      <c r="P243">
        <f t="shared" si="42"/>
        <v>26.604465000000005</v>
      </c>
      <c r="Q243">
        <f t="shared" si="42"/>
        <v>26.530260000000006</v>
      </c>
      <c r="R243">
        <f t="shared" si="42"/>
        <v>26.456055000000003</v>
      </c>
      <c r="S243">
        <f t="shared" si="42"/>
        <v>26.381850000000004</v>
      </c>
      <c r="T243">
        <f t="shared" si="42"/>
        <v>26.307645000000004</v>
      </c>
      <c r="U243">
        <f t="shared" si="40"/>
        <v>26.233440000000002</v>
      </c>
      <c r="V243">
        <f t="shared" si="40"/>
        <v>26.159235000000002</v>
      </c>
      <c r="W243">
        <f t="shared" si="40"/>
        <v>26.085030000000003</v>
      </c>
      <c r="X243">
        <f t="shared" si="40"/>
        <v>26.010825000000004</v>
      </c>
      <c r="Y243">
        <f t="shared" si="40"/>
        <v>25.936620000000005</v>
      </c>
      <c r="Z243">
        <f t="shared" si="40"/>
        <v>25.862415000000002</v>
      </c>
      <c r="AA243">
        <f t="shared" si="40"/>
        <v>25.788210000000003</v>
      </c>
      <c r="AB243">
        <f t="shared" si="40"/>
        <v>25.714005000000004</v>
      </c>
      <c r="AC243">
        <f t="shared" si="40"/>
        <v>25.639800000000001</v>
      </c>
      <c r="AD243">
        <f t="shared" si="40"/>
        <v>24.304110000000005</v>
      </c>
    </row>
    <row r="244" spans="2:30" x14ac:dyDescent="0.2">
      <c r="B244" s="7">
        <v>44813</v>
      </c>
      <c r="C244" s="8">
        <v>21.032638888888894</v>
      </c>
      <c r="D244">
        <f t="shared" si="37"/>
        <v>24.308813888888892</v>
      </c>
      <c r="E244">
        <f t="shared" si="42"/>
        <v>24.234608888888893</v>
      </c>
      <c r="F244">
        <f t="shared" si="42"/>
        <v>24.160403888888894</v>
      </c>
      <c r="G244">
        <f t="shared" si="42"/>
        <v>24.086198888888894</v>
      </c>
      <c r="H244">
        <f t="shared" si="42"/>
        <v>24.011993888888895</v>
      </c>
      <c r="I244">
        <f t="shared" si="42"/>
        <v>23.937788888888893</v>
      </c>
      <c r="J244">
        <f t="shared" si="42"/>
        <v>23.863583888888893</v>
      </c>
      <c r="K244">
        <f t="shared" si="42"/>
        <v>23.789378888888894</v>
      </c>
      <c r="L244">
        <f t="shared" si="42"/>
        <v>23.715173888888895</v>
      </c>
      <c r="M244">
        <f t="shared" si="42"/>
        <v>23.640968888888892</v>
      </c>
      <c r="N244">
        <f t="shared" si="42"/>
        <v>23.566763888888893</v>
      </c>
      <c r="O244">
        <f t="shared" si="42"/>
        <v>23.492558888888894</v>
      </c>
      <c r="P244">
        <f t="shared" si="42"/>
        <v>23.418353888888895</v>
      </c>
      <c r="Q244">
        <f t="shared" si="42"/>
        <v>23.344148888888895</v>
      </c>
      <c r="R244">
        <f t="shared" si="42"/>
        <v>23.269943888888893</v>
      </c>
      <c r="S244">
        <f t="shared" si="42"/>
        <v>23.195738888888894</v>
      </c>
      <c r="T244">
        <f t="shared" ref="T244:AD262" si="43">(-1.4841*T$3+3.6472)+$C244</f>
        <v>23.121533888888894</v>
      </c>
      <c r="U244">
        <f t="shared" si="43"/>
        <v>23.047328888888892</v>
      </c>
      <c r="V244">
        <f t="shared" si="43"/>
        <v>22.973123888888892</v>
      </c>
      <c r="W244">
        <f t="shared" si="43"/>
        <v>22.898918888888893</v>
      </c>
      <c r="X244">
        <f t="shared" si="43"/>
        <v>22.824713888888894</v>
      </c>
      <c r="Y244">
        <f t="shared" si="43"/>
        <v>22.750508888888895</v>
      </c>
      <c r="Z244">
        <f t="shared" si="43"/>
        <v>22.676303888888892</v>
      </c>
      <c r="AA244">
        <f t="shared" si="43"/>
        <v>22.602098888888893</v>
      </c>
      <c r="AB244">
        <f t="shared" si="43"/>
        <v>22.527893888888894</v>
      </c>
      <c r="AC244">
        <f t="shared" si="43"/>
        <v>22.453688888888891</v>
      </c>
      <c r="AD244">
        <f t="shared" si="43"/>
        <v>21.117998888888895</v>
      </c>
    </row>
    <row r="245" spans="2:30" x14ac:dyDescent="0.2">
      <c r="B245" s="7">
        <v>44814</v>
      </c>
      <c r="C245" s="8">
        <v>22.054166666666671</v>
      </c>
      <c r="D245">
        <f t="shared" si="37"/>
        <v>25.330341666666669</v>
      </c>
      <c r="E245">
        <f t="shared" ref="E245:T260" si="44">(-1.4841*E$3+3.6472)+$C245</f>
        <v>25.25613666666667</v>
      </c>
      <c r="F245">
        <f t="shared" si="44"/>
        <v>25.181931666666671</v>
      </c>
      <c r="G245">
        <f t="shared" si="44"/>
        <v>25.107726666666672</v>
      </c>
      <c r="H245">
        <f t="shared" si="44"/>
        <v>25.033521666666672</v>
      </c>
      <c r="I245">
        <f t="shared" si="44"/>
        <v>24.95931666666667</v>
      </c>
      <c r="J245">
        <f t="shared" si="44"/>
        <v>24.885111666666671</v>
      </c>
      <c r="K245">
        <f t="shared" si="44"/>
        <v>24.810906666666671</v>
      </c>
      <c r="L245">
        <f t="shared" si="44"/>
        <v>24.736701666666672</v>
      </c>
      <c r="M245">
        <f t="shared" si="44"/>
        <v>24.662496666666669</v>
      </c>
      <c r="N245">
        <f t="shared" si="44"/>
        <v>24.58829166666667</v>
      </c>
      <c r="O245">
        <f t="shared" si="44"/>
        <v>24.514086666666671</v>
      </c>
      <c r="P245">
        <f t="shared" si="44"/>
        <v>24.439881666666672</v>
      </c>
      <c r="Q245">
        <f t="shared" si="44"/>
        <v>24.365676666666673</v>
      </c>
      <c r="R245">
        <f t="shared" si="44"/>
        <v>24.29147166666667</v>
      </c>
      <c r="S245">
        <f t="shared" si="44"/>
        <v>24.217266666666671</v>
      </c>
      <c r="T245">
        <f t="shared" si="44"/>
        <v>24.143061666666672</v>
      </c>
      <c r="U245">
        <f t="shared" si="43"/>
        <v>24.068856666666669</v>
      </c>
      <c r="V245">
        <f t="shared" si="43"/>
        <v>23.99465166666667</v>
      </c>
      <c r="W245">
        <f t="shared" si="43"/>
        <v>23.92044666666667</v>
      </c>
      <c r="X245">
        <f t="shared" si="43"/>
        <v>23.846241666666671</v>
      </c>
      <c r="Y245">
        <f t="shared" si="43"/>
        <v>23.772036666666672</v>
      </c>
      <c r="Z245">
        <f t="shared" si="43"/>
        <v>23.697831666666669</v>
      </c>
      <c r="AA245">
        <f t="shared" si="43"/>
        <v>23.62362666666667</v>
      </c>
      <c r="AB245">
        <f t="shared" si="43"/>
        <v>23.549421666666671</v>
      </c>
      <c r="AC245">
        <f t="shared" si="43"/>
        <v>23.475216666666668</v>
      </c>
      <c r="AD245">
        <f t="shared" si="43"/>
        <v>22.139526666666672</v>
      </c>
    </row>
    <row r="246" spans="2:30" x14ac:dyDescent="0.2">
      <c r="B246" s="7">
        <v>44815</v>
      </c>
      <c r="C246" s="8">
        <v>23.211111111111105</v>
      </c>
      <c r="D246">
        <f t="shared" si="37"/>
        <v>26.487286111111104</v>
      </c>
      <c r="E246">
        <f t="shared" si="44"/>
        <v>26.413081111111104</v>
      </c>
      <c r="F246">
        <f t="shared" si="44"/>
        <v>26.338876111111105</v>
      </c>
      <c r="G246">
        <f t="shared" si="44"/>
        <v>26.264671111111106</v>
      </c>
      <c r="H246">
        <f t="shared" si="44"/>
        <v>26.190466111111107</v>
      </c>
      <c r="I246">
        <f t="shared" si="44"/>
        <v>26.116261111111104</v>
      </c>
      <c r="J246">
        <f t="shared" si="44"/>
        <v>26.042056111111105</v>
      </c>
      <c r="K246">
        <f t="shared" si="44"/>
        <v>25.967851111111106</v>
      </c>
      <c r="L246">
        <f t="shared" si="44"/>
        <v>25.893646111111106</v>
      </c>
      <c r="M246">
        <f t="shared" si="44"/>
        <v>25.819441111111104</v>
      </c>
      <c r="N246">
        <f t="shared" si="44"/>
        <v>25.745236111111105</v>
      </c>
      <c r="O246">
        <f t="shared" si="44"/>
        <v>25.671031111111105</v>
      </c>
      <c r="P246">
        <f t="shared" si="44"/>
        <v>25.596826111111106</v>
      </c>
      <c r="Q246">
        <f t="shared" si="44"/>
        <v>25.522621111111107</v>
      </c>
      <c r="R246">
        <f t="shared" si="44"/>
        <v>25.448416111111104</v>
      </c>
      <c r="S246">
        <f t="shared" si="44"/>
        <v>25.374211111111105</v>
      </c>
      <c r="T246">
        <f t="shared" si="44"/>
        <v>25.300006111111106</v>
      </c>
      <c r="U246">
        <f t="shared" si="43"/>
        <v>25.225801111111103</v>
      </c>
      <c r="V246">
        <f t="shared" si="43"/>
        <v>25.151596111111104</v>
      </c>
      <c r="W246">
        <f t="shared" si="43"/>
        <v>25.077391111111105</v>
      </c>
      <c r="X246">
        <f t="shared" si="43"/>
        <v>25.003186111111106</v>
      </c>
      <c r="Y246">
        <f t="shared" si="43"/>
        <v>24.928981111111106</v>
      </c>
      <c r="Z246">
        <f t="shared" si="43"/>
        <v>24.854776111111104</v>
      </c>
      <c r="AA246">
        <f t="shared" si="43"/>
        <v>24.780571111111104</v>
      </c>
      <c r="AB246">
        <f t="shared" si="43"/>
        <v>24.706366111111105</v>
      </c>
      <c r="AC246">
        <f t="shared" si="43"/>
        <v>24.632161111111103</v>
      </c>
      <c r="AD246">
        <f t="shared" si="43"/>
        <v>23.296471111111106</v>
      </c>
    </row>
    <row r="247" spans="2:30" x14ac:dyDescent="0.2">
      <c r="B247" s="7">
        <v>44816</v>
      </c>
      <c r="C247" s="8">
        <v>24.284027777777784</v>
      </c>
      <c r="D247">
        <f t="shared" si="37"/>
        <v>27.560202777777782</v>
      </c>
      <c r="E247">
        <f t="shared" si="44"/>
        <v>27.485997777777783</v>
      </c>
      <c r="F247">
        <f t="shared" si="44"/>
        <v>27.411792777777784</v>
      </c>
      <c r="G247">
        <f t="shared" si="44"/>
        <v>27.337587777777784</v>
      </c>
      <c r="H247">
        <f t="shared" si="44"/>
        <v>27.263382777777785</v>
      </c>
      <c r="I247">
        <f t="shared" si="44"/>
        <v>27.189177777777783</v>
      </c>
      <c r="J247">
        <f t="shared" si="44"/>
        <v>27.114972777777783</v>
      </c>
      <c r="K247">
        <f t="shared" si="44"/>
        <v>27.040767777777784</v>
      </c>
      <c r="L247">
        <f t="shared" si="44"/>
        <v>26.966562777777785</v>
      </c>
      <c r="M247">
        <f t="shared" si="44"/>
        <v>26.892357777777782</v>
      </c>
      <c r="N247">
        <f t="shared" si="44"/>
        <v>26.818152777777783</v>
      </c>
      <c r="O247">
        <f t="shared" si="44"/>
        <v>26.743947777777784</v>
      </c>
      <c r="P247">
        <f t="shared" si="44"/>
        <v>26.669742777777785</v>
      </c>
      <c r="Q247">
        <f t="shared" si="44"/>
        <v>26.595537777777785</v>
      </c>
      <c r="R247">
        <f t="shared" si="44"/>
        <v>26.521332777777783</v>
      </c>
      <c r="S247">
        <f t="shared" si="44"/>
        <v>26.447127777777784</v>
      </c>
      <c r="T247">
        <f t="shared" si="44"/>
        <v>26.372922777777784</v>
      </c>
      <c r="U247">
        <f t="shared" si="43"/>
        <v>26.298717777777782</v>
      </c>
      <c r="V247">
        <f t="shared" si="43"/>
        <v>26.224512777777782</v>
      </c>
      <c r="W247">
        <f t="shared" si="43"/>
        <v>26.150307777777783</v>
      </c>
      <c r="X247">
        <f t="shared" si="43"/>
        <v>26.076102777777784</v>
      </c>
      <c r="Y247">
        <f t="shared" si="43"/>
        <v>26.001897777777785</v>
      </c>
      <c r="Z247">
        <f t="shared" si="43"/>
        <v>25.927692777777782</v>
      </c>
      <c r="AA247">
        <f t="shared" si="43"/>
        <v>25.853487777777783</v>
      </c>
      <c r="AB247">
        <f t="shared" si="43"/>
        <v>25.779282777777784</v>
      </c>
      <c r="AC247">
        <f t="shared" si="43"/>
        <v>25.705077777777781</v>
      </c>
      <c r="AD247">
        <f t="shared" si="43"/>
        <v>24.369387777777785</v>
      </c>
    </row>
    <row r="248" spans="2:30" x14ac:dyDescent="0.2">
      <c r="B248" s="7">
        <v>44817</v>
      </c>
      <c r="C248" s="8">
        <v>24.955555555555563</v>
      </c>
      <c r="D248">
        <f t="shared" si="37"/>
        <v>28.231730555555565</v>
      </c>
      <c r="E248">
        <f t="shared" si="44"/>
        <v>28.157525555555562</v>
      </c>
      <c r="F248">
        <f t="shared" si="44"/>
        <v>28.083320555555563</v>
      </c>
      <c r="G248">
        <f t="shared" si="44"/>
        <v>28.009115555555564</v>
      </c>
      <c r="H248">
        <f t="shared" si="44"/>
        <v>27.934910555555565</v>
      </c>
      <c r="I248">
        <f t="shared" si="44"/>
        <v>27.860705555555562</v>
      </c>
      <c r="J248">
        <f t="shared" si="44"/>
        <v>27.786500555555563</v>
      </c>
      <c r="K248">
        <f t="shared" si="44"/>
        <v>27.712295555555563</v>
      </c>
      <c r="L248">
        <f t="shared" si="44"/>
        <v>27.638090555555564</v>
      </c>
      <c r="M248">
        <f t="shared" si="44"/>
        <v>27.563885555555562</v>
      </c>
      <c r="N248">
        <f t="shared" si="44"/>
        <v>27.489680555555562</v>
      </c>
      <c r="O248">
        <f t="shared" si="44"/>
        <v>27.415475555555563</v>
      </c>
      <c r="P248">
        <f t="shared" si="44"/>
        <v>27.341270555555564</v>
      </c>
      <c r="Q248">
        <f t="shared" si="44"/>
        <v>27.267065555555561</v>
      </c>
      <c r="R248">
        <f t="shared" si="44"/>
        <v>27.192860555555562</v>
      </c>
      <c r="S248">
        <f t="shared" si="44"/>
        <v>27.118655555555563</v>
      </c>
      <c r="T248">
        <f t="shared" si="44"/>
        <v>27.044450555555564</v>
      </c>
      <c r="U248">
        <f t="shared" si="43"/>
        <v>26.970245555555564</v>
      </c>
      <c r="V248">
        <f t="shared" si="43"/>
        <v>26.896040555555562</v>
      </c>
      <c r="W248">
        <f t="shared" si="43"/>
        <v>26.821835555555563</v>
      </c>
      <c r="X248">
        <f t="shared" si="43"/>
        <v>26.747630555555563</v>
      </c>
      <c r="Y248">
        <f t="shared" si="43"/>
        <v>26.673425555555561</v>
      </c>
      <c r="Z248">
        <f t="shared" si="43"/>
        <v>26.599220555555561</v>
      </c>
      <c r="AA248">
        <f t="shared" si="43"/>
        <v>26.525015555555562</v>
      </c>
      <c r="AB248">
        <f t="shared" si="43"/>
        <v>26.450810555555563</v>
      </c>
      <c r="AC248">
        <f t="shared" si="43"/>
        <v>26.376605555555564</v>
      </c>
      <c r="AD248">
        <f t="shared" si="43"/>
        <v>25.040915555555564</v>
      </c>
    </row>
    <row r="249" spans="2:30" x14ac:dyDescent="0.2">
      <c r="B249" s="7">
        <v>44818</v>
      </c>
      <c r="C249" s="8">
        <v>23.307638888888892</v>
      </c>
      <c r="D249">
        <f t="shared" si="37"/>
        <v>26.583813888888891</v>
      </c>
      <c r="E249">
        <f t="shared" si="44"/>
        <v>26.509608888888891</v>
      </c>
      <c r="F249">
        <f t="shared" si="44"/>
        <v>26.435403888888892</v>
      </c>
      <c r="G249">
        <f t="shared" si="44"/>
        <v>26.361198888888893</v>
      </c>
      <c r="H249">
        <f t="shared" si="44"/>
        <v>26.286993888888894</v>
      </c>
      <c r="I249">
        <f t="shared" si="44"/>
        <v>26.212788888888891</v>
      </c>
      <c r="J249">
        <f t="shared" si="44"/>
        <v>26.138583888888892</v>
      </c>
      <c r="K249">
        <f t="shared" si="44"/>
        <v>26.064378888888893</v>
      </c>
      <c r="L249">
        <f t="shared" si="44"/>
        <v>25.990173888888894</v>
      </c>
      <c r="M249">
        <f t="shared" si="44"/>
        <v>25.915968888888891</v>
      </c>
      <c r="N249">
        <f t="shared" si="44"/>
        <v>25.841763888888892</v>
      </c>
      <c r="O249">
        <f t="shared" si="44"/>
        <v>25.767558888888892</v>
      </c>
      <c r="P249">
        <f t="shared" si="44"/>
        <v>25.693353888888893</v>
      </c>
      <c r="Q249">
        <f t="shared" si="44"/>
        <v>25.619148888888894</v>
      </c>
      <c r="R249">
        <f t="shared" si="44"/>
        <v>25.544943888888891</v>
      </c>
      <c r="S249">
        <f t="shared" si="44"/>
        <v>25.470738888888892</v>
      </c>
      <c r="T249">
        <f t="shared" si="44"/>
        <v>25.396533888888893</v>
      </c>
      <c r="U249">
        <f t="shared" si="43"/>
        <v>25.32232888888889</v>
      </c>
      <c r="V249">
        <f t="shared" si="43"/>
        <v>25.248123888888891</v>
      </c>
      <c r="W249">
        <f t="shared" si="43"/>
        <v>25.173918888888892</v>
      </c>
      <c r="X249">
        <f t="shared" si="43"/>
        <v>25.099713888888893</v>
      </c>
      <c r="Y249">
        <f t="shared" si="43"/>
        <v>25.025508888888893</v>
      </c>
      <c r="Z249">
        <f t="shared" si="43"/>
        <v>24.951303888888891</v>
      </c>
      <c r="AA249">
        <f t="shared" si="43"/>
        <v>24.877098888888892</v>
      </c>
      <c r="AB249">
        <f t="shared" si="43"/>
        <v>24.802893888888892</v>
      </c>
      <c r="AC249">
        <f t="shared" si="43"/>
        <v>24.72868888888889</v>
      </c>
      <c r="AD249">
        <f t="shared" si="43"/>
        <v>23.392998888888894</v>
      </c>
    </row>
    <row r="250" spans="2:30" x14ac:dyDescent="0.2">
      <c r="B250" s="7">
        <v>44819</v>
      </c>
      <c r="C250" s="8">
        <v>21.181944444444454</v>
      </c>
      <c r="D250">
        <f t="shared" si="37"/>
        <v>24.458119444444456</v>
      </c>
      <c r="E250">
        <f t="shared" si="44"/>
        <v>24.383914444444454</v>
      </c>
      <c r="F250">
        <f t="shared" si="44"/>
        <v>24.309709444444454</v>
      </c>
      <c r="G250">
        <f t="shared" si="44"/>
        <v>24.235504444444455</v>
      </c>
      <c r="H250">
        <f t="shared" si="44"/>
        <v>24.161299444444456</v>
      </c>
      <c r="I250">
        <f t="shared" si="44"/>
        <v>24.087094444444453</v>
      </c>
      <c r="J250">
        <f t="shared" si="44"/>
        <v>24.012889444444454</v>
      </c>
      <c r="K250">
        <f t="shared" si="44"/>
        <v>23.938684444444455</v>
      </c>
      <c r="L250">
        <f t="shared" si="44"/>
        <v>23.864479444444456</v>
      </c>
      <c r="M250">
        <f t="shared" si="44"/>
        <v>23.790274444444453</v>
      </c>
      <c r="N250">
        <f t="shared" si="44"/>
        <v>23.716069444444454</v>
      </c>
      <c r="O250">
        <f t="shared" si="44"/>
        <v>23.641864444444455</v>
      </c>
      <c r="P250">
        <f t="shared" si="44"/>
        <v>23.567659444444455</v>
      </c>
      <c r="Q250">
        <f t="shared" si="44"/>
        <v>23.493454444444453</v>
      </c>
      <c r="R250">
        <f t="shared" si="44"/>
        <v>23.419249444444453</v>
      </c>
      <c r="S250">
        <f t="shared" si="44"/>
        <v>23.345044444444454</v>
      </c>
      <c r="T250">
        <f t="shared" si="44"/>
        <v>23.270839444444455</v>
      </c>
      <c r="U250">
        <f t="shared" si="43"/>
        <v>23.196634444444456</v>
      </c>
      <c r="V250">
        <f t="shared" si="43"/>
        <v>23.122429444444453</v>
      </c>
      <c r="W250">
        <f t="shared" si="43"/>
        <v>23.048224444444454</v>
      </c>
      <c r="X250">
        <f t="shared" si="43"/>
        <v>22.974019444444455</v>
      </c>
      <c r="Y250">
        <f t="shared" si="43"/>
        <v>22.899814444444452</v>
      </c>
      <c r="Z250">
        <f t="shared" si="43"/>
        <v>22.825609444444453</v>
      </c>
      <c r="AA250">
        <f t="shared" si="43"/>
        <v>22.751404444444454</v>
      </c>
      <c r="AB250">
        <f t="shared" si="43"/>
        <v>22.677199444444454</v>
      </c>
      <c r="AC250">
        <f t="shared" si="43"/>
        <v>22.602994444444455</v>
      </c>
      <c r="AD250">
        <f t="shared" si="43"/>
        <v>21.267304444444456</v>
      </c>
    </row>
    <row r="251" spans="2:30" x14ac:dyDescent="0.2">
      <c r="B251" s="7">
        <v>44820</v>
      </c>
      <c r="C251" s="8">
        <v>18.126388888888879</v>
      </c>
      <c r="D251">
        <f t="shared" si="37"/>
        <v>21.402563888888878</v>
      </c>
      <c r="E251">
        <f t="shared" si="44"/>
        <v>21.328358888888879</v>
      </c>
      <c r="F251">
        <f t="shared" si="44"/>
        <v>21.254153888888879</v>
      </c>
      <c r="G251">
        <f t="shared" si="44"/>
        <v>21.17994888888888</v>
      </c>
      <c r="H251">
        <f t="shared" si="44"/>
        <v>21.105743888888881</v>
      </c>
      <c r="I251">
        <f t="shared" si="44"/>
        <v>21.031538888888878</v>
      </c>
      <c r="J251">
        <f t="shared" si="44"/>
        <v>20.957333888888879</v>
      </c>
      <c r="K251">
        <f t="shared" si="44"/>
        <v>20.88312888888888</v>
      </c>
      <c r="L251">
        <f t="shared" si="44"/>
        <v>20.808923888888881</v>
      </c>
      <c r="M251">
        <f t="shared" si="44"/>
        <v>20.734718888888878</v>
      </c>
      <c r="N251">
        <f t="shared" si="44"/>
        <v>20.660513888888879</v>
      </c>
      <c r="O251">
        <f t="shared" si="44"/>
        <v>20.58630888888888</v>
      </c>
      <c r="P251">
        <f t="shared" si="44"/>
        <v>20.51210388888888</v>
      </c>
      <c r="Q251">
        <f t="shared" si="44"/>
        <v>20.437898888888881</v>
      </c>
      <c r="R251">
        <f t="shared" si="44"/>
        <v>20.363693888888879</v>
      </c>
      <c r="S251">
        <f t="shared" si="44"/>
        <v>20.289488888888879</v>
      </c>
      <c r="T251">
        <f t="shared" si="44"/>
        <v>20.21528388888888</v>
      </c>
      <c r="U251">
        <f t="shared" si="43"/>
        <v>20.141078888888877</v>
      </c>
      <c r="V251">
        <f t="shared" si="43"/>
        <v>20.066873888888878</v>
      </c>
      <c r="W251">
        <f t="shared" si="43"/>
        <v>19.992668888888879</v>
      </c>
      <c r="X251">
        <f t="shared" si="43"/>
        <v>19.91846388888888</v>
      </c>
      <c r="Y251">
        <f t="shared" si="43"/>
        <v>19.844258888888881</v>
      </c>
      <c r="Z251">
        <f t="shared" si="43"/>
        <v>19.770053888888878</v>
      </c>
      <c r="AA251">
        <f t="shared" si="43"/>
        <v>19.695848888888879</v>
      </c>
      <c r="AB251">
        <f t="shared" si="43"/>
        <v>19.62164388888888</v>
      </c>
      <c r="AC251">
        <f t="shared" si="43"/>
        <v>19.547438888888877</v>
      </c>
      <c r="AD251">
        <f t="shared" si="43"/>
        <v>18.211748888888881</v>
      </c>
    </row>
    <row r="252" spans="2:30" x14ac:dyDescent="0.2">
      <c r="B252" s="7">
        <v>44821</v>
      </c>
      <c r="C252" s="8">
        <v>16.963888888888878</v>
      </c>
      <c r="D252">
        <f t="shared" si="37"/>
        <v>20.240063888888876</v>
      </c>
      <c r="E252">
        <f t="shared" si="44"/>
        <v>20.165858888888877</v>
      </c>
      <c r="F252">
        <f t="shared" si="44"/>
        <v>20.091653888888878</v>
      </c>
      <c r="G252">
        <f t="shared" si="44"/>
        <v>20.017448888888879</v>
      </c>
      <c r="H252">
        <f t="shared" si="44"/>
        <v>19.94324388888888</v>
      </c>
      <c r="I252">
        <f t="shared" si="44"/>
        <v>19.869038888888877</v>
      </c>
      <c r="J252">
        <f t="shared" si="44"/>
        <v>19.794833888888878</v>
      </c>
      <c r="K252">
        <f t="shared" si="44"/>
        <v>19.720628888888879</v>
      </c>
      <c r="L252">
        <f t="shared" si="44"/>
        <v>19.646423888888879</v>
      </c>
      <c r="M252">
        <f t="shared" si="44"/>
        <v>19.572218888888877</v>
      </c>
      <c r="N252">
        <f t="shared" si="44"/>
        <v>19.498013888888877</v>
      </c>
      <c r="O252">
        <f t="shared" si="44"/>
        <v>19.423808888888878</v>
      </c>
      <c r="P252">
        <f t="shared" si="44"/>
        <v>19.349603888888879</v>
      </c>
      <c r="Q252">
        <f t="shared" si="44"/>
        <v>19.27539888888888</v>
      </c>
      <c r="R252">
        <f t="shared" si="44"/>
        <v>19.201193888888877</v>
      </c>
      <c r="S252">
        <f t="shared" si="44"/>
        <v>19.126988888888878</v>
      </c>
      <c r="T252">
        <f t="shared" si="44"/>
        <v>19.052783888888879</v>
      </c>
      <c r="U252">
        <f t="shared" si="43"/>
        <v>18.978578888888876</v>
      </c>
      <c r="V252">
        <f t="shared" si="43"/>
        <v>18.904373888888877</v>
      </c>
      <c r="W252">
        <f t="shared" si="43"/>
        <v>18.830168888888878</v>
      </c>
      <c r="X252">
        <f t="shared" si="43"/>
        <v>18.755963888888878</v>
      </c>
      <c r="Y252">
        <f t="shared" si="43"/>
        <v>18.681758888888879</v>
      </c>
      <c r="Z252">
        <f t="shared" si="43"/>
        <v>18.607553888888877</v>
      </c>
      <c r="AA252">
        <f t="shared" si="43"/>
        <v>18.533348888888877</v>
      </c>
      <c r="AB252">
        <f t="shared" si="43"/>
        <v>18.459143888888878</v>
      </c>
      <c r="AC252">
        <f t="shared" si="43"/>
        <v>18.384938888888875</v>
      </c>
      <c r="AD252">
        <f t="shared" si="43"/>
        <v>17.049248888888879</v>
      </c>
    </row>
    <row r="253" spans="2:30" x14ac:dyDescent="0.2">
      <c r="B253" s="7">
        <v>44822</v>
      </c>
      <c r="C253" s="8">
        <v>16.171527777777772</v>
      </c>
      <c r="D253">
        <f t="shared" si="37"/>
        <v>19.447702777777771</v>
      </c>
      <c r="E253">
        <f t="shared" si="44"/>
        <v>19.373497777777771</v>
      </c>
      <c r="F253">
        <f t="shared" si="44"/>
        <v>19.299292777777772</v>
      </c>
      <c r="G253">
        <f t="shared" si="44"/>
        <v>19.225087777777773</v>
      </c>
      <c r="H253">
        <f t="shared" si="44"/>
        <v>19.150882777777774</v>
      </c>
      <c r="I253">
        <f t="shared" si="44"/>
        <v>19.076677777777771</v>
      </c>
      <c r="J253">
        <f t="shared" si="44"/>
        <v>19.002472777777772</v>
      </c>
      <c r="K253">
        <f t="shared" si="44"/>
        <v>18.928267777777773</v>
      </c>
      <c r="L253">
        <f t="shared" si="44"/>
        <v>18.854062777777774</v>
      </c>
      <c r="M253">
        <f t="shared" si="44"/>
        <v>18.779857777777771</v>
      </c>
      <c r="N253">
        <f t="shared" si="44"/>
        <v>18.705652777777772</v>
      </c>
      <c r="O253">
        <f t="shared" si="44"/>
        <v>18.631447777777773</v>
      </c>
      <c r="P253">
        <f t="shared" si="44"/>
        <v>18.557242777777773</v>
      </c>
      <c r="Q253">
        <f t="shared" si="44"/>
        <v>18.483037777777774</v>
      </c>
      <c r="R253">
        <f t="shared" si="44"/>
        <v>18.408832777777771</v>
      </c>
      <c r="S253">
        <f t="shared" si="44"/>
        <v>18.334627777777772</v>
      </c>
      <c r="T253">
        <f t="shared" si="44"/>
        <v>18.260422777777773</v>
      </c>
      <c r="U253">
        <f t="shared" si="43"/>
        <v>18.18621777777777</v>
      </c>
      <c r="V253">
        <f t="shared" si="43"/>
        <v>18.112012777777771</v>
      </c>
      <c r="W253">
        <f t="shared" si="43"/>
        <v>18.037807777777772</v>
      </c>
      <c r="X253">
        <f t="shared" si="43"/>
        <v>17.963602777777773</v>
      </c>
      <c r="Y253">
        <f t="shared" si="43"/>
        <v>17.889397777777774</v>
      </c>
      <c r="Z253">
        <f t="shared" si="43"/>
        <v>17.815192777777771</v>
      </c>
      <c r="AA253">
        <f t="shared" si="43"/>
        <v>17.740987777777772</v>
      </c>
      <c r="AB253">
        <f t="shared" si="43"/>
        <v>17.666782777777772</v>
      </c>
      <c r="AC253">
        <f t="shared" si="43"/>
        <v>17.59257777777777</v>
      </c>
      <c r="AD253">
        <f t="shared" si="43"/>
        <v>16.256887777777774</v>
      </c>
    </row>
    <row r="254" spans="2:30" x14ac:dyDescent="0.2">
      <c r="B254" s="7">
        <v>44823</v>
      </c>
      <c r="C254" s="8">
        <v>16.828472222222217</v>
      </c>
      <c r="D254">
        <f t="shared" si="37"/>
        <v>20.104647222222219</v>
      </c>
      <c r="E254">
        <f t="shared" si="44"/>
        <v>20.030442222222216</v>
      </c>
      <c r="F254">
        <f t="shared" si="44"/>
        <v>19.956237222222217</v>
      </c>
      <c r="G254">
        <f t="shared" si="44"/>
        <v>19.882032222222218</v>
      </c>
      <c r="H254">
        <f t="shared" si="44"/>
        <v>19.807827222222219</v>
      </c>
      <c r="I254">
        <f t="shared" si="44"/>
        <v>19.733622222222216</v>
      </c>
      <c r="J254">
        <f t="shared" si="44"/>
        <v>19.659417222222217</v>
      </c>
      <c r="K254">
        <f t="shared" si="44"/>
        <v>19.585212222222218</v>
      </c>
      <c r="L254">
        <f t="shared" si="44"/>
        <v>19.511007222222219</v>
      </c>
      <c r="M254">
        <f t="shared" si="44"/>
        <v>19.436802222222216</v>
      </c>
      <c r="N254">
        <f t="shared" si="44"/>
        <v>19.362597222222217</v>
      </c>
      <c r="O254">
        <f t="shared" si="44"/>
        <v>19.288392222222217</v>
      </c>
      <c r="P254">
        <f t="shared" si="44"/>
        <v>19.214187222222218</v>
      </c>
      <c r="Q254">
        <f t="shared" si="44"/>
        <v>19.139982222222216</v>
      </c>
      <c r="R254">
        <f t="shared" si="44"/>
        <v>19.065777222222216</v>
      </c>
      <c r="S254">
        <f t="shared" si="44"/>
        <v>18.991572222222217</v>
      </c>
      <c r="T254">
        <f t="shared" si="44"/>
        <v>18.917367222222218</v>
      </c>
      <c r="U254">
        <f t="shared" si="43"/>
        <v>18.843162222222219</v>
      </c>
      <c r="V254">
        <f t="shared" si="43"/>
        <v>18.768957222222216</v>
      </c>
      <c r="W254">
        <f t="shared" si="43"/>
        <v>18.694752222222217</v>
      </c>
      <c r="X254">
        <f t="shared" si="43"/>
        <v>18.620547222222218</v>
      </c>
      <c r="Y254">
        <f t="shared" si="43"/>
        <v>18.546342222222215</v>
      </c>
      <c r="Z254">
        <f t="shared" si="43"/>
        <v>18.472137222222216</v>
      </c>
      <c r="AA254">
        <f t="shared" si="43"/>
        <v>18.397932222222217</v>
      </c>
      <c r="AB254">
        <f t="shared" si="43"/>
        <v>18.323727222222217</v>
      </c>
      <c r="AC254">
        <f t="shared" si="43"/>
        <v>18.249522222222218</v>
      </c>
      <c r="AD254">
        <f t="shared" si="43"/>
        <v>16.913832222222219</v>
      </c>
    </row>
    <row r="255" spans="2:30" x14ac:dyDescent="0.2">
      <c r="B255" s="7">
        <v>44824</v>
      </c>
      <c r="C255" s="8">
        <v>18.677083333333336</v>
      </c>
      <c r="D255">
        <f t="shared" si="37"/>
        <v>21.953258333333338</v>
      </c>
      <c r="E255">
        <f t="shared" si="44"/>
        <v>21.879053333333335</v>
      </c>
      <c r="F255">
        <f t="shared" si="44"/>
        <v>21.804848333333336</v>
      </c>
      <c r="G255">
        <f t="shared" si="44"/>
        <v>21.730643333333337</v>
      </c>
      <c r="H255">
        <f t="shared" si="44"/>
        <v>21.656438333333337</v>
      </c>
      <c r="I255">
        <f t="shared" si="44"/>
        <v>21.582233333333335</v>
      </c>
      <c r="J255">
        <f t="shared" si="44"/>
        <v>21.508028333333336</v>
      </c>
      <c r="K255">
        <f t="shared" si="44"/>
        <v>21.433823333333336</v>
      </c>
      <c r="L255">
        <f t="shared" si="44"/>
        <v>21.359618333333337</v>
      </c>
      <c r="M255">
        <f t="shared" si="44"/>
        <v>21.285413333333334</v>
      </c>
      <c r="N255">
        <f t="shared" si="44"/>
        <v>21.211208333333335</v>
      </c>
      <c r="O255">
        <f t="shared" si="44"/>
        <v>21.137003333333336</v>
      </c>
      <c r="P255">
        <f t="shared" si="44"/>
        <v>21.062798333333337</v>
      </c>
      <c r="Q255">
        <f t="shared" si="44"/>
        <v>20.988593333333334</v>
      </c>
      <c r="R255">
        <f t="shared" si="44"/>
        <v>20.914388333333335</v>
      </c>
      <c r="S255">
        <f t="shared" si="44"/>
        <v>20.840183333333336</v>
      </c>
      <c r="T255">
        <f t="shared" si="44"/>
        <v>20.765978333333337</v>
      </c>
      <c r="U255">
        <f t="shared" si="43"/>
        <v>20.691773333333337</v>
      </c>
      <c r="V255">
        <f t="shared" si="43"/>
        <v>20.617568333333335</v>
      </c>
      <c r="W255">
        <f t="shared" si="43"/>
        <v>20.543363333333335</v>
      </c>
      <c r="X255">
        <f t="shared" si="43"/>
        <v>20.469158333333336</v>
      </c>
      <c r="Y255">
        <f t="shared" si="43"/>
        <v>20.394953333333333</v>
      </c>
      <c r="Z255">
        <f t="shared" si="43"/>
        <v>20.320748333333334</v>
      </c>
      <c r="AA255">
        <f t="shared" si="43"/>
        <v>20.246543333333335</v>
      </c>
      <c r="AB255">
        <f t="shared" si="43"/>
        <v>20.172338333333336</v>
      </c>
      <c r="AC255">
        <f t="shared" si="43"/>
        <v>20.098133333333337</v>
      </c>
      <c r="AD255">
        <f t="shared" si="43"/>
        <v>18.762443333333337</v>
      </c>
    </row>
    <row r="256" spans="2:30" x14ac:dyDescent="0.2">
      <c r="B256" s="7">
        <v>44825</v>
      </c>
      <c r="C256" s="8">
        <v>19.734722222222214</v>
      </c>
      <c r="D256">
        <f t="shared" si="37"/>
        <v>23.010897222222212</v>
      </c>
      <c r="E256">
        <f t="shared" si="44"/>
        <v>22.936692222222213</v>
      </c>
      <c r="F256">
        <f t="shared" si="44"/>
        <v>22.862487222222214</v>
      </c>
      <c r="G256">
        <f t="shared" si="44"/>
        <v>22.788282222222215</v>
      </c>
      <c r="H256">
        <f t="shared" si="44"/>
        <v>22.714077222222215</v>
      </c>
      <c r="I256">
        <f t="shared" si="44"/>
        <v>22.639872222222213</v>
      </c>
      <c r="J256">
        <f t="shared" si="44"/>
        <v>22.565667222222213</v>
      </c>
      <c r="K256">
        <f t="shared" si="44"/>
        <v>22.491462222222214</v>
      </c>
      <c r="L256">
        <f t="shared" si="44"/>
        <v>22.417257222222215</v>
      </c>
      <c r="M256">
        <f t="shared" si="44"/>
        <v>22.343052222222212</v>
      </c>
      <c r="N256">
        <f t="shared" si="44"/>
        <v>22.268847222222213</v>
      </c>
      <c r="O256">
        <f t="shared" si="44"/>
        <v>22.194642222222214</v>
      </c>
      <c r="P256">
        <f t="shared" si="44"/>
        <v>22.120437222222215</v>
      </c>
      <c r="Q256">
        <f t="shared" si="44"/>
        <v>22.046232222222216</v>
      </c>
      <c r="R256">
        <f t="shared" si="44"/>
        <v>21.972027222222213</v>
      </c>
      <c r="S256">
        <f t="shared" si="44"/>
        <v>21.897822222222214</v>
      </c>
      <c r="T256">
        <f t="shared" si="44"/>
        <v>21.823617222222214</v>
      </c>
      <c r="U256">
        <f t="shared" si="43"/>
        <v>21.749412222222212</v>
      </c>
      <c r="V256">
        <f t="shared" si="43"/>
        <v>21.675207222222213</v>
      </c>
      <c r="W256">
        <f t="shared" si="43"/>
        <v>21.601002222222213</v>
      </c>
      <c r="X256">
        <f t="shared" si="43"/>
        <v>21.526797222222214</v>
      </c>
      <c r="Y256">
        <f t="shared" si="43"/>
        <v>21.452592222222215</v>
      </c>
      <c r="Z256">
        <f t="shared" si="43"/>
        <v>21.378387222222212</v>
      </c>
      <c r="AA256">
        <f t="shared" si="43"/>
        <v>21.304182222222213</v>
      </c>
      <c r="AB256">
        <f t="shared" si="43"/>
        <v>21.229977222222214</v>
      </c>
      <c r="AC256">
        <f t="shared" si="43"/>
        <v>21.155772222222211</v>
      </c>
      <c r="AD256">
        <f t="shared" si="43"/>
        <v>19.820082222222215</v>
      </c>
    </row>
    <row r="257" spans="2:30" x14ac:dyDescent="0.2">
      <c r="B257" s="7">
        <v>44826</v>
      </c>
      <c r="C257" s="8">
        <v>19.017361111111107</v>
      </c>
      <c r="D257">
        <f t="shared" si="37"/>
        <v>22.293536111111109</v>
      </c>
      <c r="E257">
        <f t="shared" si="44"/>
        <v>22.219331111111106</v>
      </c>
      <c r="F257">
        <f t="shared" si="44"/>
        <v>22.145126111111107</v>
      </c>
      <c r="G257">
        <f t="shared" si="44"/>
        <v>22.070921111111108</v>
      </c>
      <c r="H257">
        <f t="shared" si="44"/>
        <v>21.996716111111109</v>
      </c>
      <c r="I257">
        <f t="shared" si="44"/>
        <v>21.922511111111106</v>
      </c>
      <c r="J257">
        <f t="shared" si="44"/>
        <v>21.848306111111107</v>
      </c>
      <c r="K257">
        <f t="shared" si="44"/>
        <v>21.774101111111108</v>
      </c>
      <c r="L257">
        <f t="shared" si="44"/>
        <v>21.699896111111109</v>
      </c>
      <c r="M257">
        <f t="shared" si="44"/>
        <v>21.625691111111106</v>
      </c>
      <c r="N257">
        <f t="shared" si="44"/>
        <v>21.551486111111107</v>
      </c>
      <c r="O257">
        <f t="shared" si="44"/>
        <v>21.477281111111107</v>
      </c>
      <c r="P257">
        <f t="shared" si="44"/>
        <v>21.403076111111108</v>
      </c>
      <c r="Q257">
        <f t="shared" si="44"/>
        <v>21.328871111111106</v>
      </c>
      <c r="R257">
        <f t="shared" si="44"/>
        <v>21.254666111111106</v>
      </c>
      <c r="S257">
        <f t="shared" si="44"/>
        <v>21.180461111111107</v>
      </c>
      <c r="T257">
        <f t="shared" si="44"/>
        <v>21.106256111111108</v>
      </c>
      <c r="U257">
        <f t="shared" si="43"/>
        <v>21.032051111111109</v>
      </c>
      <c r="V257">
        <f t="shared" si="43"/>
        <v>20.957846111111106</v>
      </c>
      <c r="W257">
        <f t="shared" si="43"/>
        <v>20.883641111111107</v>
      </c>
      <c r="X257">
        <f t="shared" si="43"/>
        <v>20.809436111111108</v>
      </c>
      <c r="Y257">
        <f t="shared" si="43"/>
        <v>20.735231111111105</v>
      </c>
      <c r="Z257">
        <f t="shared" si="43"/>
        <v>20.661026111111106</v>
      </c>
      <c r="AA257">
        <f t="shared" si="43"/>
        <v>20.586821111111107</v>
      </c>
      <c r="AB257">
        <f t="shared" si="43"/>
        <v>20.512616111111107</v>
      </c>
      <c r="AC257">
        <f t="shared" si="43"/>
        <v>20.438411111111108</v>
      </c>
      <c r="AD257">
        <f t="shared" si="43"/>
        <v>19.102721111111109</v>
      </c>
    </row>
    <row r="258" spans="2:30" x14ac:dyDescent="0.2">
      <c r="B258" s="7">
        <v>44827</v>
      </c>
      <c r="C258" s="8">
        <v>18.324999999999996</v>
      </c>
      <c r="D258">
        <f t="shared" si="37"/>
        <v>21.601174999999998</v>
      </c>
      <c r="E258">
        <f t="shared" si="44"/>
        <v>21.526969999999995</v>
      </c>
      <c r="F258">
        <f t="shared" si="44"/>
        <v>21.452764999999996</v>
      </c>
      <c r="G258">
        <f t="shared" si="44"/>
        <v>21.378559999999997</v>
      </c>
      <c r="H258">
        <f t="shared" si="44"/>
        <v>21.304354999999997</v>
      </c>
      <c r="I258">
        <f t="shared" si="44"/>
        <v>21.230149999999995</v>
      </c>
      <c r="J258">
        <f t="shared" si="44"/>
        <v>21.155944999999996</v>
      </c>
      <c r="K258">
        <f t="shared" si="44"/>
        <v>21.081739999999996</v>
      </c>
      <c r="L258">
        <f t="shared" si="44"/>
        <v>21.007534999999997</v>
      </c>
      <c r="M258">
        <f t="shared" si="44"/>
        <v>20.933329999999994</v>
      </c>
      <c r="N258">
        <f t="shared" si="44"/>
        <v>20.859124999999995</v>
      </c>
      <c r="O258">
        <f t="shared" si="44"/>
        <v>20.784919999999996</v>
      </c>
      <c r="P258">
        <f t="shared" si="44"/>
        <v>20.710714999999997</v>
      </c>
      <c r="Q258">
        <f t="shared" si="44"/>
        <v>20.636509999999994</v>
      </c>
      <c r="R258">
        <f t="shared" si="44"/>
        <v>20.562304999999995</v>
      </c>
      <c r="S258">
        <f t="shared" si="44"/>
        <v>20.488099999999996</v>
      </c>
      <c r="T258">
        <f t="shared" si="44"/>
        <v>20.413894999999997</v>
      </c>
      <c r="U258">
        <f t="shared" si="43"/>
        <v>20.339689999999997</v>
      </c>
      <c r="V258">
        <f t="shared" si="43"/>
        <v>20.265484999999995</v>
      </c>
      <c r="W258">
        <f t="shared" si="43"/>
        <v>20.191279999999995</v>
      </c>
      <c r="X258">
        <f t="shared" si="43"/>
        <v>20.117074999999996</v>
      </c>
      <c r="Y258">
        <f t="shared" si="43"/>
        <v>20.042869999999994</v>
      </c>
      <c r="Z258">
        <f t="shared" si="43"/>
        <v>19.968664999999994</v>
      </c>
      <c r="AA258">
        <f t="shared" si="43"/>
        <v>19.894459999999995</v>
      </c>
      <c r="AB258">
        <f t="shared" si="43"/>
        <v>19.820254999999996</v>
      </c>
      <c r="AC258">
        <f t="shared" si="43"/>
        <v>19.746049999999997</v>
      </c>
      <c r="AD258">
        <f t="shared" si="43"/>
        <v>18.410359999999997</v>
      </c>
    </row>
    <row r="259" spans="2:30" x14ac:dyDescent="0.2">
      <c r="B259" s="7">
        <v>44828</v>
      </c>
      <c r="C259" s="8">
        <v>18.463194444444429</v>
      </c>
      <c r="D259">
        <f t="shared" si="37"/>
        <v>21.739369444444428</v>
      </c>
      <c r="E259">
        <f t="shared" si="44"/>
        <v>21.665164444444429</v>
      </c>
      <c r="F259">
        <f t="shared" si="44"/>
        <v>21.590959444444429</v>
      </c>
      <c r="G259">
        <f t="shared" si="44"/>
        <v>21.51675444444443</v>
      </c>
      <c r="H259">
        <f t="shared" si="44"/>
        <v>21.442549444444431</v>
      </c>
      <c r="I259">
        <f t="shared" si="44"/>
        <v>21.368344444444428</v>
      </c>
      <c r="J259">
        <f t="shared" si="44"/>
        <v>21.294139444444429</v>
      </c>
      <c r="K259">
        <f t="shared" si="44"/>
        <v>21.21993444444443</v>
      </c>
      <c r="L259">
        <f t="shared" si="44"/>
        <v>21.145729444444431</v>
      </c>
      <c r="M259">
        <f t="shared" si="44"/>
        <v>21.071524444444428</v>
      </c>
      <c r="N259">
        <f t="shared" si="44"/>
        <v>20.997319444444429</v>
      </c>
      <c r="O259">
        <f t="shared" si="44"/>
        <v>20.92311444444443</v>
      </c>
      <c r="P259">
        <f t="shared" si="44"/>
        <v>20.848909444444431</v>
      </c>
      <c r="Q259">
        <f t="shared" si="44"/>
        <v>20.774704444444431</v>
      </c>
      <c r="R259">
        <f t="shared" si="44"/>
        <v>20.700499444444429</v>
      </c>
      <c r="S259">
        <f t="shared" si="44"/>
        <v>20.626294444444429</v>
      </c>
      <c r="T259">
        <f t="shared" si="44"/>
        <v>20.55208944444443</v>
      </c>
      <c r="U259">
        <f t="shared" si="43"/>
        <v>20.477884444444427</v>
      </c>
      <c r="V259">
        <f t="shared" si="43"/>
        <v>20.403679444444428</v>
      </c>
      <c r="W259">
        <f t="shared" si="43"/>
        <v>20.329474444444429</v>
      </c>
      <c r="X259">
        <f t="shared" si="43"/>
        <v>20.25526944444443</v>
      </c>
      <c r="Y259">
        <f t="shared" si="43"/>
        <v>20.181064444444431</v>
      </c>
      <c r="Z259">
        <f t="shared" si="43"/>
        <v>20.106859444444428</v>
      </c>
      <c r="AA259">
        <f t="shared" si="43"/>
        <v>20.032654444444429</v>
      </c>
      <c r="AB259">
        <f t="shared" si="43"/>
        <v>19.95844944444443</v>
      </c>
      <c r="AC259">
        <f t="shared" si="43"/>
        <v>19.884244444444427</v>
      </c>
      <c r="AD259">
        <f t="shared" si="43"/>
        <v>18.548554444444431</v>
      </c>
    </row>
    <row r="260" spans="2:30" x14ac:dyDescent="0.2">
      <c r="B260" s="7">
        <v>44829</v>
      </c>
      <c r="C260" s="8">
        <v>18.145833333333329</v>
      </c>
      <c r="D260">
        <f t="shared" si="37"/>
        <v>21.422008333333331</v>
      </c>
      <c r="E260">
        <f t="shared" si="44"/>
        <v>21.347803333333328</v>
      </c>
      <c r="F260">
        <f t="shared" si="44"/>
        <v>21.273598333333329</v>
      </c>
      <c r="G260">
        <f t="shared" si="44"/>
        <v>21.19939333333333</v>
      </c>
      <c r="H260">
        <f t="shared" si="44"/>
        <v>21.12518833333333</v>
      </c>
      <c r="I260">
        <f t="shared" si="44"/>
        <v>21.050983333333328</v>
      </c>
      <c r="J260">
        <f t="shared" si="44"/>
        <v>20.976778333333328</v>
      </c>
      <c r="K260">
        <f t="shared" si="44"/>
        <v>20.902573333333329</v>
      </c>
      <c r="L260">
        <f t="shared" si="44"/>
        <v>20.82836833333333</v>
      </c>
      <c r="M260">
        <f t="shared" si="44"/>
        <v>20.754163333333327</v>
      </c>
      <c r="N260">
        <f t="shared" si="44"/>
        <v>20.679958333333328</v>
      </c>
      <c r="O260">
        <f t="shared" si="44"/>
        <v>20.605753333333329</v>
      </c>
      <c r="P260">
        <f t="shared" si="44"/>
        <v>20.53154833333333</v>
      </c>
      <c r="Q260">
        <f t="shared" si="44"/>
        <v>20.457343333333327</v>
      </c>
      <c r="R260">
        <f t="shared" si="44"/>
        <v>20.383138333333328</v>
      </c>
      <c r="S260">
        <f t="shared" si="44"/>
        <v>20.308933333333329</v>
      </c>
      <c r="T260">
        <f t="shared" ref="T260" si="45">(-1.4841*T$3+3.6472)+$C260</f>
        <v>20.234728333333329</v>
      </c>
      <c r="U260">
        <f t="shared" si="43"/>
        <v>20.16052333333333</v>
      </c>
      <c r="V260">
        <f t="shared" si="43"/>
        <v>20.086318333333328</v>
      </c>
      <c r="W260">
        <f t="shared" si="43"/>
        <v>20.012113333333328</v>
      </c>
      <c r="X260">
        <f t="shared" si="43"/>
        <v>19.937908333333329</v>
      </c>
      <c r="Y260">
        <f t="shared" si="43"/>
        <v>19.863703333333326</v>
      </c>
      <c r="Z260">
        <f t="shared" si="43"/>
        <v>19.789498333333327</v>
      </c>
      <c r="AA260">
        <f t="shared" si="43"/>
        <v>19.715293333333328</v>
      </c>
      <c r="AB260">
        <f t="shared" si="43"/>
        <v>19.641088333333329</v>
      </c>
      <c r="AC260">
        <f t="shared" si="43"/>
        <v>19.56688333333333</v>
      </c>
      <c r="AD260">
        <f t="shared" si="43"/>
        <v>18.23119333333333</v>
      </c>
    </row>
    <row r="261" spans="2:30" x14ac:dyDescent="0.2">
      <c r="B261" s="7">
        <v>44830</v>
      </c>
      <c r="C261" s="8">
        <v>17.211805555555543</v>
      </c>
      <c r="D261">
        <f t="shared" si="37"/>
        <v>20.487980555555545</v>
      </c>
      <c r="E261">
        <f t="shared" ref="E261:T276" si="46">(-1.4841*E$3+3.6472)+$C261</f>
        <v>20.413775555555542</v>
      </c>
      <c r="F261">
        <f t="shared" si="46"/>
        <v>20.339570555555543</v>
      </c>
      <c r="G261">
        <f t="shared" si="46"/>
        <v>20.265365555555544</v>
      </c>
      <c r="H261">
        <f t="shared" si="46"/>
        <v>20.191160555555545</v>
      </c>
      <c r="I261">
        <f t="shared" si="46"/>
        <v>20.116955555555542</v>
      </c>
      <c r="J261">
        <f t="shared" si="46"/>
        <v>20.042750555555543</v>
      </c>
      <c r="K261">
        <f t="shared" si="46"/>
        <v>19.968545555555544</v>
      </c>
      <c r="L261">
        <f t="shared" si="46"/>
        <v>19.894340555555544</v>
      </c>
      <c r="M261">
        <f t="shared" si="46"/>
        <v>19.820135555555542</v>
      </c>
      <c r="N261">
        <f t="shared" si="46"/>
        <v>19.745930555555542</v>
      </c>
      <c r="O261">
        <f t="shared" si="46"/>
        <v>19.671725555555543</v>
      </c>
      <c r="P261">
        <f t="shared" si="46"/>
        <v>19.597520555555544</v>
      </c>
      <c r="Q261">
        <f t="shared" si="46"/>
        <v>19.523315555555541</v>
      </c>
      <c r="R261">
        <f t="shared" si="46"/>
        <v>19.449110555555542</v>
      </c>
      <c r="S261">
        <f t="shared" si="46"/>
        <v>19.374905555555543</v>
      </c>
      <c r="T261">
        <f t="shared" si="46"/>
        <v>19.300700555555544</v>
      </c>
      <c r="U261">
        <f t="shared" si="43"/>
        <v>19.226495555555545</v>
      </c>
      <c r="V261">
        <f t="shared" si="43"/>
        <v>19.152290555555542</v>
      </c>
      <c r="W261">
        <f t="shared" si="43"/>
        <v>19.078085555555543</v>
      </c>
      <c r="X261">
        <f t="shared" si="43"/>
        <v>19.003880555555543</v>
      </c>
      <c r="Y261">
        <f t="shared" si="43"/>
        <v>18.929675555555541</v>
      </c>
      <c r="Z261">
        <f t="shared" si="43"/>
        <v>18.855470555555542</v>
      </c>
      <c r="AA261">
        <f t="shared" si="43"/>
        <v>18.781265555555542</v>
      </c>
      <c r="AB261">
        <f t="shared" si="43"/>
        <v>18.707060555555543</v>
      </c>
      <c r="AC261">
        <f t="shared" si="43"/>
        <v>18.632855555555544</v>
      </c>
      <c r="AD261">
        <f t="shared" si="43"/>
        <v>17.297165555555544</v>
      </c>
    </row>
    <row r="262" spans="2:30" x14ac:dyDescent="0.2">
      <c r="B262" s="7">
        <v>44831</v>
      </c>
      <c r="C262" s="8">
        <v>15.131250000000001</v>
      </c>
      <c r="D262">
        <f t="shared" ref="D262:D325" si="47">(-1.4841*D$3+3.6472)+C262</f>
        <v>18.407425000000003</v>
      </c>
      <c r="E262">
        <f t="shared" si="46"/>
        <v>18.333220000000001</v>
      </c>
      <c r="F262">
        <f t="shared" si="46"/>
        <v>18.259015000000002</v>
      </c>
      <c r="G262">
        <f t="shared" si="46"/>
        <v>18.184810000000002</v>
      </c>
      <c r="H262">
        <f t="shared" si="46"/>
        <v>18.110605000000003</v>
      </c>
      <c r="I262">
        <f t="shared" si="46"/>
        <v>18.0364</v>
      </c>
      <c r="J262">
        <f t="shared" si="46"/>
        <v>17.962195000000001</v>
      </c>
      <c r="K262">
        <f t="shared" si="46"/>
        <v>17.887990000000002</v>
      </c>
      <c r="L262">
        <f t="shared" si="46"/>
        <v>17.813785000000003</v>
      </c>
      <c r="M262">
        <f t="shared" si="46"/>
        <v>17.73958</v>
      </c>
      <c r="N262">
        <f t="shared" si="46"/>
        <v>17.665375000000001</v>
      </c>
      <c r="O262">
        <f t="shared" si="46"/>
        <v>17.591170000000002</v>
      </c>
      <c r="P262">
        <f t="shared" si="46"/>
        <v>17.516965000000003</v>
      </c>
      <c r="Q262">
        <f t="shared" si="46"/>
        <v>17.44276</v>
      </c>
      <c r="R262">
        <f t="shared" si="46"/>
        <v>17.368555000000001</v>
      </c>
      <c r="S262">
        <f t="shared" si="46"/>
        <v>17.294350000000001</v>
      </c>
      <c r="T262">
        <f t="shared" si="46"/>
        <v>17.220145000000002</v>
      </c>
      <c r="U262">
        <f t="shared" si="43"/>
        <v>17.145940000000003</v>
      </c>
      <c r="V262">
        <f t="shared" si="43"/>
        <v>17.071735</v>
      </c>
      <c r="W262">
        <f t="shared" si="43"/>
        <v>16.997530000000001</v>
      </c>
      <c r="X262">
        <f t="shared" si="43"/>
        <v>16.923325000000002</v>
      </c>
      <c r="Y262">
        <f t="shared" si="43"/>
        <v>16.849119999999999</v>
      </c>
      <c r="Z262">
        <f t="shared" si="43"/>
        <v>16.774915</v>
      </c>
      <c r="AA262">
        <f t="shared" si="43"/>
        <v>16.700710000000001</v>
      </c>
      <c r="AB262">
        <f t="shared" si="43"/>
        <v>16.626505000000002</v>
      </c>
      <c r="AC262">
        <f t="shared" si="43"/>
        <v>16.552300000000002</v>
      </c>
      <c r="AD262">
        <f t="shared" si="43"/>
        <v>15.216610000000003</v>
      </c>
    </row>
    <row r="263" spans="2:30" x14ac:dyDescent="0.2">
      <c r="B263" s="7">
        <v>44832</v>
      </c>
      <c r="C263" s="8">
        <v>15.870833333333326</v>
      </c>
      <c r="D263">
        <f t="shared" si="47"/>
        <v>19.147008333333325</v>
      </c>
      <c r="E263">
        <f t="shared" si="46"/>
        <v>19.072803333333326</v>
      </c>
      <c r="F263">
        <f t="shared" si="46"/>
        <v>18.998598333333327</v>
      </c>
      <c r="G263">
        <f t="shared" si="46"/>
        <v>18.924393333333327</v>
      </c>
      <c r="H263">
        <f t="shared" si="46"/>
        <v>18.850188333333328</v>
      </c>
      <c r="I263">
        <f t="shared" si="46"/>
        <v>18.775983333333325</v>
      </c>
      <c r="J263">
        <f t="shared" si="46"/>
        <v>18.701778333333326</v>
      </c>
      <c r="K263">
        <f t="shared" si="46"/>
        <v>18.627573333333327</v>
      </c>
      <c r="L263">
        <f t="shared" si="46"/>
        <v>18.553368333333328</v>
      </c>
      <c r="M263">
        <f t="shared" si="46"/>
        <v>18.479163333333325</v>
      </c>
      <c r="N263">
        <f t="shared" si="46"/>
        <v>18.404958333333326</v>
      </c>
      <c r="O263">
        <f t="shared" si="46"/>
        <v>18.330753333333327</v>
      </c>
      <c r="P263">
        <f t="shared" si="46"/>
        <v>18.256548333333328</v>
      </c>
      <c r="Q263">
        <f t="shared" si="46"/>
        <v>18.182343333333328</v>
      </c>
      <c r="R263">
        <f t="shared" si="46"/>
        <v>18.108138333333326</v>
      </c>
      <c r="S263">
        <f t="shared" si="46"/>
        <v>18.033933333333326</v>
      </c>
      <c r="T263">
        <f t="shared" si="46"/>
        <v>17.959728333333327</v>
      </c>
      <c r="U263">
        <f t="shared" ref="U263:AD288" si="48">(-1.4841*U$3+3.6472)+$C263</f>
        <v>17.885523333333325</v>
      </c>
      <c r="V263">
        <f t="shared" si="48"/>
        <v>17.811318333333325</v>
      </c>
      <c r="W263">
        <f t="shared" si="48"/>
        <v>17.737113333333326</v>
      </c>
      <c r="X263">
        <f t="shared" si="48"/>
        <v>17.662908333333327</v>
      </c>
      <c r="Y263">
        <f t="shared" si="48"/>
        <v>17.588703333333328</v>
      </c>
      <c r="Z263">
        <f t="shared" si="48"/>
        <v>17.514498333333325</v>
      </c>
      <c r="AA263">
        <f t="shared" si="48"/>
        <v>17.440293333333326</v>
      </c>
      <c r="AB263">
        <f t="shared" si="48"/>
        <v>17.366088333333327</v>
      </c>
      <c r="AC263">
        <f t="shared" si="48"/>
        <v>17.291883333333324</v>
      </c>
      <c r="AD263">
        <f t="shared" si="48"/>
        <v>15.956193333333328</v>
      </c>
    </row>
    <row r="264" spans="2:30" x14ac:dyDescent="0.2">
      <c r="B264" s="7">
        <v>44833</v>
      </c>
      <c r="C264" s="8">
        <v>16.384722222222216</v>
      </c>
      <c r="D264">
        <f t="shared" si="47"/>
        <v>19.660897222222218</v>
      </c>
      <c r="E264">
        <f t="shared" si="46"/>
        <v>19.586692222222215</v>
      </c>
      <c r="F264">
        <f t="shared" si="46"/>
        <v>19.512487222222216</v>
      </c>
      <c r="G264">
        <f t="shared" si="46"/>
        <v>19.438282222222217</v>
      </c>
      <c r="H264">
        <f t="shared" si="46"/>
        <v>19.364077222222218</v>
      </c>
      <c r="I264">
        <f t="shared" si="46"/>
        <v>19.289872222222215</v>
      </c>
      <c r="J264">
        <f t="shared" si="46"/>
        <v>19.215667222222216</v>
      </c>
      <c r="K264">
        <f t="shared" si="46"/>
        <v>19.141462222222216</v>
      </c>
      <c r="L264">
        <f t="shared" si="46"/>
        <v>19.067257222222217</v>
      </c>
      <c r="M264">
        <f t="shared" si="46"/>
        <v>18.993052222222214</v>
      </c>
      <c r="N264">
        <f t="shared" si="46"/>
        <v>18.918847222222215</v>
      </c>
      <c r="O264">
        <f t="shared" si="46"/>
        <v>18.844642222222216</v>
      </c>
      <c r="P264">
        <f t="shared" si="46"/>
        <v>18.770437222222217</v>
      </c>
      <c r="Q264">
        <f t="shared" si="46"/>
        <v>18.696232222222214</v>
      </c>
      <c r="R264">
        <f t="shared" si="46"/>
        <v>18.622027222222215</v>
      </c>
      <c r="S264">
        <f t="shared" si="46"/>
        <v>18.547822222222216</v>
      </c>
      <c r="T264">
        <f t="shared" si="46"/>
        <v>18.473617222222217</v>
      </c>
      <c r="U264">
        <f t="shared" si="48"/>
        <v>18.399412222222217</v>
      </c>
      <c r="V264">
        <f t="shared" si="48"/>
        <v>18.325207222222215</v>
      </c>
      <c r="W264">
        <f t="shared" si="48"/>
        <v>18.251002222222215</v>
      </c>
      <c r="X264">
        <f t="shared" si="48"/>
        <v>18.176797222222216</v>
      </c>
      <c r="Y264">
        <f t="shared" si="48"/>
        <v>18.102592222222214</v>
      </c>
      <c r="Z264">
        <f t="shared" si="48"/>
        <v>18.028387222222214</v>
      </c>
      <c r="AA264">
        <f t="shared" si="48"/>
        <v>17.954182222222215</v>
      </c>
      <c r="AB264">
        <f t="shared" si="48"/>
        <v>17.879977222222216</v>
      </c>
      <c r="AC264">
        <f t="shared" si="48"/>
        <v>17.805772222222217</v>
      </c>
      <c r="AD264">
        <f t="shared" si="48"/>
        <v>16.470082222222217</v>
      </c>
    </row>
    <row r="265" spans="2:30" x14ac:dyDescent="0.2">
      <c r="B265" s="7">
        <v>44834</v>
      </c>
      <c r="C265" s="8">
        <v>16.367361111111101</v>
      </c>
      <c r="D265">
        <f t="shared" si="47"/>
        <v>19.643536111111104</v>
      </c>
      <c r="E265">
        <f t="shared" si="46"/>
        <v>19.569331111111101</v>
      </c>
      <c r="F265">
        <f t="shared" si="46"/>
        <v>19.495126111111102</v>
      </c>
      <c r="G265">
        <f t="shared" si="46"/>
        <v>19.420921111111102</v>
      </c>
      <c r="H265">
        <f t="shared" si="46"/>
        <v>19.346716111111103</v>
      </c>
      <c r="I265">
        <f t="shared" si="46"/>
        <v>19.2725111111111</v>
      </c>
      <c r="J265">
        <f t="shared" si="46"/>
        <v>19.198306111111101</v>
      </c>
      <c r="K265">
        <f t="shared" si="46"/>
        <v>19.124101111111102</v>
      </c>
      <c r="L265">
        <f t="shared" si="46"/>
        <v>19.049896111111103</v>
      </c>
      <c r="M265">
        <f t="shared" si="46"/>
        <v>18.9756911111111</v>
      </c>
      <c r="N265">
        <f t="shared" si="46"/>
        <v>18.901486111111101</v>
      </c>
      <c r="O265">
        <f t="shared" si="46"/>
        <v>18.827281111111102</v>
      </c>
      <c r="P265">
        <f t="shared" si="46"/>
        <v>18.753076111111103</v>
      </c>
      <c r="Q265">
        <f t="shared" si="46"/>
        <v>18.6788711111111</v>
      </c>
      <c r="R265">
        <f t="shared" si="46"/>
        <v>18.604666111111101</v>
      </c>
      <c r="S265">
        <f t="shared" si="46"/>
        <v>18.530461111111102</v>
      </c>
      <c r="T265">
        <f t="shared" si="46"/>
        <v>18.456256111111102</v>
      </c>
      <c r="U265">
        <f t="shared" si="48"/>
        <v>18.382051111111103</v>
      </c>
      <c r="V265">
        <f t="shared" si="48"/>
        <v>18.3078461111111</v>
      </c>
      <c r="W265">
        <f t="shared" si="48"/>
        <v>18.233641111111101</v>
      </c>
      <c r="X265">
        <f t="shared" si="48"/>
        <v>18.159436111111102</v>
      </c>
      <c r="Y265">
        <f t="shared" si="48"/>
        <v>18.085231111111099</v>
      </c>
      <c r="Z265">
        <f t="shared" si="48"/>
        <v>18.0110261111111</v>
      </c>
      <c r="AA265">
        <f t="shared" si="48"/>
        <v>17.936821111111101</v>
      </c>
      <c r="AB265">
        <f t="shared" si="48"/>
        <v>17.862616111111102</v>
      </c>
      <c r="AC265">
        <f t="shared" si="48"/>
        <v>17.788411111111103</v>
      </c>
      <c r="AD265">
        <f t="shared" si="48"/>
        <v>16.452721111111103</v>
      </c>
    </row>
    <row r="266" spans="2:30" x14ac:dyDescent="0.2">
      <c r="B266" s="7">
        <v>44835</v>
      </c>
      <c r="C266" s="8">
        <v>17.326388888888882</v>
      </c>
      <c r="D266">
        <f t="shared" si="47"/>
        <v>20.602563888888881</v>
      </c>
      <c r="E266">
        <f t="shared" si="46"/>
        <v>20.528358888888881</v>
      </c>
      <c r="F266">
        <f t="shared" si="46"/>
        <v>20.454153888888882</v>
      </c>
      <c r="G266">
        <f t="shared" si="46"/>
        <v>20.379948888888883</v>
      </c>
      <c r="H266">
        <f t="shared" si="46"/>
        <v>20.305743888888884</v>
      </c>
      <c r="I266">
        <f t="shared" si="46"/>
        <v>20.231538888888881</v>
      </c>
      <c r="J266">
        <f t="shared" si="46"/>
        <v>20.157333888888882</v>
      </c>
      <c r="K266">
        <f t="shared" si="46"/>
        <v>20.083128888888883</v>
      </c>
      <c r="L266">
        <f t="shared" si="46"/>
        <v>20.008923888888884</v>
      </c>
      <c r="M266">
        <f t="shared" si="46"/>
        <v>19.934718888888881</v>
      </c>
      <c r="N266">
        <f t="shared" si="46"/>
        <v>19.860513888888882</v>
      </c>
      <c r="O266">
        <f t="shared" si="46"/>
        <v>19.786308888888883</v>
      </c>
      <c r="P266">
        <f t="shared" si="46"/>
        <v>19.712103888888883</v>
      </c>
      <c r="Q266">
        <f t="shared" si="46"/>
        <v>19.637898888888884</v>
      </c>
      <c r="R266">
        <f t="shared" si="46"/>
        <v>19.563693888888881</v>
      </c>
      <c r="S266">
        <f t="shared" si="46"/>
        <v>19.489488888888882</v>
      </c>
      <c r="T266">
        <f t="shared" si="46"/>
        <v>19.415283888888883</v>
      </c>
      <c r="U266">
        <f t="shared" si="48"/>
        <v>19.34107888888888</v>
      </c>
      <c r="V266">
        <f t="shared" si="48"/>
        <v>19.266873888888881</v>
      </c>
      <c r="W266">
        <f t="shared" si="48"/>
        <v>19.192668888888882</v>
      </c>
      <c r="X266">
        <f t="shared" si="48"/>
        <v>19.118463888888883</v>
      </c>
      <c r="Y266">
        <f t="shared" si="48"/>
        <v>19.044258888888884</v>
      </c>
      <c r="Z266">
        <f t="shared" si="48"/>
        <v>18.970053888888881</v>
      </c>
      <c r="AA266">
        <f t="shared" si="48"/>
        <v>18.895848888888882</v>
      </c>
      <c r="AB266">
        <f t="shared" si="48"/>
        <v>18.821643888888882</v>
      </c>
      <c r="AC266">
        <f t="shared" si="48"/>
        <v>18.74743888888888</v>
      </c>
      <c r="AD266">
        <f t="shared" si="48"/>
        <v>17.411748888888884</v>
      </c>
    </row>
    <row r="267" spans="2:30" x14ac:dyDescent="0.2">
      <c r="B267" s="7">
        <v>44836</v>
      </c>
      <c r="C267" s="8">
        <v>18.008333333333329</v>
      </c>
      <c r="D267">
        <f t="shared" si="47"/>
        <v>21.284508333333328</v>
      </c>
      <c r="E267">
        <f t="shared" si="46"/>
        <v>21.210303333333329</v>
      </c>
      <c r="F267">
        <f t="shared" si="46"/>
        <v>21.136098333333329</v>
      </c>
      <c r="G267">
        <f t="shared" si="46"/>
        <v>21.06189333333333</v>
      </c>
      <c r="H267">
        <f t="shared" si="46"/>
        <v>20.987688333333331</v>
      </c>
      <c r="I267">
        <f t="shared" si="46"/>
        <v>20.913483333333328</v>
      </c>
      <c r="J267">
        <f t="shared" si="46"/>
        <v>20.839278333333329</v>
      </c>
      <c r="K267">
        <f t="shared" si="46"/>
        <v>20.76507333333333</v>
      </c>
      <c r="L267">
        <f t="shared" si="46"/>
        <v>20.690868333333331</v>
      </c>
      <c r="M267">
        <f t="shared" si="46"/>
        <v>20.616663333333328</v>
      </c>
      <c r="N267">
        <f t="shared" si="46"/>
        <v>20.542458333333329</v>
      </c>
      <c r="O267">
        <f t="shared" si="46"/>
        <v>20.46825333333333</v>
      </c>
      <c r="P267">
        <f t="shared" si="46"/>
        <v>20.39404833333333</v>
      </c>
      <c r="Q267">
        <f t="shared" si="46"/>
        <v>20.319843333333331</v>
      </c>
      <c r="R267">
        <f t="shared" si="46"/>
        <v>20.245638333333329</v>
      </c>
      <c r="S267">
        <f t="shared" si="46"/>
        <v>20.171433333333329</v>
      </c>
      <c r="T267">
        <f t="shared" si="46"/>
        <v>20.09722833333333</v>
      </c>
      <c r="U267">
        <f t="shared" si="48"/>
        <v>20.023023333333327</v>
      </c>
      <c r="V267">
        <f t="shared" si="48"/>
        <v>19.948818333333328</v>
      </c>
      <c r="W267">
        <f t="shared" si="48"/>
        <v>19.874613333333329</v>
      </c>
      <c r="X267">
        <f t="shared" si="48"/>
        <v>19.80040833333333</v>
      </c>
      <c r="Y267">
        <f t="shared" si="48"/>
        <v>19.726203333333331</v>
      </c>
      <c r="Z267">
        <f t="shared" si="48"/>
        <v>19.651998333333328</v>
      </c>
      <c r="AA267">
        <f t="shared" si="48"/>
        <v>19.577793333333329</v>
      </c>
      <c r="AB267">
        <f t="shared" si="48"/>
        <v>19.50358833333333</v>
      </c>
      <c r="AC267">
        <f t="shared" si="48"/>
        <v>19.429383333333327</v>
      </c>
      <c r="AD267">
        <f t="shared" si="48"/>
        <v>18.093693333333331</v>
      </c>
    </row>
    <row r="268" spans="2:30" x14ac:dyDescent="0.2">
      <c r="B268" s="7">
        <v>44837</v>
      </c>
      <c r="C268" s="8">
        <v>17.372916666666661</v>
      </c>
      <c r="D268">
        <f t="shared" si="47"/>
        <v>20.649091666666664</v>
      </c>
      <c r="E268">
        <f t="shared" si="46"/>
        <v>20.574886666666661</v>
      </c>
      <c r="F268">
        <f t="shared" si="46"/>
        <v>20.500681666666662</v>
      </c>
      <c r="G268">
        <f t="shared" si="46"/>
        <v>20.426476666666662</v>
      </c>
      <c r="H268">
        <f t="shared" si="46"/>
        <v>20.352271666666663</v>
      </c>
      <c r="I268">
        <f t="shared" si="46"/>
        <v>20.27806666666666</v>
      </c>
      <c r="J268">
        <f t="shared" si="46"/>
        <v>20.203861666666661</v>
      </c>
      <c r="K268">
        <f t="shared" si="46"/>
        <v>20.129656666666662</v>
      </c>
      <c r="L268">
        <f t="shared" si="46"/>
        <v>20.055451666666663</v>
      </c>
      <c r="M268">
        <f t="shared" si="46"/>
        <v>19.98124666666666</v>
      </c>
      <c r="N268">
        <f t="shared" si="46"/>
        <v>19.907041666666661</v>
      </c>
      <c r="O268">
        <f t="shared" si="46"/>
        <v>19.832836666666662</v>
      </c>
      <c r="P268">
        <f t="shared" si="46"/>
        <v>19.758631666666663</v>
      </c>
      <c r="Q268">
        <f t="shared" si="46"/>
        <v>19.68442666666666</v>
      </c>
      <c r="R268">
        <f t="shared" si="46"/>
        <v>19.610221666666661</v>
      </c>
      <c r="S268">
        <f t="shared" si="46"/>
        <v>19.536016666666661</v>
      </c>
      <c r="T268">
        <f t="shared" si="46"/>
        <v>19.461811666666662</v>
      </c>
      <c r="U268">
        <f t="shared" si="48"/>
        <v>19.387606666666663</v>
      </c>
      <c r="V268">
        <f t="shared" si="48"/>
        <v>19.31340166666666</v>
      </c>
      <c r="W268">
        <f t="shared" si="48"/>
        <v>19.239196666666661</v>
      </c>
      <c r="X268">
        <f t="shared" si="48"/>
        <v>19.164991666666662</v>
      </c>
      <c r="Y268">
        <f t="shared" si="48"/>
        <v>19.090786666666659</v>
      </c>
      <c r="Z268">
        <f t="shared" si="48"/>
        <v>19.01658166666666</v>
      </c>
      <c r="AA268">
        <f t="shared" si="48"/>
        <v>18.942376666666661</v>
      </c>
      <c r="AB268">
        <f t="shared" si="48"/>
        <v>18.868171666666662</v>
      </c>
      <c r="AC268">
        <f t="shared" si="48"/>
        <v>18.793966666666662</v>
      </c>
      <c r="AD268">
        <f t="shared" si="48"/>
        <v>17.458276666666663</v>
      </c>
    </row>
    <row r="269" spans="2:30" x14ac:dyDescent="0.2">
      <c r="B269" s="7">
        <v>44838</v>
      </c>
      <c r="C269" s="8">
        <v>18.048611111111097</v>
      </c>
      <c r="D269">
        <f t="shared" si="47"/>
        <v>21.324786111111095</v>
      </c>
      <c r="E269">
        <f t="shared" si="46"/>
        <v>21.250581111111096</v>
      </c>
      <c r="F269">
        <f t="shared" si="46"/>
        <v>21.176376111111097</v>
      </c>
      <c r="G269">
        <f t="shared" si="46"/>
        <v>21.102171111111097</v>
      </c>
      <c r="H269">
        <f t="shared" si="46"/>
        <v>21.027966111111098</v>
      </c>
      <c r="I269">
        <f t="shared" si="46"/>
        <v>20.953761111111096</v>
      </c>
      <c r="J269">
        <f t="shared" si="46"/>
        <v>20.879556111111096</v>
      </c>
      <c r="K269">
        <f t="shared" si="46"/>
        <v>20.805351111111097</v>
      </c>
      <c r="L269">
        <f t="shared" si="46"/>
        <v>20.731146111111098</v>
      </c>
      <c r="M269">
        <f t="shared" si="46"/>
        <v>20.656941111111095</v>
      </c>
      <c r="N269">
        <f t="shared" si="46"/>
        <v>20.582736111111096</v>
      </c>
      <c r="O269">
        <f t="shared" si="46"/>
        <v>20.508531111111097</v>
      </c>
      <c r="P269">
        <f t="shared" si="46"/>
        <v>20.434326111111098</v>
      </c>
      <c r="Q269">
        <f t="shared" si="46"/>
        <v>20.360121111111098</v>
      </c>
      <c r="R269">
        <f t="shared" si="46"/>
        <v>20.285916111111096</v>
      </c>
      <c r="S269">
        <f t="shared" si="46"/>
        <v>20.211711111111097</v>
      </c>
      <c r="T269">
        <f t="shared" si="46"/>
        <v>20.137506111111097</v>
      </c>
      <c r="U269">
        <f t="shared" si="48"/>
        <v>20.063301111111095</v>
      </c>
      <c r="V269">
        <f t="shared" si="48"/>
        <v>19.989096111111095</v>
      </c>
      <c r="W269">
        <f t="shared" si="48"/>
        <v>19.914891111111096</v>
      </c>
      <c r="X269">
        <f t="shared" si="48"/>
        <v>19.840686111111097</v>
      </c>
      <c r="Y269">
        <f t="shared" si="48"/>
        <v>19.766481111111098</v>
      </c>
      <c r="Z269">
        <f t="shared" si="48"/>
        <v>19.692276111111095</v>
      </c>
      <c r="AA269">
        <f t="shared" si="48"/>
        <v>19.618071111111096</v>
      </c>
      <c r="AB269">
        <f t="shared" si="48"/>
        <v>19.543866111111097</v>
      </c>
      <c r="AC269">
        <f t="shared" si="48"/>
        <v>19.469661111111094</v>
      </c>
      <c r="AD269">
        <f t="shared" si="48"/>
        <v>18.133971111111098</v>
      </c>
    </row>
    <row r="270" spans="2:30" x14ac:dyDescent="0.2">
      <c r="B270" s="7">
        <v>44839</v>
      </c>
      <c r="C270" s="8">
        <v>18.246527777777771</v>
      </c>
      <c r="D270">
        <f t="shared" si="47"/>
        <v>21.522702777777774</v>
      </c>
      <c r="E270">
        <f t="shared" si="46"/>
        <v>21.448497777777771</v>
      </c>
      <c r="F270">
        <f t="shared" si="46"/>
        <v>21.374292777777772</v>
      </c>
      <c r="G270">
        <f t="shared" si="46"/>
        <v>21.300087777777772</v>
      </c>
      <c r="H270">
        <f t="shared" si="46"/>
        <v>21.225882777777773</v>
      </c>
      <c r="I270">
        <f t="shared" si="46"/>
        <v>21.15167777777777</v>
      </c>
      <c r="J270">
        <f t="shared" si="46"/>
        <v>21.077472777777771</v>
      </c>
      <c r="K270">
        <f t="shared" si="46"/>
        <v>21.003267777777772</v>
      </c>
      <c r="L270">
        <f t="shared" si="46"/>
        <v>20.929062777777773</v>
      </c>
      <c r="M270">
        <f t="shared" si="46"/>
        <v>20.85485777777777</v>
      </c>
      <c r="N270">
        <f t="shared" si="46"/>
        <v>20.780652777777771</v>
      </c>
      <c r="O270">
        <f t="shared" si="46"/>
        <v>20.706447777777772</v>
      </c>
      <c r="P270">
        <f t="shared" si="46"/>
        <v>20.632242777777773</v>
      </c>
      <c r="Q270">
        <f t="shared" si="46"/>
        <v>20.55803777777777</v>
      </c>
      <c r="R270">
        <f t="shared" si="46"/>
        <v>20.483832777777771</v>
      </c>
      <c r="S270">
        <f t="shared" si="46"/>
        <v>20.409627777777771</v>
      </c>
      <c r="T270">
        <f t="shared" si="46"/>
        <v>20.335422777777772</v>
      </c>
      <c r="U270">
        <f t="shared" si="48"/>
        <v>20.261217777777773</v>
      </c>
      <c r="V270">
        <f t="shared" si="48"/>
        <v>20.18701277777777</v>
      </c>
      <c r="W270">
        <f t="shared" si="48"/>
        <v>20.112807777777771</v>
      </c>
      <c r="X270">
        <f t="shared" si="48"/>
        <v>20.038602777777772</v>
      </c>
      <c r="Y270">
        <f t="shared" si="48"/>
        <v>19.964397777777769</v>
      </c>
      <c r="Z270">
        <f t="shared" si="48"/>
        <v>19.89019277777777</v>
      </c>
      <c r="AA270">
        <f t="shared" si="48"/>
        <v>19.815987777777771</v>
      </c>
      <c r="AB270">
        <f t="shared" si="48"/>
        <v>19.741782777777772</v>
      </c>
      <c r="AC270">
        <f t="shared" si="48"/>
        <v>19.667577777777772</v>
      </c>
      <c r="AD270">
        <f t="shared" si="48"/>
        <v>18.331887777777773</v>
      </c>
    </row>
    <row r="271" spans="2:30" x14ac:dyDescent="0.2">
      <c r="B271" s="7">
        <v>44840</v>
      </c>
      <c r="C271" s="8">
        <v>17.11388888888888</v>
      </c>
      <c r="D271">
        <f t="shared" si="47"/>
        <v>20.390063888888882</v>
      </c>
      <c r="E271">
        <f t="shared" si="46"/>
        <v>20.315858888888879</v>
      </c>
      <c r="F271">
        <f t="shared" si="46"/>
        <v>20.24165388888888</v>
      </c>
      <c r="G271">
        <f t="shared" si="46"/>
        <v>20.167448888888881</v>
      </c>
      <c r="H271">
        <f t="shared" si="46"/>
        <v>20.093243888888882</v>
      </c>
      <c r="I271">
        <f t="shared" si="46"/>
        <v>20.019038888888879</v>
      </c>
      <c r="J271">
        <f t="shared" si="46"/>
        <v>19.94483388888888</v>
      </c>
      <c r="K271">
        <f t="shared" si="46"/>
        <v>19.870628888888881</v>
      </c>
      <c r="L271">
        <f t="shared" si="46"/>
        <v>19.796423888888881</v>
      </c>
      <c r="M271">
        <f t="shared" si="46"/>
        <v>19.722218888888879</v>
      </c>
      <c r="N271">
        <f t="shared" si="46"/>
        <v>19.64801388888888</v>
      </c>
      <c r="O271">
        <f t="shared" si="46"/>
        <v>19.57380888888888</v>
      </c>
      <c r="P271">
        <f t="shared" si="46"/>
        <v>19.499603888888881</v>
      </c>
      <c r="Q271">
        <f t="shared" si="46"/>
        <v>19.425398888888878</v>
      </c>
      <c r="R271">
        <f t="shared" si="46"/>
        <v>19.351193888888879</v>
      </c>
      <c r="S271">
        <f t="shared" si="46"/>
        <v>19.27698888888888</v>
      </c>
      <c r="T271">
        <f t="shared" si="46"/>
        <v>19.202783888888881</v>
      </c>
      <c r="U271">
        <f t="shared" si="48"/>
        <v>19.128578888888882</v>
      </c>
      <c r="V271">
        <f t="shared" si="48"/>
        <v>19.054373888888879</v>
      </c>
      <c r="W271">
        <f t="shared" si="48"/>
        <v>18.98016888888888</v>
      </c>
      <c r="X271">
        <f t="shared" si="48"/>
        <v>18.905963888888881</v>
      </c>
      <c r="Y271">
        <f t="shared" si="48"/>
        <v>18.831758888888878</v>
      </c>
      <c r="Z271">
        <f t="shared" si="48"/>
        <v>18.757553888888879</v>
      </c>
      <c r="AA271">
        <f t="shared" si="48"/>
        <v>18.683348888888879</v>
      </c>
      <c r="AB271">
        <f t="shared" si="48"/>
        <v>18.60914388888888</v>
      </c>
      <c r="AC271">
        <f t="shared" si="48"/>
        <v>18.534938888888881</v>
      </c>
      <c r="AD271">
        <f t="shared" si="48"/>
        <v>17.199248888888881</v>
      </c>
    </row>
    <row r="272" spans="2:30" x14ac:dyDescent="0.2">
      <c r="B272" s="7">
        <v>44841</v>
      </c>
      <c r="C272" s="8">
        <v>16.415277777777774</v>
      </c>
      <c r="D272">
        <f t="shared" si="47"/>
        <v>19.691452777777776</v>
      </c>
      <c r="E272">
        <f t="shared" si="46"/>
        <v>19.617247777777774</v>
      </c>
      <c r="F272">
        <f t="shared" si="46"/>
        <v>19.543042777777774</v>
      </c>
      <c r="G272">
        <f t="shared" si="46"/>
        <v>19.468837777777775</v>
      </c>
      <c r="H272">
        <f t="shared" si="46"/>
        <v>19.394632777777776</v>
      </c>
      <c r="I272">
        <f t="shared" si="46"/>
        <v>19.320427777777773</v>
      </c>
      <c r="J272">
        <f t="shared" si="46"/>
        <v>19.246222777777774</v>
      </c>
      <c r="K272">
        <f t="shared" si="46"/>
        <v>19.172017777777775</v>
      </c>
      <c r="L272">
        <f t="shared" si="46"/>
        <v>19.097812777777776</v>
      </c>
      <c r="M272">
        <f t="shared" si="46"/>
        <v>19.023607777777773</v>
      </c>
      <c r="N272">
        <f t="shared" si="46"/>
        <v>18.949402777777774</v>
      </c>
      <c r="O272">
        <f t="shared" si="46"/>
        <v>18.875197777777775</v>
      </c>
      <c r="P272">
        <f t="shared" si="46"/>
        <v>18.800992777777775</v>
      </c>
      <c r="Q272">
        <f t="shared" si="46"/>
        <v>18.726787777777773</v>
      </c>
      <c r="R272">
        <f t="shared" si="46"/>
        <v>18.652582777777774</v>
      </c>
      <c r="S272">
        <f t="shared" si="46"/>
        <v>18.578377777777774</v>
      </c>
      <c r="T272">
        <f t="shared" si="46"/>
        <v>18.504172777777775</v>
      </c>
      <c r="U272">
        <f t="shared" si="48"/>
        <v>18.429967777777776</v>
      </c>
      <c r="V272">
        <f t="shared" si="48"/>
        <v>18.355762777777773</v>
      </c>
      <c r="W272">
        <f t="shared" si="48"/>
        <v>18.281557777777774</v>
      </c>
      <c r="X272">
        <f t="shared" si="48"/>
        <v>18.207352777777775</v>
      </c>
      <c r="Y272">
        <f t="shared" si="48"/>
        <v>18.133147777777772</v>
      </c>
      <c r="Z272">
        <f t="shared" si="48"/>
        <v>18.058942777777773</v>
      </c>
      <c r="AA272">
        <f t="shared" si="48"/>
        <v>17.984737777777774</v>
      </c>
      <c r="AB272">
        <f t="shared" si="48"/>
        <v>17.910532777777775</v>
      </c>
      <c r="AC272">
        <f t="shared" si="48"/>
        <v>17.836327777777775</v>
      </c>
      <c r="AD272">
        <f t="shared" si="48"/>
        <v>16.500637777777776</v>
      </c>
    </row>
    <row r="273" spans="2:30" x14ac:dyDescent="0.2">
      <c r="B273" s="7">
        <v>44842</v>
      </c>
      <c r="C273" s="8">
        <v>16.911111111111101</v>
      </c>
      <c r="D273">
        <f t="shared" si="47"/>
        <v>20.187286111111099</v>
      </c>
      <c r="E273">
        <f t="shared" si="46"/>
        <v>20.1130811111111</v>
      </c>
      <c r="F273">
        <f t="shared" si="46"/>
        <v>20.038876111111101</v>
      </c>
      <c r="G273">
        <f t="shared" si="46"/>
        <v>19.964671111111102</v>
      </c>
      <c r="H273">
        <f t="shared" si="46"/>
        <v>19.890466111111103</v>
      </c>
      <c r="I273">
        <f t="shared" si="46"/>
        <v>19.8162611111111</v>
      </c>
      <c r="J273">
        <f t="shared" si="46"/>
        <v>19.742056111111101</v>
      </c>
      <c r="K273">
        <f t="shared" si="46"/>
        <v>19.667851111111101</v>
      </c>
      <c r="L273">
        <f t="shared" si="46"/>
        <v>19.593646111111102</v>
      </c>
      <c r="M273">
        <f t="shared" si="46"/>
        <v>19.519441111111099</v>
      </c>
      <c r="N273">
        <f t="shared" si="46"/>
        <v>19.4452361111111</v>
      </c>
      <c r="O273">
        <f t="shared" si="46"/>
        <v>19.371031111111101</v>
      </c>
      <c r="P273">
        <f t="shared" si="46"/>
        <v>19.296826111111102</v>
      </c>
      <c r="Q273">
        <f t="shared" si="46"/>
        <v>19.222621111111103</v>
      </c>
      <c r="R273">
        <f t="shared" si="46"/>
        <v>19.1484161111111</v>
      </c>
      <c r="S273">
        <f t="shared" si="46"/>
        <v>19.074211111111101</v>
      </c>
      <c r="T273">
        <f t="shared" si="46"/>
        <v>19.000006111111102</v>
      </c>
      <c r="U273">
        <f t="shared" si="48"/>
        <v>18.925801111111099</v>
      </c>
      <c r="V273">
        <f t="shared" si="48"/>
        <v>18.8515961111111</v>
      </c>
      <c r="W273">
        <f t="shared" si="48"/>
        <v>18.7773911111111</v>
      </c>
      <c r="X273">
        <f t="shared" si="48"/>
        <v>18.703186111111101</v>
      </c>
      <c r="Y273">
        <f t="shared" si="48"/>
        <v>18.628981111111102</v>
      </c>
      <c r="Z273">
        <f t="shared" si="48"/>
        <v>18.554776111111099</v>
      </c>
      <c r="AA273">
        <f t="shared" si="48"/>
        <v>18.4805711111111</v>
      </c>
      <c r="AB273">
        <f t="shared" si="48"/>
        <v>18.406366111111101</v>
      </c>
      <c r="AC273">
        <f t="shared" si="48"/>
        <v>18.332161111111098</v>
      </c>
      <c r="AD273">
        <f t="shared" si="48"/>
        <v>16.996471111111102</v>
      </c>
    </row>
    <row r="274" spans="2:30" x14ac:dyDescent="0.2">
      <c r="B274" s="7">
        <v>44843</v>
      </c>
      <c r="C274" s="8">
        <v>16.255555555555549</v>
      </c>
      <c r="D274">
        <f t="shared" si="47"/>
        <v>19.531730555555548</v>
      </c>
      <c r="E274">
        <f t="shared" si="46"/>
        <v>19.457525555555549</v>
      </c>
      <c r="F274">
        <f t="shared" si="46"/>
        <v>19.383320555555549</v>
      </c>
      <c r="G274">
        <f t="shared" si="46"/>
        <v>19.30911555555555</v>
      </c>
      <c r="H274">
        <f t="shared" si="46"/>
        <v>19.234910555555551</v>
      </c>
      <c r="I274">
        <f t="shared" si="46"/>
        <v>19.160705555555548</v>
      </c>
      <c r="J274">
        <f t="shared" si="46"/>
        <v>19.086500555555549</v>
      </c>
      <c r="K274">
        <f t="shared" si="46"/>
        <v>19.01229555555555</v>
      </c>
      <c r="L274">
        <f t="shared" si="46"/>
        <v>18.938090555555551</v>
      </c>
      <c r="M274">
        <f t="shared" si="46"/>
        <v>18.863885555555548</v>
      </c>
      <c r="N274">
        <f t="shared" si="46"/>
        <v>18.789680555555549</v>
      </c>
      <c r="O274">
        <f t="shared" si="46"/>
        <v>18.71547555555555</v>
      </c>
      <c r="P274">
        <f t="shared" si="46"/>
        <v>18.64127055555555</v>
      </c>
      <c r="Q274">
        <f t="shared" si="46"/>
        <v>18.567065555555551</v>
      </c>
      <c r="R274">
        <f t="shared" si="46"/>
        <v>18.492860555555549</v>
      </c>
      <c r="S274">
        <f t="shared" si="46"/>
        <v>18.418655555555549</v>
      </c>
      <c r="T274">
        <f t="shared" si="46"/>
        <v>18.34445055555555</v>
      </c>
      <c r="U274">
        <f t="shared" si="48"/>
        <v>18.270245555555547</v>
      </c>
      <c r="V274">
        <f t="shared" si="48"/>
        <v>18.196040555555548</v>
      </c>
      <c r="W274">
        <f t="shared" si="48"/>
        <v>18.121835555555549</v>
      </c>
      <c r="X274">
        <f t="shared" si="48"/>
        <v>18.04763055555555</v>
      </c>
      <c r="Y274">
        <f t="shared" si="48"/>
        <v>17.973425555555551</v>
      </c>
      <c r="Z274">
        <f t="shared" si="48"/>
        <v>17.899220555555548</v>
      </c>
      <c r="AA274">
        <f t="shared" si="48"/>
        <v>17.825015555555549</v>
      </c>
      <c r="AB274">
        <f t="shared" si="48"/>
        <v>17.75081055555555</v>
      </c>
      <c r="AC274">
        <f t="shared" si="48"/>
        <v>17.676605555555547</v>
      </c>
      <c r="AD274">
        <f t="shared" si="48"/>
        <v>16.340915555555551</v>
      </c>
    </row>
    <row r="275" spans="2:30" x14ac:dyDescent="0.2">
      <c r="B275" s="7">
        <v>44844</v>
      </c>
      <c r="C275" s="8">
        <v>14.843055555555555</v>
      </c>
      <c r="D275">
        <f t="shared" si="47"/>
        <v>18.119230555555554</v>
      </c>
      <c r="E275">
        <f t="shared" si="46"/>
        <v>18.045025555555554</v>
      </c>
      <c r="F275">
        <f t="shared" si="46"/>
        <v>17.970820555555555</v>
      </c>
      <c r="G275">
        <f t="shared" si="46"/>
        <v>17.896615555555556</v>
      </c>
      <c r="H275">
        <f t="shared" si="46"/>
        <v>17.822410555555557</v>
      </c>
      <c r="I275">
        <f t="shared" si="46"/>
        <v>17.748205555555554</v>
      </c>
      <c r="J275">
        <f t="shared" si="46"/>
        <v>17.674000555555555</v>
      </c>
      <c r="K275">
        <f t="shared" si="46"/>
        <v>17.599795555555556</v>
      </c>
      <c r="L275">
        <f t="shared" si="46"/>
        <v>17.525590555555556</v>
      </c>
      <c r="M275">
        <f t="shared" si="46"/>
        <v>17.451385555555554</v>
      </c>
      <c r="N275">
        <f t="shared" si="46"/>
        <v>17.377180555555555</v>
      </c>
      <c r="O275">
        <f t="shared" si="46"/>
        <v>17.302975555555555</v>
      </c>
      <c r="P275">
        <f t="shared" si="46"/>
        <v>17.228770555555556</v>
      </c>
      <c r="Q275">
        <f t="shared" si="46"/>
        <v>17.154565555555557</v>
      </c>
      <c r="R275">
        <f t="shared" si="46"/>
        <v>17.080360555555554</v>
      </c>
      <c r="S275">
        <f t="shared" si="46"/>
        <v>17.006155555555555</v>
      </c>
      <c r="T275">
        <f t="shared" si="46"/>
        <v>16.931950555555556</v>
      </c>
      <c r="U275">
        <f t="shared" si="48"/>
        <v>16.857745555555553</v>
      </c>
      <c r="V275">
        <f t="shared" si="48"/>
        <v>16.783540555555554</v>
      </c>
      <c r="W275">
        <f t="shared" si="48"/>
        <v>16.709335555555555</v>
      </c>
      <c r="X275">
        <f t="shared" si="48"/>
        <v>16.635130555555556</v>
      </c>
      <c r="Y275">
        <f t="shared" si="48"/>
        <v>16.560925555555556</v>
      </c>
      <c r="Z275">
        <f t="shared" si="48"/>
        <v>16.486720555555554</v>
      </c>
      <c r="AA275">
        <f t="shared" si="48"/>
        <v>16.412515555555554</v>
      </c>
      <c r="AB275">
        <f t="shared" si="48"/>
        <v>16.338310555555555</v>
      </c>
      <c r="AC275">
        <f t="shared" si="48"/>
        <v>16.264105555555552</v>
      </c>
      <c r="AD275">
        <f t="shared" si="48"/>
        <v>14.928415555555556</v>
      </c>
    </row>
    <row r="276" spans="2:30" x14ac:dyDescent="0.2">
      <c r="B276" s="7">
        <v>44845</v>
      </c>
      <c r="C276" s="8">
        <v>14.788194444444439</v>
      </c>
      <c r="D276">
        <f t="shared" si="47"/>
        <v>18.064369444444438</v>
      </c>
      <c r="E276">
        <f t="shared" si="46"/>
        <v>17.990164444444439</v>
      </c>
      <c r="F276">
        <f t="shared" si="46"/>
        <v>17.915959444444439</v>
      </c>
      <c r="G276">
        <f t="shared" si="46"/>
        <v>17.84175444444444</v>
      </c>
      <c r="H276">
        <f t="shared" si="46"/>
        <v>17.767549444444441</v>
      </c>
      <c r="I276">
        <f t="shared" si="46"/>
        <v>17.693344444444438</v>
      </c>
      <c r="J276">
        <f t="shared" si="46"/>
        <v>17.619139444444439</v>
      </c>
      <c r="K276">
        <f t="shared" si="46"/>
        <v>17.54493444444444</v>
      </c>
      <c r="L276">
        <f t="shared" si="46"/>
        <v>17.470729444444441</v>
      </c>
      <c r="M276">
        <f t="shared" si="46"/>
        <v>17.396524444444438</v>
      </c>
      <c r="N276">
        <f t="shared" si="46"/>
        <v>17.322319444444439</v>
      </c>
      <c r="O276">
        <f t="shared" si="46"/>
        <v>17.24811444444444</v>
      </c>
      <c r="P276">
        <f t="shared" si="46"/>
        <v>17.17390944444444</v>
      </c>
      <c r="Q276">
        <f t="shared" si="46"/>
        <v>17.099704444444441</v>
      </c>
      <c r="R276">
        <f t="shared" si="46"/>
        <v>17.025499444444439</v>
      </c>
      <c r="S276">
        <f t="shared" si="46"/>
        <v>16.951294444444439</v>
      </c>
      <c r="T276">
        <f t="shared" ref="T276" si="49">(-1.4841*T$3+3.6472)+$C276</f>
        <v>16.87708944444444</v>
      </c>
      <c r="U276">
        <f t="shared" si="48"/>
        <v>16.802884444444437</v>
      </c>
      <c r="V276">
        <f t="shared" si="48"/>
        <v>16.728679444444438</v>
      </c>
      <c r="W276">
        <f t="shared" si="48"/>
        <v>16.654474444444439</v>
      </c>
      <c r="X276">
        <f t="shared" si="48"/>
        <v>16.58026944444444</v>
      </c>
      <c r="Y276">
        <f t="shared" si="48"/>
        <v>16.506064444444441</v>
      </c>
      <c r="Z276">
        <f t="shared" si="48"/>
        <v>16.431859444444438</v>
      </c>
      <c r="AA276">
        <f t="shared" si="48"/>
        <v>16.357654444444439</v>
      </c>
      <c r="AB276">
        <f t="shared" si="48"/>
        <v>16.28344944444444</v>
      </c>
      <c r="AC276">
        <f t="shared" si="48"/>
        <v>16.209244444444437</v>
      </c>
      <c r="AD276">
        <f t="shared" si="48"/>
        <v>14.873554444444441</v>
      </c>
    </row>
    <row r="277" spans="2:30" x14ac:dyDescent="0.2">
      <c r="B277" s="7">
        <v>44846</v>
      </c>
      <c r="C277" s="8">
        <v>14.945833333333322</v>
      </c>
      <c r="D277">
        <f t="shared" si="47"/>
        <v>18.222008333333321</v>
      </c>
      <c r="E277">
        <f t="shared" ref="E277:T292" si="50">(-1.4841*E$3+3.6472)+$C277</f>
        <v>18.147803333333322</v>
      </c>
      <c r="F277">
        <f t="shared" si="50"/>
        <v>18.073598333333322</v>
      </c>
      <c r="G277">
        <f t="shared" si="50"/>
        <v>17.999393333333323</v>
      </c>
      <c r="H277">
        <f t="shared" si="50"/>
        <v>17.925188333333324</v>
      </c>
      <c r="I277">
        <f t="shared" si="50"/>
        <v>17.850983333333321</v>
      </c>
      <c r="J277">
        <f t="shared" si="50"/>
        <v>17.776778333333322</v>
      </c>
      <c r="K277">
        <f t="shared" si="50"/>
        <v>17.702573333333323</v>
      </c>
      <c r="L277">
        <f t="shared" si="50"/>
        <v>17.628368333333324</v>
      </c>
      <c r="M277">
        <f t="shared" si="50"/>
        <v>17.554163333333321</v>
      </c>
      <c r="N277">
        <f t="shared" si="50"/>
        <v>17.479958333333322</v>
      </c>
      <c r="O277">
        <f t="shared" si="50"/>
        <v>17.405753333333323</v>
      </c>
      <c r="P277">
        <f t="shared" si="50"/>
        <v>17.331548333333323</v>
      </c>
      <c r="Q277">
        <f t="shared" si="50"/>
        <v>17.257343333333324</v>
      </c>
      <c r="R277">
        <f t="shared" si="50"/>
        <v>17.183138333333321</v>
      </c>
      <c r="S277">
        <f t="shared" si="50"/>
        <v>17.108933333333322</v>
      </c>
      <c r="T277">
        <f t="shared" si="50"/>
        <v>17.034728333333323</v>
      </c>
      <c r="U277">
        <f t="shared" si="48"/>
        <v>16.96052333333332</v>
      </c>
      <c r="V277">
        <f t="shared" si="48"/>
        <v>16.886318333333321</v>
      </c>
      <c r="W277">
        <f t="shared" si="48"/>
        <v>16.812113333333322</v>
      </c>
      <c r="X277">
        <f t="shared" si="48"/>
        <v>16.737908333333323</v>
      </c>
      <c r="Y277">
        <f t="shared" si="48"/>
        <v>16.663703333333324</v>
      </c>
      <c r="Z277">
        <f t="shared" si="48"/>
        <v>16.589498333333321</v>
      </c>
      <c r="AA277">
        <f t="shared" si="48"/>
        <v>16.515293333333322</v>
      </c>
      <c r="AB277">
        <f t="shared" si="48"/>
        <v>16.441088333333322</v>
      </c>
      <c r="AC277">
        <f t="shared" si="48"/>
        <v>16.36688333333332</v>
      </c>
      <c r="AD277">
        <f t="shared" si="48"/>
        <v>15.031193333333324</v>
      </c>
    </row>
    <row r="278" spans="2:30" x14ac:dyDescent="0.2">
      <c r="B278" s="7">
        <v>44847</v>
      </c>
      <c r="C278" s="8">
        <v>15.569444444444436</v>
      </c>
      <c r="D278">
        <f t="shared" si="47"/>
        <v>18.845619444444438</v>
      </c>
      <c r="E278">
        <f t="shared" si="50"/>
        <v>18.771414444444435</v>
      </c>
      <c r="F278">
        <f t="shared" si="50"/>
        <v>18.697209444444436</v>
      </c>
      <c r="G278">
        <f t="shared" si="50"/>
        <v>18.623004444444437</v>
      </c>
      <c r="H278">
        <f t="shared" si="50"/>
        <v>18.548799444444438</v>
      </c>
      <c r="I278">
        <f t="shared" si="50"/>
        <v>18.474594444444435</v>
      </c>
      <c r="J278">
        <f t="shared" si="50"/>
        <v>18.400389444444436</v>
      </c>
      <c r="K278">
        <f t="shared" si="50"/>
        <v>18.326184444444436</v>
      </c>
      <c r="L278">
        <f t="shared" si="50"/>
        <v>18.251979444444437</v>
      </c>
      <c r="M278">
        <f t="shared" si="50"/>
        <v>18.177774444444434</v>
      </c>
      <c r="N278">
        <f t="shared" si="50"/>
        <v>18.103569444444435</v>
      </c>
      <c r="O278">
        <f t="shared" si="50"/>
        <v>18.029364444444436</v>
      </c>
      <c r="P278">
        <f t="shared" si="50"/>
        <v>17.955159444444437</v>
      </c>
      <c r="Q278">
        <f t="shared" si="50"/>
        <v>17.880954444444434</v>
      </c>
      <c r="R278">
        <f t="shared" si="50"/>
        <v>17.806749444444435</v>
      </c>
      <c r="S278">
        <f t="shared" si="50"/>
        <v>17.732544444444436</v>
      </c>
      <c r="T278">
        <f t="shared" si="50"/>
        <v>17.658339444444437</v>
      </c>
      <c r="U278">
        <f t="shared" si="48"/>
        <v>17.584134444444437</v>
      </c>
      <c r="V278">
        <f t="shared" si="48"/>
        <v>17.509929444444435</v>
      </c>
      <c r="W278">
        <f t="shared" si="48"/>
        <v>17.435724444444435</v>
      </c>
      <c r="X278">
        <f t="shared" si="48"/>
        <v>17.361519444444436</v>
      </c>
      <c r="Y278">
        <f t="shared" si="48"/>
        <v>17.287314444444434</v>
      </c>
      <c r="Z278">
        <f t="shared" si="48"/>
        <v>17.213109444444434</v>
      </c>
      <c r="AA278">
        <f t="shared" si="48"/>
        <v>17.138904444444435</v>
      </c>
      <c r="AB278">
        <f t="shared" si="48"/>
        <v>17.064699444444436</v>
      </c>
      <c r="AC278">
        <f t="shared" si="48"/>
        <v>16.990494444444437</v>
      </c>
      <c r="AD278">
        <f t="shared" si="48"/>
        <v>15.654804444444437</v>
      </c>
    </row>
    <row r="279" spans="2:30" x14ac:dyDescent="0.2">
      <c r="B279" s="7">
        <v>44848</v>
      </c>
      <c r="C279" s="8">
        <v>15.628472222222218</v>
      </c>
      <c r="D279">
        <f t="shared" si="47"/>
        <v>18.904647222222216</v>
      </c>
      <c r="E279">
        <f t="shared" si="50"/>
        <v>18.830442222222217</v>
      </c>
      <c r="F279">
        <f t="shared" si="50"/>
        <v>18.756237222222218</v>
      </c>
      <c r="G279">
        <f t="shared" si="50"/>
        <v>18.682032222222219</v>
      </c>
      <c r="H279">
        <f t="shared" si="50"/>
        <v>18.60782722222222</v>
      </c>
      <c r="I279">
        <f t="shared" si="50"/>
        <v>18.533622222222217</v>
      </c>
      <c r="J279">
        <f t="shared" si="50"/>
        <v>18.459417222222218</v>
      </c>
      <c r="K279">
        <f t="shared" si="50"/>
        <v>18.385212222222219</v>
      </c>
      <c r="L279">
        <f t="shared" si="50"/>
        <v>18.311007222222219</v>
      </c>
      <c r="M279">
        <f t="shared" si="50"/>
        <v>18.236802222222217</v>
      </c>
      <c r="N279">
        <f t="shared" si="50"/>
        <v>18.162597222222217</v>
      </c>
      <c r="O279">
        <f t="shared" si="50"/>
        <v>18.088392222222218</v>
      </c>
      <c r="P279">
        <f t="shared" si="50"/>
        <v>18.014187222222219</v>
      </c>
      <c r="Q279">
        <f t="shared" si="50"/>
        <v>17.93998222222222</v>
      </c>
      <c r="R279">
        <f t="shared" si="50"/>
        <v>17.865777222222217</v>
      </c>
      <c r="S279">
        <f t="shared" si="50"/>
        <v>17.791572222222218</v>
      </c>
      <c r="T279">
        <f t="shared" si="50"/>
        <v>17.717367222222219</v>
      </c>
      <c r="U279">
        <f t="shared" si="48"/>
        <v>17.643162222222216</v>
      </c>
      <c r="V279">
        <f t="shared" si="48"/>
        <v>17.568957222222217</v>
      </c>
      <c r="W279">
        <f t="shared" si="48"/>
        <v>17.494752222222218</v>
      </c>
      <c r="X279">
        <f t="shared" si="48"/>
        <v>17.420547222222218</v>
      </c>
      <c r="Y279">
        <f t="shared" si="48"/>
        <v>17.346342222222219</v>
      </c>
      <c r="Z279">
        <f t="shared" si="48"/>
        <v>17.272137222222216</v>
      </c>
      <c r="AA279">
        <f t="shared" si="48"/>
        <v>17.197932222222217</v>
      </c>
      <c r="AB279">
        <f t="shared" si="48"/>
        <v>17.123727222222218</v>
      </c>
      <c r="AC279">
        <f t="shared" si="48"/>
        <v>17.049522222222215</v>
      </c>
      <c r="AD279">
        <f t="shared" si="48"/>
        <v>15.713832222222219</v>
      </c>
    </row>
    <row r="280" spans="2:30" x14ac:dyDescent="0.2">
      <c r="B280" s="7">
        <v>44849</v>
      </c>
      <c r="C280" s="8">
        <v>16.476388888888881</v>
      </c>
      <c r="D280">
        <f t="shared" si="47"/>
        <v>19.752563888888879</v>
      </c>
      <c r="E280">
        <f t="shared" si="50"/>
        <v>19.67835888888888</v>
      </c>
      <c r="F280">
        <f t="shared" si="50"/>
        <v>19.604153888888881</v>
      </c>
      <c r="G280">
        <f t="shared" si="50"/>
        <v>19.529948888888882</v>
      </c>
      <c r="H280">
        <f t="shared" si="50"/>
        <v>19.455743888888883</v>
      </c>
      <c r="I280">
        <f t="shared" si="50"/>
        <v>19.38153888888888</v>
      </c>
      <c r="J280">
        <f t="shared" si="50"/>
        <v>19.307333888888881</v>
      </c>
      <c r="K280">
        <f t="shared" si="50"/>
        <v>19.233128888888881</v>
      </c>
      <c r="L280">
        <f t="shared" si="50"/>
        <v>19.158923888888882</v>
      </c>
      <c r="M280">
        <f t="shared" si="50"/>
        <v>19.084718888888879</v>
      </c>
      <c r="N280">
        <f t="shared" si="50"/>
        <v>19.01051388888888</v>
      </c>
      <c r="O280">
        <f t="shared" si="50"/>
        <v>18.936308888888881</v>
      </c>
      <c r="P280">
        <f t="shared" si="50"/>
        <v>18.862103888888882</v>
      </c>
      <c r="Q280">
        <f t="shared" si="50"/>
        <v>18.787898888888883</v>
      </c>
      <c r="R280">
        <f t="shared" si="50"/>
        <v>18.71369388888888</v>
      </c>
      <c r="S280">
        <f t="shared" si="50"/>
        <v>18.639488888888881</v>
      </c>
      <c r="T280">
        <f t="shared" si="50"/>
        <v>18.565283888888882</v>
      </c>
      <c r="U280">
        <f t="shared" si="48"/>
        <v>18.491078888888879</v>
      </c>
      <c r="V280">
        <f t="shared" si="48"/>
        <v>18.41687388888888</v>
      </c>
      <c r="W280">
        <f t="shared" si="48"/>
        <v>18.34266888888888</v>
      </c>
      <c r="X280">
        <f t="shared" si="48"/>
        <v>18.268463888888881</v>
      </c>
      <c r="Y280">
        <f t="shared" si="48"/>
        <v>18.194258888888882</v>
      </c>
      <c r="Z280">
        <f t="shared" si="48"/>
        <v>18.120053888888879</v>
      </c>
      <c r="AA280">
        <f t="shared" si="48"/>
        <v>18.04584888888888</v>
      </c>
      <c r="AB280">
        <f t="shared" si="48"/>
        <v>17.971643888888881</v>
      </c>
      <c r="AC280">
        <f t="shared" si="48"/>
        <v>17.897438888888878</v>
      </c>
      <c r="AD280">
        <f t="shared" si="48"/>
        <v>16.561748888888882</v>
      </c>
    </row>
    <row r="281" spans="2:30" x14ac:dyDescent="0.2">
      <c r="B281" s="7">
        <v>44850</v>
      </c>
      <c r="C281" s="8">
        <v>17.213194444444436</v>
      </c>
      <c r="D281">
        <f t="shared" si="47"/>
        <v>20.489369444444435</v>
      </c>
      <c r="E281">
        <f t="shared" si="50"/>
        <v>20.415164444444436</v>
      </c>
      <c r="F281">
        <f t="shared" si="50"/>
        <v>20.340959444444437</v>
      </c>
      <c r="G281">
        <f t="shared" si="50"/>
        <v>20.266754444444437</v>
      </c>
      <c r="H281">
        <f t="shared" si="50"/>
        <v>20.192549444444438</v>
      </c>
      <c r="I281">
        <f t="shared" si="50"/>
        <v>20.118344444444435</v>
      </c>
      <c r="J281">
        <f t="shared" si="50"/>
        <v>20.044139444444436</v>
      </c>
      <c r="K281">
        <f t="shared" si="50"/>
        <v>19.969934444444437</v>
      </c>
      <c r="L281">
        <f t="shared" si="50"/>
        <v>19.895729444444438</v>
      </c>
      <c r="M281">
        <f t="shared" si="50"/>
        <v>19.821524444444435</v>
      </c>
      <c r="N281">
        <f t="shared" si="50"/>
        <v>19.747319444444436</v>
      </c>
      <c r="O281">
        <f t="shared" si="50"/>
        <v>19.673114444444437</v>
      </c>
      <c r="P281">
        <f t="shared" si="50"/>
        <v>19.598909444444438</v>
      </c>
      <c r="Q281">
        <f t="shared" si="50"/>
        <v>19.524704444444438</v>
      </c>
      <c r="R281">
        <f t="shared" si="50"/>
        <v>19.450499444444436</v>
      </c>
      <c r="S281">
        <f t="shared" si="50"/>
        <v>19.376294444444436</v>
      </c>
      <c r="T281">
        <f t="shared" si="50"/>
        <v>19.302089444444437</v>
      </c>
      <c r="U281">
        <f t="shared" si="48"/>
        <v>19.227884444444435</v>
      </c>
      <c r="V281">
        <f t="shared" si="48"/>
        <v>19.153679444444435</v>
      </c>
      <c r="W281">
        <f t="shared" si="48"/>
        <v>19.079474444444436</v>
      </c>
      <c r="X281">
        <f t="shared" si="48"/>
        <v>19.005269444444437</v>
      </c>
      <c r="Y281">
        <f t="shared" si="48"/>
        <v>18.931064444444438</v>
      </c>
      <c r="Z281">
        <f t="shared" si="48"/>
        <v>18.856859444444435</v>
      </c>
      <c r="AA281">
        <f t="shared" si="48"/>
        <v>18.782654444444436</v>
      </c>
      <c r="AB281">
        <f t="shared" si="48"/>
        <v>18.708449444444437</v>
      </c>
      <c r="AC281">
        <f t="shared" si="48"/>
        <v>18.634244444444434</v>
      </c>
      <c r="AD281">
        <f t="shared" si="48"/>
        <v>17.298554444444438</v>
      </c>
    </row>
    <row r="282" spans="2:30" x14ac:dyDescent="0.2">
      <c r="B282" s="7">
        <v>44851</v>
      </c>
      <c r="C282" s="8">
        <v>17.549999999999997</v>
      </c>
      <c r="D282">
        <f t="shared" si="47"/>
        <v>20.826174999999999</v>
      </c>
      <c r="E282">
        <f t="shared" si="50"/>
        <v>20.751969999999996</v>
      </c>
      <c r="F282">
        <f t="shared" si="50"/>
        <v>20.677764999999997</v>
      </c>
      <c r="G282">
        <f t="shared" si="50"/>
        <v>20.603559999999998</v>
      </c>
      <c r="H282">
        <f t="shared" si="50"/>
        <v>20.529354999999999</v>
      </c>
      <c r="I282">
        <f t="shared" si="50"/>
        <v>20.455149999999996</v>
      </c>
      <c r="J282">
        <f t="shared" si="50"/>
        <v>20.380944999999997</v>
      </c>
      <c r="K282">
        <f t="shared" si="50"/>
        <v>20.306739999999998</v>
      </c>
      <c r="L282">
        <f t="shared" si="50"/>
        <v>20.232534999999999</v>
      </c>
      <c r="M282">
        <f t="shared" si="50"/>
        <v>20.158329999999996</v>
      </c>
      <c r="N282">
        <f t="shared" si="50"/>
        <v>20.084124999999997</v>
      </c>
      <c r="O282">
        <f t="shared" si="50"/>
        <v>20.009919999999997</v>
      </c>
      <c r="P282">
        <f t="shared" si="50"/>
        <v>19.935714999999998</v>
      </c>
      <c r="Q282">
        <f t="shared" si="50"/>
        <v>19.861509999999996</v>
      </c>
      <c r="R282">
        <f t="shared" si="50"/>
        <v>19.787304999999996</v>
      </c>
      <c r="S282">
        <f t="shared" si="50"/>
        <v>19.713099999999997</v>
      </c>
      <c r="T282">
        <f t="shared" si="50"/>
        <v>19.638894999999998</v>
      </c>
      <c r="U282">
        <f t="shared" si="48"/>
        <v>19.564689999999999</v>
      </c>
      <c r="V282">
        <f t="shared" si="48"/>
        <v>19.490484999999996</v>
      </c>
      <c r="W282">
        <f t="shared" si="48"/>
        <v>19.416279999999997</v>
      </c>
      <c r="X282">
        <f t="shared" si="48"/>
        <v>19.342074999999998</v>
      </c>
      <c r="Y282">
        <f t="shared" si="48"/>
        <v>19.267869999999995</v>
      </c>
      <c r="Z282">
        <f t="shared" si="48"/>
        <v>19.193664999999996</v>
      </c>
      <c r="AA282">
        <f t="shared" si="48"/>
        <v>19.119459999999997</v>
      </c>
      <c r="AB282">
        <f t="shared" si="48"/>
        <v>19.045254999999997</v>
      </c>
      <c r="AC282">
        <f t="shared" si="48"/>
        <v>18.971049999999998</v>
      </c>
      <c r="AD282">
        <f t="shared" si="48"/>
        <v>17.635359999999999</v>
      </c>
    </row>
    <row r="283" spans="2:30" x14ac:dyDescent="0.2">
      <c r="B283" s="7">
        <v>44852</v>
      </c>
      <c r="C283" s="8">
        <v>17.350694444444436</v>
      </c>
      <c r="D283">
        <f t="shared" si="47"/>
        <v>20.626869444444438</v>
      </c>
      <c r="E283">
        <f t="shared" si="50"/>
        <v>20.552664444444435</v>
      </c>
      <c r="F283">
        <f t="shared" si="50"/>
        <v>20.478459444444436</v>
      </c>
      <c r="G283">
        <f t="shared" si="50"/>
        <v>20.404254444444437</v>
      </c>
      <c r="H283">
        <f t="shared" si="50"/>
        <v>20.330049444444438</v>
      </c>
      <c r="I283">
        <f t="shared" si="50"/>
        <v>20.255844444444435</v>
      </c>
      <c r="J283">
        <f t="shared" si="50"/>
        <v>20.181639444444436</v>
      </c>
      <c r="K283">
        <f t="shared" si="50"/>
        <v>20.107434444444436</v>
      </c>
      <c r="L283">
        <f t="shared" si="50"/>
        <v>20.033229444444437</v>
      </c>
      <c r="M283">
        <f t="shared" si="50"/>
        <v>19.959024444444434</v>
      </c>
      <c r="N283">
        <f t="shared" si="50"/>
        <v>19.884819444444435</v>
      </c>
      <c r="O283">
        <f t="shared" si="50"/>
        <v>19.810614444444436</v>
      </c>
      <c r="P283">
        <f t="shared" si="50"/>
        <v>19.736409444444437</v>
      </c>
      <c r="Q283">
        <f t="shared" si="50"/>
        <v>19.662204444444434</v>
      </c>
      <c r="R283">
        <f t="shared" si="50"/>
        <v>19.587999444444435</v>
      </c>
      <c r="S283">
        <f t="shared" si="50"/>
        <v>19.513794444444436</v>
      </c>
      <c r="T283">
        <f t="shared" si="50"/>
        <v>19.439589444444437</v>
      </c>
      <c r="U283">
        <f t="shared" si="48"/>
        <v>19.365384444444437</v>
      </c>
      <c r="V283">
        <f t="shared" si="48"/>
        <v>19.291179444444435</v>
      </c>
      <c r="W283">
        <f t="shared" si="48"/>
        <v>19.216974444444435</v>
      </c>
      <c r="X283">
        <f t="shared" si="48"/>
        <v>19.142769444444436</v>
      </c>
      <c r="Y283">
        <f t="shared" si="48"/>
        <v>19.068564444444434</v>
      </c>
      <c r="Z283">
        <f t="shared" si="48"/>
        <v>18.994359444444434</v>
      </c>
      <c r="AA283">
        <f t="shared" si="48"/>
        <v>18.920154444444435</v>
      </c>
      <c r="AB283">
        <f t="shared" si="48"/>
        <v>18.845949444444436</v>
      </c>
      <c r="AC283">
        <f t="shared" si="48"/>
        <v>18.771744444444437</v>
      </c>
      <c r="AD283">
        <f t="shared" si="48"/>
        <v>17.436054444444437</v>
      </c>
    </row>
    <row r="284" spans="2:30" x14ac:dyDescent="0.2">
      <c r="B284" s="7">
        <v>44853</v>
      </c>
      <c r="C284" s="8">
        <v>15.425694444444439</v>
      </c>
      <c r="D284">
        <f t="shared" si="47"/>
        <v>18.701869444444441</v>
      </c>
      <c r="E284">
        <f t="shared" si="50"/>
        <v>18.627664444444438</v>
      </c>
      <c r="F284">
        <f t="shared" si="50"/>
        <v>18.553459444444439</v>
      </c>
      <c r="G284">
        <f t="shared" si="50"/>
        <v>18.47925444444444</v>
      </c>
      <c r="H284">
        <f t="shared" si="50"/>
        <v>18.40504944444444</v>
      </c>
      <c r="I284">
        <f t="shared" si="50"/>
        <v>18.330844444444438</v>
      </c>
      <c r="J284">
        <f t="shared" si="50"/>
        <v>18.256639444444438</v>
      </c>
      <c r="K284">
        <f t="shared" si="50"/>
        <v>18.182434444444439</v>
      </c>
      <c r="L284">
        <f t="shared" si="50"/>
        <v>18.10822944444444</v>
      </c>
      <c r="M284">
        <f t="shared" si="50"/>
        <v>18.034024444444437</v>
      </c>
      <c r="N284">
        <f t="shared" si="50"/>
        <v>17.959819444444438</v>
      </c>
      <c r="O284">
        <f t="shared" si="50"/>
        <v>17.885614444444439</v>
      </c>
      <c r="P284">
        <f t="shared" si="50"/>
        <v>17.81140944444444</v>
      </c>
      <c r="Q284">
        <f t="shared" si="50"/>
        <v>17.737204444444437</v>
      </c>
      <c r="R284">
        <f t="shared" si="50"/>
        <v>17.662999444444438</v>
      </c>
      <c r="S284">
        <f t="shared" si="50"/>
        <v>17.588794444444439</v>
      </c>
      <c r="T284">
        <f t="shared" si="50"/>
        <v>17.514589444444439</v>
      </c>
      <c r="U284">
        <f t="shared" si="48"/>
        <v>17.44038444444444</v>
      </c>
      <c r="V284">
        <f t="shared" si="48"/>
        <v>17.366179444444438</v>
      </c>
      <c r="W284">
        <f t="shared" si="48"/>
        <v>17.291974444444438</v>
      </c>
      <c r="X284">
        <f t="shared" si="48"/>
        <v>17.217769444444439</v>
      </c>
      <c r="Y284">
        <f t="shared" si="48"/>
        <v>17.143564444444436</v>
      </c>
      <c r="Z284">
        <f t="shared" si="48"/>
        <v>17.069359444444437</v>
      </c>
      <c r="AA284">
        <f t="shared" si="48"/>
        <v>16.995154444444438</v>
      </c>
      <c r="AB284">
        <f t="shared" si="48"/>
        <v>16.920949444444439</v>
      </c>
      <c r="AC284">
        <f t="shared" si="48"/>
        <v>16.84674444444444</v>
      </c>
      <c r="AD284">
        <f t="shared" si="48"/>
        <v>15.51105444444444</v>
      </c>
    </row>
    <row r="285" spans="2:30" x14ac:dyDescent="0.2">
      <c r="B285" s="7">
        <v>44854</v>
      </c>
      <c r="C285" s="8">
        <v>14.044444444444451</v>
      </c>
      <c r="D285">
        <f t="shared" si="47"/>
        <v>17.320619444444453</v>
      </c>
      <c r="E285">
        <f t="shared" si="50"/>
        <v>17.246414444444451</v>
      </c>
      <c r="F285">
        <f t="shared" si="50"/>
        <v>17.172209444444452</v>
      </c>
      <c r="G285">
        <f t="shared" si="50"/>
        <v>17.098004444444452</v>
      </c>
      <c r="H285">
        <f t="shared" si="50"/>
        <v>17.023799444444453</v>
      </c>
      <c r="I285">
        <f t="shared" si="50"/>
        <v>16.94959444444445</v>
      </c>
      <c r="J285">
        <f t="shared" si="50"/>
        <v>16.875389444444451</v>
      </c>
      <c r="K285">
        <f t="shared" si="50"/>
        <v>16.801184444444452</v>
      </c>
      <c r="L285">
        <f t="shared" si="50"/>
        <v>16.726979444444453</v>
      </c>
      <c r="M285">
        <f t="shared" si="50"/>
        <v>16.65277444444445</v>
      </c>
      <c r="N285">
        <f t="shared" si="50"/>
        <v>16.578569444444451</v>
      </c>
      <c r="O285">
        <f t="shared" si="50"/>
        <v>16.504364444444452</v>
      </c>
      <c r="P285">
        <f t="shared" si="50"/>
        <v>16.430159444444453</v>
      </c>
      <c r="Q285">
        <f t="shared" si="50"/>
        <v>16.35595444444445</v>
      </c>
      <c r="R285">
        <f t="shared" si="50"/>
        <v>16.281749444444451</v>
      </c>
      <c r="S285">
        <f t="shared" si="50"/>
        <v>16.207544444444451</v>
      </c>
      <c r="T285">
        <f t="shared" si="50"/>
        <v>16.133339444444452</v>
      </c>
      <c r="U285">
        <f t="shared" si="48"/>
        <v>16.059134444444453</v>
      </c>
      <c r="V285">
        <f t="shared" si="48"/>
        <v>15.98492944444445</v>
      </c>
      <c r="W285">
        <f t="shared" si="48"/>
        <v>15.910724444444451</v>
      </c>
      <c r="X285">
        <f t="shared" si="48"/>
        <v>15.836519444444452</v>
      </c>
      <c r="Y285">
        <f t="shared" si="48"/>
        <v>15.762314444444451</v>
      </c>
      <c r="Z285">
        <f t="shared" si="48"/>
        <v>15.68810944444445</v>
      </c>
      <c r="AA285">
        <f t="shared" si="48"/>
        <v>15.613904444444451</v>
      </c>
      <c r="AB285">
        <f t="shared" si="48"/>
        <v>15.539699444444452</v>
      </c>
      <c r="AC285">
        <f t="shared" si="48"/>
        <v>15.465494444444451</v>
      </c>
      <c r="AD285">
        <f t="shared" si="48"/>
        <v>14.129804444444453</v>
      </c>
    </row>
    <row r="286" spans="2:30" x14ac:dyDescent="0.2">
      <c r="B286" s="7">
        <v>44855</v>
      </c>
      <c r="C286" s="8">
        <v>16.363888888888884</v>
      </c>
      <c r="D286">
        <f t="shared" si="47"/>
        <v>19.640063888888882</v>
      </c>
      <c r="E286">
        <f t="shared" si="50"/>
        <v>19.565858888888883</v>
      </c>
      <c r="F286">
        <f t="shared" si="50"/>
        <v>19.491653888888884</v>
      </c>
      <c r="G286">
        <f t="shared" si="50"/>
        <v>19.417448888888885</v>
      </c>
      <c r="H286">
        <f t="shared" si="50"/>
        <v>19.343243888888885</v>
      </c>
      <c r="I286">
        <f t="shared" si="50"/>
        <v>19.269038888888883</v>
      </c>
      <c r="J286">
        <f t="shared" si="50"/>
        <v>19.194833888888883</v>
      </c>
      <c r="K286">
        <f t="shared" si="50"/>
        <v>19.120628888888884</v>
      </c>
      <c r="L286">
        <f t="shared" si="50"/>
        <v>19.046423888888885</v>
      </c>
      <c r="M286">
        <f t="shared" si="50"/>
        <v>18.972218888888882</v>
      </c>
      <c r="N286">
        <f t="shared" si="50"/>
        <v>18.898013888888883</v>
      </c>
      <c r="O286">
        <f t="shared" si="50"/>
        <v>18.823808888888884</v>
      </c>
      <c r="P286">
        <f t="shared" si="50"/>
        <v>18.749603888888885</v>
      </c>
      <c r="Q286">
        <f t="shared" si="50"/>
        <v>18.675398888888886</v>
      </c>
      <c r="R286">
        <f t="shared" si="50"/>
        <v>18.601193888888883</v>
      </c>
      <c r="S286">
        <f t="shared" si="50"/>
        <v>18.526988888888884</v>
      </c>
      <c r="T286">
        <f t="shared" si="50"/>
        <v>18.452783888888884</v>
      </c>
      <c r="U286">
        <f t="shared" si="48"/>
        <v>18.378578888888882</v>
      </c>
      <c r="V286">
        <f t="shared" si="48"/>
        <v>18.304373888888883</v>
      </c>
      <c r="W286">
        <f t="shared" si="48"/>
        <v>18.230168888888883</v>
      </c>
      <c r="X286">
        <f t="shared" si="48"/>
        <v>18.155963888888884</v>
      </c>
      <c r="Y286">
        <f t="shared" si="48"/>
        <v>18.081758888888885</v>
      </c>
      <c r="Z286">
        <f t="shared" si="48"/>
        <v>18.007553888888882</v>
      </c>
      <c r="AA286">
        <f t="shared" si="48"/>
        <v>17.933348888888883</v>
      </c>
      <c r="AB286">
        <f t="shared" si="48"/>
        <v>17.859143888888884</v>
      </c>
      <c r="AC286">
        <f t="shared" si="48"/>
        <v>17.784938888888881</v>
      </c>
      <c r="AD286">
        <f t="shared" si="48"/>
        <v>16.449248888888885</v>
      </c>
    </row>
    <row r="287" spans="2:30" x14ac:dyDescent="0.2">
      <c r="B287" s="7">
        <v>44856</v>
      </c>
      <c r="C287" s="8">
        <v>17.415277777777778</v>
      </c>
      <c r="D287">
        <f t="shared" si="47"/>
        <v>20.691452777777776</v>
      </c>
      <c r="E287">
        <f t="shared" si="50"/>
        <v>20.617247777777777</v>
      </c>
      <c r="F287">
        <f t="shared" si="50"/>
        <v>20.543042777777778</v>
      </c>
      <c r="G287">
        <f t="shared" si="50"/>
        <v>20.468837777777779</v>
      </c>
      <c r="H287">
        <f t="shared" si="50"/>
        <v>20.39463277777778</v>
      </c>
      <c r="I287">
        <f t="shared" si="50"/>
        <v>20.320427777777777</v>
      </c>
      <c r="J287">
        <f t="shared" si="50"/>
        <v>20.246222777777778</v>
      </c>
      <c r="K287">
        <f t="shared" si="50"/>
        <v>20.172017777777778</v>
      </c>
      <c r="L287">
        <f t="shared" si="50"/>
        <v>20.097812777777779</v>
      </c>
      <c r="M287">
        <f t="shared" si="50"/>
        <v>20.023607777777777</v>
      </c>
      <c r="N287">
        <f t="shared" si="50"/>
        <v>19.949402777777777</v>
      </c>
      <c r="O287">
        <f t="shared" si="50"/>
        <v>19.875197777777778</v>
      </c>
      <c r="P287">
        <f t="shared" si="50"/>
        <v>19.800992777777779</v>
      </c>
      <c r="Q287">
        <f t="shared" si="50"/>
        <v>19.72678777777778</v>
      </c>
      <c r="R287">
        <f t="shared" si="50"/>
        <v>19.652582777777777</v>
      </c>
      <c r="S287">
        <f t="shared" si="50"/>
        <v>19.578377777777778</v>
      </c>
      <c r="T287">
        <f t="shared" si="50"/>
        <v>19.504172777777779</v>
      </c>
      <c r="U287">
        <f t="shared" si="48"/>
        <v>19.429967777777776</v>
      </c>
      <c r="V287">
        <f t="shared" si="48"/>
        <v>19.355762777777777</v>
      </c>
      <c r="W287">
        <f t="shared" si="48"/>
        <v>19.281557777777778</v>
      </c>
      <c r="X287">
        <f t="shared" si="48"/>
        <v>19.207352777777778</v>
      </c>
      <c r="Y287">
        <f t="shared" si="48"/>
        <v>19.133147777777779</v>
      </c>
      <c r="Z287">
        <f t="shared" si="48"/>
        <v>19.058942777777776</v>
      </c>
      <c r="AA287">
        <f t="shared" si="48"/>
        <v>18.984737777777777</v>
      </c>
      <c r="AB287">
        <f t="shared" si="48"/>
        <v>18.910532777777778</v>
      </c>
      <c r="AC287">
        <f t="shared" si="48"/>
        <v>18.836327777777775</v>
      </c>
      <c r="AD287">
        <f t="shared" si="48"/>
        <v>17.500637777777779</v>
      </c>
    </row>
    <row r="288" spans="2:30" x14ac:dyDescent="0.2">
      <c r="B288" s="7">
        <v>44857</v>
      </c>
      <c r="C288" s="8">
        <v>17.019444444444435</v>
      </c>
      <c r="D288">
        <f t="shared" si="47"/>
        <v>20.295619444444434</v>
      </c>
      <c r="E288">
        <f t="shared" si="50"/>
        <v>20.221414444444434</v>
      </c>
      <c r="F288">
        <f t="shared" si="50"/>
        <v>20.147209444444435</v>
      </c>
      <c r="G288">
        <f t="shared" si="50"/>
        <v>20.073004444444436</v>
      </c>
      <c r="H288">
        <f t="shared" si="50"/>
        <v>19.998799444444437</v>
      </c>
      <c r="I288">
        <f t="shared" si="50"/>
        <v>19.924594444444434</v>
      </c>
      <c r="J288">
        <f t="shared" si="50"/>
        <v>19.850389444444435</v>
      </c>
      <c r="K288">
        <f t="shared" si="50"/>
        <v>19.776184444444436</v>
      </c>
      <c r="L288">
        <f t="shared" si="50"/>
        <v>19.701979444444436</v>
      </c>
      <c r="M288">
        <f t="shared" si="50"/>
        <v>19.627774444444434</v>
      </c>
      <c r="N288">
        <f t="shared" si="50"/>
        <v>19.553569444444435</v>
      </c>
      <c r="O288">
        <f t="shared" si="50"/>
        <v>19.479364444444435</v>
      </c>
      <c r="P288">
        <f t="shared" si="50"/>
        <v>19.405159444444436</v>
      </c>
      <c r="Q288">
        <f t="shared" si="50"/>
        <v>19.330954444444437</v>
      </c>
      <c r="R288">
        <f t="shared" si="50"/>
        <v>19.256749444444434</v>
      </c>
      <c r="S288">
        <f t="shared" si="50"/>
        <v>19.182544444444435</v>
      </c>
      <c r="T288">
        <f t="shared" si="50"/>
        <v>19.108339444444436</v>
      </c>
      <c r="U288">
        <f t="shared" si="48"/>
        <v>19.034134444444433</v>
      </c>
      <c r="V288">
        <f t="shared" si="48"/>
        <v>18.959929444444434</v>
      </c>
      <c r="W288">
        <f t="shared" si="48"/>
        <v>18.885724444444435</v>
      </c>
      <c r="X288">
        <f t="shared" si="48"/>
        <v>18.811519444444436</v>
      </c>
      <c r="Y288">
        <f t="shared" si="48"/>
        <v>18.737314444444436</v>
      </c>
      <c r="Z288">
        <f t="shared" ref="U288:AD313" si="51">(-1.4841*Z$3+3.6472)+$C288</f>
        <v>18.663109444444434</v>
      </c>
      <c r="AA288">
        <f t="shared" si="51"/>
        <v>18.588904444444434</v>
      </c>
      <c r="AB288">
        <f t="shared" si="51"/>
        <v>18.514699444444435</v>
      </c>
      <c r="AC288">
        <f t="shared" si="51"/>
        <v>18.440494444444433</v>
      </c>
      <c r="AD288">
        <f t="shared" si="51"/>
        <v>17.104804444444436</v>
      </c>
    </row>
    <row r="289" spans="2:30" x14ac:dyDescent="0.2">
      <c r="B289" s="7">
        <v>44858</v>
      </c>
      <c r="C289" s="8">
        <v>17.154166666666658</v>
      </c>
      <c r="D289">
        <f t="shared" si="47"/>
        <v>20.430341666666656</v>
      </c>
      <c r="E289">
        <f t="shared" si="50"/>
        <v>20.356136666666657</v>
      </c>
      <c r="F289">
        <f t="shared" si="50"/>
        <v>20.281931666666658</v>
      </c>
      <c r="G289">
        <f t="shared" si="50"/>
        <v>20.207726666666659</v>
      </c>
      <c r="H289">
        <f t="shared" si="50"/>
        <v>20.13352166666666</v>
      </c>
      <c r="I289">
        <f t="shared" si="50"/>
        <v>20.059316666666657</v>
      </c>
      <c r="J289">
        <f t="shared" si="50"/>
        <v>19.985111666666658</v>
      </c>
      <c r="K289">
        <f t="shared" si="50"/>
        <v>19.910906666666659</v>
      </c>
      <c r="L289">
        <f t="shared" si="50"/>
        <v>19.836701666666659</v>
      </c>
      <c r="M289">
        <f t="shared" si="50"/>
        <v>19.762496666666657</v>
      </c>
      <c r="N289">
        <f t="shared" si="50"/>
        <v>19.688291666666657</v>
      </c>
      <c r="O289">
        <f t="shared" si="50"/>
        <v>19.614086666666658</v>
      </c>
      <c r="P289">
        <f t="shared" si="50"/>
        <v>19.539881666666659</v>
      </c>
      <c r="Q289">
        <f t="shared" si="50"/>
        <v>19.46567666666666</v>
      </c>
      <c r="R289">
        <f t="shared" si="50"/>
        <v>19.391471666666657</v>
      </c>
      <c r="S289">
        <f t="shared" si="50"/>
        <v>19.317266666666658</v>
      </c>
      <c r="T289">
        <f t="shared" si="50"/>
        <v>19.243061666666659</v>
      </c>
      <c r="U289">
        <f t="shared" si="51"/>
        <v>19.168856666666656</v>
      </c>
      <c r="V289">
        <f t="shared" si="51"/>
        <v>19.094651666666657</v>
      </c>
      <c r="W289">
        <f t="shared" si="51"/>
        <v>19.020446666666658</v>
      </c>
      <c r="X289">
        <f t="shared" si="51"/>
        <v>18.946241666666658</v>
      </c>
      <c r="Y289">
        <f t="shared" si="51"/>
        <v>18.872036666666659</v>
      </c>
      <c r="Z289">
        <f t="shared" si="51"/>
        <v>18.797831666666657</v>
      </c>
      <c r="AA289">
        <f t="shared" si="51"/>
        <v>18.723626666666657</v>
      </c>
      <c r="AB289">
        <f t="shared" si="51"/>
        <v>18.649421666666658</v>
      </c>
      <c r="AC289">
        <f t="shared" si="51"/>
        <v>18.575216666666655</v>
      </c>
      <c r="AD289">
        <f t="shared" si="51"/>
        <v>17.239526666666659</v>
      </c>
    </row>
    <row r="290" spans="2:30" x14ac:dyDescent="0.2">
      <c r="B290" s="7">
        <v>44859</v>
      </c>
      <c r="C290" s="8">
        <v>17.335416666666664</v>
      </c>
      <c r="D290">
        <f t="shared" si="47"/>
        <v>20.611591666666662</v>
      </c>
      <c r="E290">
        <f t="shared" si="50"/>
        <v>20.537386666666663</v>
      </c>
      <c r="F290">
        <f t="shared" si="50"/>
        <v>20.463181666666664</v>
      </c>
      <c r="G290">
        <f t="shared" si="50"/>
        <v>20.388976666666665</v>
      </c>
      <c r="H290">
        <f t="shared" si="50"/>
        <v>20.314771666666665</v>
      </c>
      <c r="I290">
        <f t="shared" si="50"/>
        <v>20.240566666666663</v>
      </c>
      <c r="J290">
        <f t="shared" si="50"/>
        <v>20.166361666666663</v>
      </c>
      <c r="K290">
        <f t="shared" si="50"/>
        <v>20.092156666666664</v>
      </c>
      <c r="L290">
        <f t="shared" si="50"/>
        <v>20.017951666666665</v>
      </c>
      <c r="M290">
        <f t="shared" si="50"/>
        <v>19.943746666666662</v>
      </c>
      <c r="N290">
        <f t="shared" si="50"/>
        <v>19.869541666666663</v>
      </c>
      <c r="O290">
        <f t="shared" si="50"/>
        <v>19.795336666666664</v>
      </c>
      <c r="P290">
        <f t="shared" si="50"/>
        <v>19.721131666666665</v>
      </c>
      <c r="Q290">
        <f t="shared" si="50"/>
        <v>19.646926666666666</v>
      </c>
      <c r="R290">
        <f t="shared" si="50"/>
        <v>19.572721666666663</v>
      </c>
      <c r="S290">
        <f t="shared" si="50"/>
        <v>19.498516666666664</v>
      </c>
      <c r="T290">
        <f t="shared" si="50"/>
        <v>19.424311666666664</v>
      </c>
      <c r="U290">
        <f t="shared" si="51"/>
        <v>19.350106666666662</v>
      </c>
      <c r="V290">
        <f t="shared" si="51"/>
        <v>19.275901666666662</v>
      </c>
      <c r="W290">
        <f t="shared" si="51"/>
        <v>19.201696666666663</v>
      </c>
      <c r="X290">
        <f t="shared" si="51"/>
        <v>19.127491666666664</v>
      </c>
      <c r="Y290">
        <f t="shared" si="51"/>
        <v>19.053286666666665</v>
      </c>
      <c r="Z290">
        <f t="shared" si="51"/>
        <v>18.979081666666662</v>
      </c>
      <c r="AA290">
        <f t="shared" si="51"/>
        <v>18.904876666666663</v>
      </c>
      <c r="AB290">
        <f t="shared" si="51"/>
        <v>18.830671666666664</v>
      </c>
      <c r="AC290">
        <f t="shared" si="51"/>
        <v>18.756466666666661</v>
      </c>
      <c r="AD290">
        <f t="shared" si="51"/>
        <v>17.420776666666665</v>
      </c>
    </row>
    <row r="291" spans="2:30" x14ac:dyDescent="0.2">
      <c r="B291" s="7">
        <v>44860</v>
      </c>
      <c r="C291" s="8">
        <v>17.268055555555556</v>
      </c>
      <c r="D291">
        <f t="shared" si="47"/>
        <v>20.544230555555558</v>
      </c>
      <c r="E291">
        <f t="shared" si="50"/>
        <v>20.470025555555555</v>
      </c>
      <c r="F291">
        <f t="shared" si="50"/>
        <v>20.395820555555556</v>
      </c>
      <c r="G291">
        <f t="shared" si="50"/>
        <v>20.321615555555557</v>
      </c>
      <c r="H291">
        <f t="shared" si="50"/>
        <v>20.247410555555557</v>
      </c>
      <c r="I291">
        <f t="shared" si="50"/>
        <v>20.173205555555555</v>
      </c>
      <c r="J291">
        <f t="shared" si="50"/>
        <v>20.099000555555556</v>
      </c>
      <c r="K291">
        <f t="shared" si="50"/>
        <v>20.024795555555556</v>
      </c>
      <c r="L291">
        <f t="shared" si="50"/>
        <v>19.950590555555557</v>
      </c>
      <c r="M291">
        <f t="shared" si="50"/>
        <v>19.876385555555554</v>
      </c>
      <c r="N291">
        <f t="shared" si="50"/>
        <v>19.802180555555555</v>
      </c>
      <c r="O291">
        <f t="shared" si="50"/>
        <v>19.727975555555556</v>
      </c>
      <c r="P291">
        <f t="shared" si="50"/>
        <v>19.653770555555557</v>
      </c>
      <c r="Q291">
        <f t="shared" si="50"/>
        <v>19.579565555555554</v>
      </c>
      <c r="R291">
        <f t="shared" si="50"/>
        <v>19.505360555555555</v>
      </c>
      <c r="S291">
        <f t="shared" si="50"/>
        <v>19.431155555555556</v>
      </c>
      <c r="T291">
        <f t="shared" si="50"/>
        <v>19.356950555555557</v>
      </c>
      <c r="U291">
        <f t="shared" si="51"/>
        <v>19.282745555555557</v>
      </c>
      <c r="V291">
        <f t="shared" si="51"/>
        <v>19.208540555555555</v>
      </c>
      <c r="W291">
        <f t="shared" si="51"/>
        <v>19.134335555555555</v>
      </c>
      <c r="X291">
        <f t="shared" si="51"/>
        <v>19.060130555555556</v>
      </c>
      <c r="Y291">
        <f t="shared" si="51"/>
        <v>18.985925555555554</v>
      </c>
      <c r="Z291">
        <f t="shared" si="51"/>
        <v>18.911720555555554</v>
      </c>
      <c r="AA291">
        <f t="shared" si="51"/>
        <v>18.837515555555555</v>
      </c>
      <c r="AB291">
        <f t="shared" si="51"/>
        <v>18.763310555555556</v>
      </c>
      <c r="AC291">
        <f t="shared" si="51"/>
        <v>18.689105555555557</v>
      </c>
      <c r="AD291">
        <f t="shared" si="51"/>
        <v>17.353415555555557</v>
      </c>
    </row>
    <row r="292" spans="2:30" x14ac:dyDescent="0.2">
      <c r="B292" s="7">
        <v>44861</v>
      </c>
      <c r="C292" s="8">
        <v>17.636805555555547</v>
      </c>
      <c r="D292">
        <f t="shared" si="47"/>
        <v>20.912980555555549</v>
      </c>
      <c r="E292">
        <f t="shared" si="50"/>
        <v>20.838775555555547</v>
      </c>
      <c r="F292">
        <f t="shared" si="50"/>
        <v>20.764570555555547</v>
      </c>
      <c r="G292">
        <f t="shared" si="50"/>
        <v>20.690365555555548</v>
      </c>
      <c r="H292">
        <f t="shared" si="50"/>
        <v>20.616160555555549</v>
      </c>
      <c r="I292">
        <f t="shared" si="50"/>
        <v>20.541955555555546</v>
      </c>
      <c r="J292">
        <f t="shared" si="50"/>
        <v>20.467750555555547</v>
      </c>
      <c r="K292">
        <f t="shared" si="50"/>
        <v>20.393545555555548</v>
      </c>
      <c r="L292">
        <f t="shared" si="50"/>
        <v>20.319340555555549</v>
      </c>
      <c r="M292">
        <f t="shared" si="50"/>
        <v>20.245135555555546</v>
      </c>
      <c r="N292">
        <f t="shared" si="50"/>
        <v>20.170930555555547</v>
      </c>
      <c r="O292">
        <f t="shared" si="50"/>
        <v>20.096725555555548</v>
      </c>
      <c r="P292">
        <f t="shared" si="50"/>
        <v>20.022520555555548</v>
      </c>
      <c r="Q292">
        <f t="shared" si="50"/>
        <v>19.948315555555546</v>
      </c>
      <c r="R292">
        <f t="shared" si="50"/>
        <v>19.874110555555546</v>
      </c>
      <c r="S292">
        <f t="shared" si="50"/>
        <v>19.799905555555547</v>
      </c>
      <c r="T292">
        <f t="shared" ref="T292" si="52">(-1.4841*T$3+3.6472)+$C292</f>
        <v>19.725700555555548</v>
      </c>
      <c r="U292">
        <f t="shared" si="51"/>
        <v>19.651495555555549</v>
      </c>
      <c r="V292">
        <f t="shared" si="51"/>
        <v>19.577290555555546</v>
      </c>
      <c r="W292">
        <f t="shared" si="51"/>
        <v>19.503085555555547</v>
      </c>
      <c r="X292">
        <f t="shared" si="51"/>
        <v>19.428880555555548</v>
      </c>
      <c r="Y292">
        <f t="shared" si="51"/>
        <v>19.354675555555545</v>
      </c>
      <c r="Z292">
        <f t="shared" si="51"/>
        <v>19.280470555555546</v>
      </c>
      <c r="AA292">
        <f t="shared" si="51"/>
        <v>19.206265555555547</v>
      </c>
      <c r="AB292">
        <f t="shared" si="51"/>
        <v>19.132060555555547</v>
      </c>
      <c r="AC292">
        <f t="shared" si="51"/>
        <v>19.057855555555548</v>
      </c>
      <c r="AD292">
        <f t="shared" si="51"/>
        <v>17.722165555555549</v>
      </c>
    </row>
    <row r="293" spans="2:30" x14ac:dyDescent="0.2">
      <c r="B293" s="7">
        <v>44862</v>
      </c>
      <c r="C293" s="8">
        <v>17.974305555555549</v>
      </c>
      <c r="D293">
        <f t="shared" si="47"/>
        <v>21.250480555555548</v>
      </c>
      <c r="E293">
        <f t="shared" ref="E293:T308" si="53">(-1.4841*E$3+3.6472)+$C293</f>
        <v>21.176275555555549</v>
      </c>
      <c r="F293">
        <f t="shared" si="53"/>
        <v>21.102070555555549</v>
      </c>
      <c r="G293">
        <f t="shared" si="53"/>
        <v>21.02786555555555</v>
      </c>
      <c r="H293">
        <f t="shared" si="53"/>
        <v>20.953660555555551</v>
      </c>
      <c r="I293">
        <f t="shared" si="53"/>
        <v>20.879455555555548</v>
      </c>
      <c r="J293">
        <f t="shared" si="53"/>
        <v>20.805250555555549</v>
      </c>
      <c r="K293">
        <f t="shared" si="53"/>
        <v>20.73104555555555</v>
      </c>
      <c r="L293">
        <f t="shared" si="53"/>
        <v>20.656840555555551</v>
      </c>
      <c r="M293">
        <f t="shared" si="53"/>
        <v>20.582635555555548</v>
      </c>
      <c r="N293">
        <f t="shared" si="53"/>
        <v>20.508430555555549</v>
      </c>
      <c r="O293">
        <f t="shared" si="53"/>
        <v>20.43422555555555</v>
      </c>
      <c r="P293">
        <f t="shared" si="53"/>
        <v>20.36002055555555</v>
      </c>
      <c r="Q293">
        <f t="shared" si="53"/>
        <v>20.285815555555551</v>
      </c>
      <c r="R293">
        <f t="shared" si="53"/>
        <v>20.211610555555549</v>
      </c>
      <c r="S293">
        <f t="shared" si="53"/>
        <v>20.137405555555549</v>
      </c>
      <c r="T293">
        <f t="shared" si="53"/>
        <v>20.06320055555555</v>
      </c>
      <c r="U293">
        <f t="shared" si="51"/>
        <v>19.988995555555547</v>
      </c>
      <c r="V293">
        <f t="shared" si="51"/>
        <v>19.914790555555548</v>
      </c>
      <c r="W293">
        <f t="shared" si="51"/>
        <v>19.840585555555549</v>
      </c>
      <c r="X293">
        <f t="shared" si="51"/>
        <v>19.76638055555555</v>
      </c>
      <c r="Y293">
        <f t="shared" si="51"/>
        <v>19.692175555555551</v>
      </c>
      <c r="Z293">
        <f t="shared" si="51"/>
        <v>19.617970555555548</v>
      </c>
      <c r="AA293">
        <f t="shared" si="51"/>
        <v>19.543765555555549</v>
      </c>
      <c r="AB293">
        <f t="shared" si="51"/>
        <v>19.46956055555555</v>
      </c>
      <c r="AC293">
        <f t="shared" si="51"/>
        <v>19.395355555555547</v>
      </c>
      <c r="AD293">
        <f t="shared" si="51"/>
        <v>18.059665555555551</v>
      </c>
    </row>
    <row r="294" spans="2:30" x14ac:dyDescent="0.2">
      <c r="B294" s="7">
        <v>44863</v>
      </c>
      <c r="C294" s="8">
        <v>17.86527777777777</v>
      </c>
      <c r="D294">
        <f t="shared" si="47"/>
        <v>21.141452777777772</v>
      </c>
      <c r="E294">
        <f t="shared" si="53"/>
        <v>21.067247777777769</v>
      </c>
      <c r="F294">
        <f t="shared" si="53"/>
        <v>20.99304277777777</v>
      </c>
      <c r="G294">
        <f t="shared" si="53"/>
        <v>20.918837777777771</v>
      </c>
      <c r="H294">
        <f t="shared" si="53"/>
        <v>20.844632777777772</v>
      </c>
      <c r="I294">
        <f t="shared" si="53"/>
        <v>20.770427777777769</v>
      </c>
      <c r="J294">
        <f t="shared" si="53"/>
        <v>20.69622277777777</v>
      </c>
      <c r="K294">
        <f t="shared" si="53"/>
        <v>20.622017777777771</v>
      </c>
      <c r="L294">
        <f t="shared" si="53"/>
        <v>20.547812777777771</v>
      </c>
      <c r="M294">
        <f t="shared" si="53"/>
        <v>20.473607777777769</v>
      </c>
      <c r="N294">
        <f t="shared" si="53"/>
        <v>20.39940277777777</v>
      </c>
      <c r="O294">
        <f t="shared" si="53"/>
        <v>20.32519777777777</v>
      </c>
      <c r="P294">
        <f t="shared" si="53"/>
        <v>20.250992777777771</v>
      </c>
      <c r="Q294">
        <f t="shared" si="53"/>
        <v>20.176787777777768</v>
      </c>
      <c r="R294">
        <f t="shared" si="53"/>
        <v>20.102582777777769</v>
      </c>
      <c r="S294">
        <f t="shared" si="53"/>
        <v>20.02837777777777</v>
      </c>
      <c r="T294">
        <f t="shared" si="53"/>
        <v>19.954172777777771</v>
      </c>
      <c r="U294">
        <f t="shared" si="51"/>
        <v>19.879967777777772</v>
      </c>
      <c r="V294">
        <f t="shared" si="51"/>
        <v>19.805762777777769</v>
      </c>
      <c r="W294">
        <f t="shared" si="51"/>
        <v>19.73155777777777</v>
      </c>
      <c r="X294">
        <f t="shared" si="51"/>
        <v>19.657352777777771</v>
      </c>
      <c r="Y294">
        <f t="shared" si="51"/>
        <v>19.583147777777768</v>
      </c>
      <c r="Z294">
        <f t="shared" si="51"/>
        <v>19.508942777777769</v>
      </c>
      <c r="AA294">
        <f t="shared" si="51"/>
        <v>19.434737777777769</v>
      </c>
      <c r="AB294">
        <f t="shared" si="51"/>
        <v>19.36053277777777</v>
      </c>
      <c r="AC294">
        <f t="shared" si="51"/>
        <v>19.286327777777771</v>
      </c>
      <c r="AD294">
        <f t="shared" si="51"/>
        <v>17.950637777777771</v>
      </c>
    </row>
    <row r="295" spans="2:30" x14ac:dyDescent="0.2">
      <c r="B295" s="7">
        <v>44864</v>
      </c>
      <c r="C295" s="8">
        <v>17.647222222222215</v>
      </c>
      <c r="D295">
        <f t="shared" si="47"/>
        <v>20.923397222222214</v>
      </c>
      <c r="E295">
        <f t="shared" si="53"/>
        <v>20.849192222222214</v>
      </c>
      <c r="F295">
        <f t="shared" si="53"/>
        <v>20.774987222222215</v>
      </c>
      <c r="G295">
        <f t="shared" si="53"/>
        <v>20.700782222222216</v>
      </c>
      <c r="H295">
        <f t="shared" si="53"/>
        <v>20.626577222222217</v>
      </c>
      <c r="I295">
        <f t="shared" si="53"/>
        <v>20.552372222222214</v>
      </c>
      <c r="J295">
        <f t="shared" si="53"/>
        <v>20.478167222222215</v>
      </c>
      <c r="K295">
        <f t="shared" si="53"/>
        <v>20.403962222222216</v>
      </c>
      <c r="L295">
        <f t="shared" si="53"/>
        <v>20.329757222222216</v>
      </c>
      <c r="M295">
        <f t="shared" si="53"/>
        <v>20.255552222222214</v>
      </c>
      <c r="N295">
        <f t="shared" si="53"/>
        <v>20.181347222222215</v>
      </c>
      <c r="O295">
        <f t="shared" si="53"/>
        <v>20.107142222222215</v>
      </c>
      <c r="P295">
        <f t="shared" si="53"/>
        <v>20.032937222222216</v>
      </c>
      <c r="Q295">
        <f t="shared" si="53"/>
        <v>19.958732222222217</v>
      </c>
      <c r="R295">
        <f t="shared" si="53"/>
        <v>19.884527222222214</v>
      </c>
      <c r="S295">
        <f t="shared" si="53"/>
        <v>19.810322222222215</v>
      </c>
      <c r="T295">
        <f t="shared" si="53"/>
        <v>19.736117222222216</v>
      </c>
      <c r="U295">
        <f t="shared" si="51"/>
        <v>19.661912222222213</v>
      </c>
      <c r="V295">
        <f t="shared" si="51"/>
        <v>19.587707222222214</v>
      </c>
      <c r="W295">
        <f t="shared" si="51"/>
        <v>19.513502222222215</v>
      </c>
      <c r="X295">
        <f t="shared" si="51"/>
        <v>19.439297222222216</v>
      </c>
      <c r="Y295">
        <f t="shared" si="51"/>
        <v>19.365092222222216</v>
      </c>
      <c r="Z295">
        <f t="shared" si="51"/>
        <v>19.290887222222214</v>
      </c>
      <c r="AA295">
        <f t="shared" si="51"/>
        <v>19.216682222222214</v>
      </c>
      <c r="AB295">
        <f t="shared" si="51"/>
        <v>19.142477222222215</v>
      </c>
      <c r="AC295">
        <f t="shared" si="51"/>
        <v>19.068272222222213</v>
      </c>
      <c r="AD295">
        <f t="shared" si="51"/>
        <v>17.732582222222216</v>
      </c>
    </row>
    <row r="296" spans="2:30" x14ac:dyDescent="0.2">
      <c r="B296" s="7">
        <v>44865</v>
      </c>
      <c r="C296" s="8">
        <v>23.045833333333345</v>
      </c>
      <c r="D296">
        <f t="shared" si="47"/>
        <v>26.322008333333343</v>
      </c>
      <c r="E296">
        <f t="shared" si="53"/>
        <v>26.247803333333344</v>
      </c>
      <c r="F296">
        <f t="shared" si="53"/>
        <v>26.173598333333345</v>
      </c>
      <c r="G296">
        <f t="shared" si="53"/>
        <v>26.099393333333346</v>
      </c>
      <c r="H296">
        <f t="shared" si="53"/>
        <v>26.025188333333347</v>
      </c>
      <c r="I296">
        <f t="shared" si="53"/>
        <v>25.950983333333344</v>
      </c>
      <c r="J296">
        <f t="shared" si="53"/>
        <v>25.876778333333345</v>
      </c>
      <c r="K296">
        <f t="shared" si="53"/>
        <v>25.802573333333346</v>
      </c>
      <c r="L296">
        <f t="shared" si="53"/>
        <v>25.728368333333346</v>
      </c>
      <c r="M296">
        <f t="shared" si="53"/>
        <v>25.654163333333344</v>
      </c>
      <c r="N296">
        <f t="shared" si="53"/>
        <v>25.579958333333344</v>
      </c>
      <c r="O296">
        <f t="shared" si="53"/>
        <v>25.505753333333345</v>
      </c>
      <c r="P296">
        <f t="shared" si="53"/>
        <v>25.431548333333346</v>
      </c>
      <c r="Q296">
        <f t="shared" si="53"/>
        <v>25.357343333333347</v>
      </c>
      <c r="R296">
        <f t="shared" si="53"/>
        <v>25.283138333333344</v>
      </c>
      <c r="S296">
        <f t="shared" si="53"/>
        <v>25.208933333333345</v>
      </c>
      <c r="T296">
        <f t="shared" si="53"/>
        <v>25.134728333333346</v>
      </c>
      <c r="U296">
        <f t="shared" si="51"/>
        <v>25.060523333333343</v>
      </c>
      <c r="V296">
        <f t="shared" si="51"/>
        <v>24.986318333333344</v>
      </c>
      <c r="W296">
        <f t="shared" si="51"/>
        <v>24.912113333333345</v>
      </c>
      <c r="X296">
        <f t="shared" si="51"/>
        <v>24.837908333333345</v>
      </c>
      <c r="Y296">
        <f t="shared" si="51"/>
        <v>24.763703333333346</v>
      </c>
      <c r="Z296">
        <f t="shared" si="51"/>
        <v>24.689498333333344</v>
      </c>
      <c r="AA296">
        <f t="shared" si="51"/>
        <v>24.615293333333344</v>
      </c>
      <c r="AB296">
        <f t="shared" si="51"/>
        <v>24.541088333333345</v>
      </c>
      <c r="AC296">
        <f t="shared" si="51"/>
        <v>24.466883333333342</v>
      </c>
      <c r="AD296">
        <f t="shared" si="51"/>
        <v>23.131193333333346</v>
      </c>
    </row>
    <row r="297" spans="2:30" x14ac:dyDescent="0.2">
      <c r="B297" s="7">
        <v>44866</v>
      </c>
      <c r="C297" s="8">
        <v>16.206249999999997</v>
      </c>
      <c r="D297">
        <f t="shared" si="47"/>
        <v>19.482424999999999</v>
      </c>
      <c r="E297">
        <f t="shared" si="53"/>
        <v>19.408219999999996</v>
      </c>
      <c r="F297">
        <f t="shared" si="53"/>
        <v>19.334014999999997</v>
      </c>
      <c r="G297">
        <f t="shared" si="53"/>
        <v>19.259809999999998</v>
      </c>
      <c r="H297">
        <f t="shared" si="53"/>
        <v>19.185604999999999</v>
      </c>
      <c r="I297">
        <f t="shared" si="53"/>
        <v>19.111399999999996</v>
      </c>
      <c r="J297">
        <f t="shared" si="53"/>
        <v>19.037194999999997</v>
      </c>
      <c r="K297">
        <f t="shared" si="53"/>
        <v>18.962989999999998</v>
      </c>
      <c r="L297">
        <f t="shared" si="53"/>
        <v>18.888784999999999</v>
      </c>
      <c r="M297">
        <f t="shared" si="53"/>
        <v>18.814579999999996</v>
      </c>
      <c r="N297">
        <f t="shared" si="53"/>
        <v>18.740374999999997</v>
      </c>
      <c r="O297">
        <f t="shared" si="53"/>
        <v>18.666169999999997</v>
      </c>
      <c r="P297">
        <f t="shared" si="53"/>
        <v>18.591964999999998</v>
      </c>
      <c r="Q297">
        <f t="shared" si="53"/>
        <v>18.517759999999996</v>
      </c>
      <c r="R297">
        <f t="shared" si="53"/>
        <v>18.443554999999996</v>
      </c>
      <c r="S297">
        <f t="shared" si="53"/>
        <v>18.369349999999997</v>
      </c>
      <c r="T297">
        <f t="shared" si="53"/>
        <v>18.295144999999998</v>
      </c>
      <c r="U297">
        <f t="shared" si="51"/>
        <v>18.220939999999999</v>
      </c>
      <c r="V297">
        <f t="shared" si="51"/>
        <v>18.146734999999996</v>
      </c>
      <c r="W297">
        <f t="shared" si="51"/>
        <v>18.072529999999997</v>
      </c>
      <c r="X297">
        <f t="shared" si="51"/>
        <v>17.998324999999998</v>
      </c>
      <c r="Y297">
        <f t="shared" si="51"/>
        <v>17.924119999999995</v>
      </c>
      <c r="Z297">
        <f t="shared" si="51"/>
        <v>17.849914999999996</v>
      </c>
      <c r="AA297">
        <f t="shared" si="51"/>
        <v>17.775709999999997</v>
      </c>
      <c r="AB297">
        <f t="shared" si="51"/>
        <v>17.701504999999997</v>
      </c>
      <c r="AC297">
        <f t="shared" si="51"/>
        <v>17.627299999999998</v>
      </c>
      <c r="AD297">
        <f t="shared" si="51"/>
        <v>16.291609999999999</v>
      </c>
    </row>
    <row r="298" spans="2:30" x14ac:dyDescent="0.2">
      <c r="B298" s="7">
        <v>44867</v>
      </c>
      <c r="C298" s="8">
        <v>14.762499999999999</v>
      </c>
      <c r="D298">
        <f t="shared" si="47"/>
        <v>18.038674999999998</v>
      </c>
      <c r="E298">
        <f t="shared" si="53"/>
        <v>17.964469999999999</v>
      </c>
      <c r="F298">
        <f t="shared" si="53"/>
        <v>17.890264999999999</v>
      </c>
      <c r="G298">
        <f t="shared" si="53"/>
        <v>17.81606</v>
      </c>
      <c r="H298">
        <f t="shared" si="53"/>
        <v>17.741855000000001</v>
      </c>
      <c r="I298">
        <f t="shared" si="53"/>
        <v>17.667649999999998</v>
      </c>
      <c r="J298">
        <f t="shared" si="53"/>
        <v>17.593444999999999</v>
      </c>
      <c r="K298">
        <f t="shared" si="53"/>
        <v>17.51924</v>
      </c>
      <c r="L298">
        <f t="shared" si="53"/>
        <v>17.445035000000001</v>
      </c>
      <c r="M298">
        <f t="shared" si="53"/>
        <v>17.370829999999998</v>
      </c>
      <c r="N298">
        <f t="shared" si="53"/>
        <v>17.296624999999999</v>
      </c>
      <c r="O298">
        <f t="shared" si="53"/>
        <v>17.22242</v>
      </c>
      <c r="P298">
        <f t="shared" si="53"/>
        <v>17.148215</v>
      </c>
      <c r="Q298">
        <f t="shared" si="53"/>
        <v>17.074010000000001</v>
      </c>
      <c r="R298">
        <f t="shared" si="53"/>
        <v>16.999804999999999</v>
      </c>
      <c r="S298">
        <f t="shared" si="53"/>
        <v>16.925599999999999</v>
      </c>
      <c r="T298">
        <f t="shared" si="53"/>
        <v>16.851395</v>
      </c>
      <c r="U298">
        <f t="shared" si="51"/>
        <v>16.777189999999997</v>
      </c>
      <c r="V298">
        <f t="shared" si="51"/>
        <v>16.702984999999998</v>
      </c>
      <c r="W298">
        <f t="shared" si="51"/>
        <v>16.628779999999999</v>
      </c>
      <c r="X298">
        <f t="shared" si="51"/>
        <v>16.554575</v>
      </c>
      <c r="Y298">
        <f t="shared" si="51"/>
        <v>16.480370000000001</v>
      </c>
      <c r="Z298">
        <f t="shared" si="51"/>
        <v>16.406164999999998</v>
      </c>
      <c r="AA298">
        <f t="shared" si="51"/>
        <v>16.331959999999999</v>
      </c>
      <c r="AB298">
        <f t="shared" si="51"/>
        <v>16.257755</v>
      </c>
      <c r="AC298">
        <f t="shared" si="51"/>
        <v>16.183549999999997</v>
      </c>
      <c r="AD298">
        <f t="shared" si="51"/>
        <v>14.847860000000001</v>
      </c>
    </row>
    <row r="299" spans="2:30" x14ac:dyDescent="0.2">
      <c r="B299" s="7">
        <v>44868</v>
      </c>
      <c r="C299" s="8">
        <v>14.328472222222221</v>
      </c>
      <c r="D299">
        <f t="shared" si="47"/>
        <v>17.604647222222219</v>
      </c>
      <c r="E299">
        <f t="shared" si="53"/>
        <v>17.53044222222222</v>
      </c>
      <c r="F299">
        <f t="shared" si="53"/>
        <v>17.456237222222221</v>
      </c>
      <c r="G299">
        <f t="shared" si="53"/>
        <v>17.382032222222222</v>
      </c>
      <c r="H299">
        <f t="shared" si="53"/>
        <v>17.307827222222222</v>
      </c>
      <c r="I299">
        <f t="shared" si="53"/>
        <v>17.23362222222222</v>
      </c>
      <c r="J299">
        <f t="shared" si="53"/>
        <v>17.159417222222221</v>
      </c>
      <c r="K299">
        <f t="shared" si="53"/>
        <v>17.085212222222221</v>
      </c>
      <c r="L299">
        <f t="shared" si="53"/>
        <v>17.011007222222222</v>
      </c>
      <c r="M299">
        <f t="shared" si="53"/>
        <v>16.936802222222219</v>
      </c>
      <c r="N299">
        <f t="shared" si="53"/>
        <v>16.86259722222222</v>
      </c>
      <c r="O299">
        <f t="shared" si="53"/>
        <v>16.788392222222221</v>
      </c>
      <c r="P299">
        <f t="shared" si="53"/>
        <v>16.714187222222222</v>
      </c>
      <c r="Q299">
        <f t="shared" si="53"/>
        <v>16.639982222222223</v>
      </c>
      <c r="R299">
        <f t="shared" si="53"/>
        <v>16.56577722222222</v>
      </c>
      <c r="S299">
        <f t="shared" si="53"/>
        <v>16.491572222222221</v>
      </c>
      <c r="T299">
        <f t="shared" si="53"/>
        <v>16.417367222222222</v>
      </c>
      <c r="U299">
        <f t="shared" si="51"/>
        <v>16.343162222222219</v>
      </c>
      <c r="V299">
        <f t="shared" si="51"/>
        <v>16.26895722222222</v>
      </c>
      <c r="W299">
        <f t="shared" si="51"/>
        <v>16.19475222222222</v>
      </c>
      <c r="X299">
        <f t="shared" si="51"/>
        <v>16.120547222222221</v>
      </c>
      <c r="Y299">
        <f t="shared" si="51"/>
        <v>16.046342222222222</v>
      </c>
      <c r="Z299">
        <f t="shared" si="51"/>
        <v>15.972137222222219</v>
      </c>
      <c r="AA299">
        <f t="shared" si="51"/>
        <v>15.89793222222222</v>
      </c>
      <c r="AB299">
        <f t="shared" si="51"/>
        <v>15.823727222222221</v>
      </c>
      <c r="AC299">
        <f t="shared" si="51"/>
        <v>15.74952222222222</v>
      </c>
      <c r="AD299">
        <f t="shared" si="51"/>
        <v>14.413832222222222</v>
      </c>
    </row>
    <row r="300" spans="2:30" x14ac:dyDescent="0.2">
      <c r="B300" s="7">
        <v>44869</v>
      </c>
      <c r="C300" s="8">
        <v>14.333333333333332</v>
      </c>
      <c r="D300">
        <f t="shared" si="47"/>
        <v>17.609508333333331</v>
      </c>
      <c r="E300">
        <f t="shared" si="53"/>
        <v>17.535303333333331</v>
      </c>
      <c r="F300">
        <f t="shared" si="53"/>
        <v>17.461098333333332</v>
      </c>
      <c r="G300">
        <f t="shared" si="53"/>
        <v>17.386893333333333</v>
      </c>
      <c r="H300">
        <f t="shared" si="53"/>
        <v>17.312688333333334</v>
      </c>
      <c r="I300">
        <f t="shared" si="53"/>
        <v>17.238483333333331</v>
      </c>
      <c r="J300">
        <f t="shared" si="53"/>
        <v>17.164278333333332</v>
      </c>
      <c r="K300">
        <f t="shared" si="53"/>
        <v>17.090073333333333</v>
      </c>
      <c r="L300">
        <f t="shared" si="53"/>
        <v>17.015868333333334</v>
      </c>
      <c r="M300">
        <f t="shared" si="53"/>
        <v>16.941663333333331</v>
      </c>
      <c r="N300">
        <f t="shared" si="53"/>
        <v>16.867458333333332</v>
      </c>
      <c r="O300">
        <f t="shared" si="53"/>
        <v>16.793253333333332</v>
      </c>
      <c r="P300">
        <f t="shared" si="53"/>
        <v>16.719048333333333</v>
      </c>
      <c r="Q300">
        <f t="shared" si="53"/>
        <v>16.644843333333334</v>
      </c>
      <c r="R300">
        <f t="shared" si="53"/>
        <v>16.570638333333331</v>
      </c>
      <c r="S300">
        <f t="shared" si="53"/>
        <v>16.496433333333332</v>
      </c>
      <c r="T300">
        <f t="shared" si="53"/>
        <v>16.422228333333333</v>
      </c>
      <c r="U300">
        <f t="shared" si="51"/>
        <v>16.34802333333333</v>
      </c>
      <c r="V300">
        <f t="shared" si="51"/>
        <v>16.273818333333331</v>
      </c>
      <c r="W300">
        <f t="shared" si="51"/>
        <v>16.199613333333332</v>
      </c>
      <c r="X300">
        <f t="shared" si="51"/>
        <v>16.125408333333333</v>
      </c>
      <c r="Y300">
        <f t="shared" si="51"/>
        <v>16.051203333333333</v>
      </c>
      <c r="Z300">
        <f t="shared" si="51"/>
        <v>15.976998333333331</v>
      </c>
      <c r="AA300">
        <f t="shared" si="51"/>
        <v>15.902793333333332</v>
      </c>
      <c r="AB300">
        <f t="shared" si="51"/>
        <v>15.828588333333332</v>
      </c>
      <c r="AC300">
        <f t="shared" si="51"/>
        <v>15.754383333333331</v>
      </c>
      <c r="AD300">
        <f t="shared" si="51"/>
        <v>14.418693333333334</v>
      </c>
    </row>
    <row r="301" spans="2:30" x14ac:dyDescent="0.2">
      <c r="B301" s="7">
        <v>44870</v>
      </c>
      <c r="C301" s="8">
        <v>13.310416666666658</v>
      </c>
      <c r="D301">
        <f t="shared" si="47"/>
        <v>16.586591666666656</v>
      </c>
      <c r="E301">
        <f t="shared" si="53"/>
        <v>16.512386666666657</v>
      </c>
      <c r="F301">
        <f t="shared" si="53"/>
        <v>16.438181666666658</v>
      </c>
      <c r="G301">
        <f t="shared" si="53"/>
        <v>16.363976666666659</v>
      </c>
      <c r="H301">
        <f t="shared" si="53"/>
        <v>16.28977166666666</v>
      </c>
      <c r="I301">
        <f t="shared" si="53"/>
        <v>16.215566666666657</v>
      </c>
      <c r="J301">
        <f t="shared" si="53"/>
        <v>16.141361666666658</v>
      </c>
      <c r="K301">
        <f t="shared" si="53"/>
        <v>16.067156666666659</v>
      </c>
      <c r="L301">
        <f t="shared" si="53"/>
        <v>15.992951666666658</v>
      </c>
      <c r="M301">
        <f t="shared" si="53"/>
        <v>15.918746666666658</v>
      </c>
      <c r="N301">
        <f t="shared" si="53"/>
        <v>15.844541666666657</v>
      </c>
      <c r="O301">
        <f t="shared" si="53"/>
        <v>15.770336666666658</v>
      </c>
      <c r="P301">
        <f t="shared" si="53"/>
        <v>15.696131666666659</v>
      </c>
      <c r="Q301">
        <f t="shared" si="53"/>
        <v>15.621926666666658</v>
      </c>
      <c r="R301">
        <f t="shared" si="53"/>
        <v>15.547721666666657</v>
      </c>
      <c r="S301">
        <f t="shared" si="53"/>
        <v>15.473516666666658</v>
      </c>
      <c r="T301">
        <f t="shared" si="53"/>
        <v>15.399311666666659</v>
      </c>
      <c r="U301">
        <f t="shared" si="51"/>
        <v>15.325106666666658</v>
      </c>
      <c r="V301">
        <f t="shared" si="51"/>
        <v>15.250901666666657</v>
      </c>
      <c r="W301">
        <f t="shared" si="51"/>
        <v>15.176696666666658</v>
      </c>
      <c r="X301">
        <f t="shared" si="51"/>
        <v>15.102491666666658</v>
      </c>
      <c r="Y301">
        <f t="shared" si="51"/>
        <v>15.028286666666657</v>
      </c>
      <c r="Z301">
        <f t="shared" si="51"/>
        <v>14.954081666666657</v>
      </c>
      <c r="AA301">
        <f t="shared" si="51"/>
        <v>14.879876666666657</v>
      </c>
      <c r="AB301">
        <f t="shared" si="51"/>
        <v>14.805671666666658</v>
      </c>
      <c r="AC301">
        <f t="shared" si="51"/>
        <v>14.731466666666657</v>
      </c>
      <c r="AD301">
        <f t="shared" si="51"/>
        <v>13.395776666666659</v>
      </c>
    </row>
    <row r="302" spans="2:30" x14ac:dyDescent="0.2">
      <c r="B302" s="7">
        <v>44871</v>
      </c>
      <c r="C302" s="8">
        <v>13.508333333333319</v>
      </c>
      <c r="D302">
        <f t="shared" si="47"/>
        <v>16.784508333333321</v>
      </c>
      <c r="E302">
        <f t="shared" si="53"/>
        <v>16.710303333333318</v>
      </c>
      <c r="F302">
        <f t="shared" si="53"/>
        <v>16.636098333333319</v>
      </c>
      <c r="G302">
        <f t="shared" si="53"/>
        <v>16.56189333333332</v>
      </c>
      <c r="H302">
        <f t="shared" si="53"/>
        <v>16.48768833333332</v>
      </c>
      <c r="I302">
        <f t="shared" si="53"/>
        <v>16.413483333333318</v>
      </c>
      <c r="J302">
        <f t="shared" si="53"/>
        <v>16.339278333333318</v>
      </c>
      <c r="K302">
        <f t="shared" si="53"/>
        <v>16.265073333333319</v>
      </c>
      <c r="L302">
        <f t="shared" si="53"/>
        <v>16.19086833333332</v>
      </c>
      <c r="M302">
        <f t="shared" si="53"/>
        <v>16.116663333333317</v>
      </c>
      <c r="N302">
        <f t="shared" si="53"/>
        <v>16.042458333333318</v>
      </c>
      <c r="O302">
        <f t="shared" si="53"/>
        <v>15.968253333333319</v>
      </c>
      <c r="P302">
        <f t="shared" si="53"/>
        <v>15.89404833333332</v>
      </c>
      <c r="Q302">
        <f t="shared" si="53"/>
        <v>15.819843333333319</v>
      </c>
      <c r="R302">
        <f t="shared" si="53"/>
        <v>15.745638333333318</v>
      </c>
      <c r="S302">
        <f t="shared" si="53"/>
        <v>15.671433333333319</v>
      </c>
      <c r="T302">
        <f t="shared" si="53"/>
        <v>15.597228333333319</v>
      </c>
      <c r="U302">
        <f t="shared" si="51"/>
        <v>15.523023333333319</v>
      </c>
      <c r="V302">
        <f t="shared" si="51"/>
        <v>15.448818333333318</v>
      </c>
      <c r="W302">
        <f t="shared" si="51"/>
        <v>15.374613333333318</v>
      </c>
      <c r="X302">
        <f t="shared" si="51"/>
        <v>15.300408333333319</v>
      </c>
      <c r="Y302">
        <f t="shared" si="51"/>
        <v>15.226203333333318</v>
      </c>
      <c r="Z302">
        <f t="shared" si="51"/>
        <v>15.151998333333317</v>
      </c>
      <c r="AA302">
        <f t="shared" si="51"/>
        <v>15.077793333333318</v>
      </c>
      <c r="AB302">
        <f t="shared" si="51"/>
        <v>15.003588333333319</v>
      </c>
      <c r="AC302">
        <f t="shared" si="51"/>
        <v>14.929383333333318</v>
      </c>
      <c r="AD302">
        <f t="shared" si="51"/>
        <v>13.59369333333332</v>
      </c>
    </row>
    <row r="303" spans="2:30" x14ac:dyDescent="0.2">
      <c r="B303" s="7">
        <v>44872</v>
      </c>
      <c r="C303" s="8">
        <v>14.166666666666675</v>
      </c>
      <c r="D303">
        <f t="shared" si="47"/>
        <v>17.442841666666673</v>
      </c>
      <c r="E303">
        <f t="shared" si="53"/>
        <v>17.368636666666674</v>
      </c>
      <c r="F303">
        <f t="shared" si="53"/>
        <v>17.294431666666675</v>
      </c>
      <c r="G303">
        <f t="shared" si="53"/>
        <v>17.220226666666676</v>
      </c>
      <c r="H303">
        <f t="shared" si="53"/>
        <v>17.146021666666677</v>
      </c>
      <c r="I303">
        <f t="shared" si="53"/>
        <v>17.071816666666674</v>
      </c>
      <c r="J303">
        <f t="shared" si="53"/>
        <v>16.997611666666675</v>
      </c>
      <c r="K303">
        <f t="shared" si="53"/>
        <v>16.923406666666676</v>
      </c>
      <c r="L303">
        <f t="shared" si="53"/>
        <v>16.849201666666676</v>
      </c>
      <c r="M303">
        <f t="shared" si="53"/>
        <v>16.774996666666674</v>
      </c>
      <c r="N303">
        <f t="shared" si="53"/>
        <v>16.700791666666674</v>
      </c>
      <c r="O303">
        <f t="shared" si="53"/>
        <v>16.626586666666675</v>
      </c>
      <c r="P303">
        <f t="shared" si="53"/>
        <v>16.552381666666676</v>
      </c>
      <c r="Q303">
        <f t="shared" si="53"/>
        <v>16.478176666666677</v>
      </c>
      <c r="R303">
        <f t="shared" si="53"/>
        <v>16.403971666666674</v>
      </c>
      <c r="S303">
        <f t="shared" si="53"/>
        <v>16.329766666666675</v>
      </c>
      <c r="T303">
        <f t="shared" si="53"/>
        <v>16.255561666666676</v>
      </c>
      <c r="U303">
        <f t="shared" si="51"/>
        <v>16.181356666666673</v>
      </c>
      <c r="V303">
        <f t="shared" si="51"/>
        <v>16.107151666666674</v>
      </c>
      <c r="W303">
        <f t="shared" si="51"/>
        <v>16.032946666666675</v>
      </c>
      <c r="X303">
        <f t="shared" si="51"/>
        <v>15.958741666666675</v>
      </c>
      <c r="Y303">
        <f t="shared" si="51"/>
        <v>15.884536666666675</v>
      </c>
      <c r="Z303">
        <f t="shared" si="51"/>
        <v>15.810331666666674</v>
      </c>
      <c r="AA303">
        <f t="shared" si="51"/>
        <v>15.736126666666674</v>
      </c>
      <c r="AB303">
        <f t="shared" si="51"/>
        <v>15.661921666666675</v>
      </c>
      <c r="AC303">
        <f t="shared" si="51"/>
        <v>15.587716666666674</v>
      </c>
      <c r="AD303">
        <f t="shared" si="51"/>
        <v>14.252026666666676</v>
      </c>
    </row>
    <row r="304" spans="2:30" x14ac:dyDescent="0.2">
      <c r="B304" s="7">
        <v>44873</v>
      </c>
      <c r="C304" s="8">
        <v>14.350694444444436</v>
      </c>
      <c r="D304">
        <f t="shared" si="47"/>
        <v>17.626869444444438</v>
      </c>
      <c r="E304">
        <f t="shared" si="53"/>
        <v>17.552664444444435</v>
      </c>
      <c r="F304">
        <f t="shared" si="53"/>
        <v>17.478459444444436</v>
      </c>
      <c r="G304">
        <f t="shared" si="53"/>
        <v>17.404254444444437</v>
      </c>
      <c r="H304">
        <f t="shared" si="53"/>
        <v>17.330049444444438</v>
      </c>
      <c r="I304">
        <f t="shared" si="53"/>
        <v>17.255844444444435</v>
      </c>
      <c r="J304">
        <f t="shared" si="53"/>
        <v>17.181639444444436</v>
      </c>
      <c r="K304">
        <f t="shared" si="53"/>
        <v>17.107434444444436</v>
      </c>
      <c r="L304">
        <f t="shared" si="53"/>
        <v>17.033229444444437</v>
      </c>
      <c r="M304">
        <f t="shared" si="53"/>
        <v>16.959024444444434</v>
      </c>
      <c r="N304">
        <f t="shared" si="53"/>
        <v>16.884819444444435</v>
      </c>
      <c r="O304">
        <f t="shared" si="53"/>
        <v>16.810614444444436</v>
      </c>
      <c r="P304">
        <f t="shared" si="53"/>
        <v>16.736409444444437</v>
      </c>
      <c r="Q304">
        <f t="shared" si="53"/>
        <v>16.662204444444434</v>
      </c>
      <c r="R304">
        <f t="shared" si="53"/>
        <v>16.587999444444435</v>
      </c>
      <c r="S304">
        <f t="shared" si="53"/>
        <v>16.513794444444436</v>
      </c>
      <c r="T304">
        <f t="shared" si="53"/>
        <v>16.439589444444437</v>
      </c>
      <c r="U304">
        <f t="shared" si="51"/>
        <v>16.365384444444437</v>
      </c>
      <c r="V304">
        <f t="shared" si="51"/>
        <v>16.291179444444435</v>
      </c>
      <c r="W304">
        <f t="shared" si="51"/>
        <v>16.216974444444435</v>
      </c>
      <c r="X304">
        <f t="shared" si="51"/>
        <v>16.142769444444436</v>
      </c>
      <c r="Y304">
        <f t="shared" si="51"/>
        <v>16.068564444444434</v>
      </c>
      <c r="Z304">
        <f t="shared" si="51"/>
        <v>15.994359444444434</v>
      </c>
      <c r="AA304">
        <f t="shared" si="51"/>
        <v>15.920154444444435</v>
      </c>
      <c r="AB304">
        <f t="shared" si="51"/>
        <v>15.845949444444436</v>
      </c>
      <c r="AC304">
        <f t="shared" si="51"/>
        <v>15.771744444444435</v>
      </c>
      <c r="AD304">
        <f t="shared" si="51"/>
        <v>14.436054444444437</v>
      </c>
    </row>
    <row r="305" spans="2:30" x14ac:dyDescent="0.2">
      <c r="B305" s="7">
        <v>44874</v>
      </c>
      <c r="C305" s="8">
        <v>14.352777777777778</v>
      </c>
      <c r="D305">
        <f t="shared" si="47"/>
        <v>17.628952777777776</v>
      </c>
      <c r="E305">
        <f t="shared" si="53"/>
        <v>17.554747777777777</v>
      </c>
      <c r="F305">
        <f t="shared" si="53"/>
        <v>17.480542777777778</v>
      </c>
      <c r="G305">
        <f t="shared" si="53"/>
        <v>17.406337777777779</v>
      </c>
      <c r="H305">
        <f t="shared" si="53"/>
        <v>17.33213277777778</v>
      </c>
      <c r="I305">
        <f t="shared" si="53"/>
        <v>17.257927777777777</v>
      </c>
      <c r="J305">
        <f t="shared" si="53"/>
        <v>17.183722777777778</v>
      </c>
      <c r="K305">
        <f t="shared" si="53"/>
        <v>17.109517777777778</v>
      </c>
      <c r="L305">
        <f t="shared" si="53"/>
        <v>17.035312777777779</v>
      </c>
      <c r="M305">
        <f t="shared" si="53"/>
        <v>16.961107777777777</v>
      </c>
      <c r="N305">
        <f t="shared" si="53"/>
        <v>16.886902777777777</v>
      </c>
      <c r="O305">
        <f t="shared" si="53"/>
        <v>16.812697777777778</v>
      </c>
      <c r="P305">
        <f t="shared" si="53"/>
        <v>16.738492777777779</v>
      </c>
      <c r="Q305">
        <f t="shared" si="53"/>
        <v>16.66428777777778</v>
      </c>
      <c r="R305">
        <f t="shared" si="53"/>
        <v>16.590082777777777</v>
      </c>
      <c r="S305">
        <f t="shared" si="53"/>
        <v>16.515877777777778</v>
      </c>
      <c r="T305">
        <f t="shared" si="53"/>
        <v>16.441672777777779</v>
      </c>
      <c r="U305">
        <f t="shared" si="51"/>
        <v>16.367467777777776</v>
      </c>
      <c r="V305">
        <f t="shared" si="51"/>
        <v>16.293262777777777</v>
      </c>
      <c r="W305">
        <f t="shared" si="51"/>
        <v>16.219057777777778</v>
      </c>
      <c r="X305">
        <f t="shared" si="51"/>
        <v>16.144852777777778</v>
      </c>
      <c r="Y305">
        <f t="shared" si="51"/>
        <v>16.070647777777779</v>
      </c>
      <c r="Z305">
        <f t="shared" si="51"/>
        <v>15.996442777777776</v>
      </c>
      <c r="AA305">
        <f t="shared" si="51"/>
        <v>15.922237777777777</v>
      </c>
      <c r="AB305">
        <f t="shared" si="51"/>
        <v>15.848032777777778</v>
      </c>
      <c r="AC305">
        <f t="shared" si="51"/>
        <v>15.773827777777777</v>
      </c>
      <c r="AD305">
        <f t="shared" si="51"/>
        <v>14.438137777777779</v>
      </c>
    </row>
    <row r="306" spans="2:30" x14ac:dyDescent="0.2">
      <c r="B306" s="7">
        <v>44875</v>
      </c>
      <c r="C306" s="8">
        <v>14.295833333333334</v>
      </c>
      <c r="D306">
        <f t="shared" si="47"/>
        <v>17.572008333333336</v>
      </c>
      <c r="E306">
        <f t="shared" si="53"/>
        <v>17.497803333333334</v>
      </c>
      <c r="F306">
        <f t="shared" si="53"/>
        <v>17.423598333333334</v>
      </c>
      <c r="G306">
        <f t="shared" si="53"/>
        <v>17.349393333333335</v>
      </c>
      <c r="H306">
        <f t="shared" si="53"/>
        <v>17.275188333333336</v>
      </c>
      <c r="I306">
        <f t="shared" si="53"/>
        <v>17.200983333333333</v>
      </c>
      <c r="J306">
        <f t="shared" si="53"/>
        <v>17.126778333333334</v>
      </c>
      <c r="K306">
        <f t="shared" si="53"/>
        <v>17.052573333333335</v>
      </c>
      <c r="L306">
        <f t="shared" si="53"/>
        <v>16.978368333333336</v>
      </c>
      <c r="M306">
        <f t="shared" si="53"/>
        <v>16.904163333333333</v>
      </c>
      <c r="N306">
        <f t="shared" si="53"/>
        <v>16.829958333333334</v>
      </c>
      <c r="O306">
        <f t="shared" si="53"/>
        <v>16.755753333333335</v>
      </c>
      <c r="P306">
        <f t="shared" si="53"/>
        <v>16.681548333333335</v>
      </c>
      <c r="Q306">
        <f t="shared" si="53"/>
        <v>16.607343333333333</v>
      </c>
      <c r="R306">
        <f t="shared" si="53"/>
        <v>16.533138333333333</v>
      </c>
      <c r="S306">
        <f t="shared" si="53"/>
        <v>16.458933333333334</v>
      </c>
      <c r="T306">
        <f t="shared" si="53"/>
        <v>16.384728333333335</v>
      </c>
      <c r="U306">
        <f t="shared" si="51"/>
        <v>16.310523333333336</v>
      </c>
      <c r="V306">
        <f t="shared" si="51"/>
        <v>16.236318333333333</v>
      </c>
      <c r="W306">
        <f t="shared" si="51"/>
        <v>16.162113333333334</v>
      </c>
      <c r="X306">
        <f t="shared" si="51"/>
        <v>16.087908333333335</v>
      </c>
      <c r="Y306">
        <f t="shared" si="51"/>
        <v>16.013703333333332</v>
      </c>
      <c r="Z306">
        <f t="shared" si="51"/>
        <v>15.939498333333333</v>
      </c>
      <c r="AA306">
        <f t="shared" si="51"/>
        <v>15.865293333333334</v>
      </c>
      <c r="AB306">
        <f t="shared" si="51"/>
        <v>15.791088333333335</v>
      </c>
      <c r="AC306">
        <f t="shared" si="51"/>
        <v>15.716883333333334</v>
      </c>
      <c r="AD306">
        <f t="shared" si="51"/>
        <v>14.381193333333336</v>
      </c>
    </row>
    <row r="307" spans="2:30" x14ac:dyDescent="0.2">
      <c r="B307" s="7">
        <v>44876</v>
      </c>
      <c r="C307" s="8">
        <v>13.861111111111104</v>
      </c>
      <c r="D307">
        <f t="shared" si="47"/>
        <v>17.137286111111102</v>
      </c>
      <c r="E307">
        <f t="shared" si="53"/>
        <v>17.063081111111103</v>
      </c>
      <c r="F307">
        <f t="shared" si="53"/>
        <v>16.988876111111104</v>
      </c>
      <c r="G307">
        <f t="shared" si="53"/>
        <v>16.914671111111105</v>
      </c>
      <c r="H307">
        <f t="shared" si="53"/>
        <v>16.840466111111105</v>
      </c>
      <c r="I307">
        <f t="shared" si="53"/>
        <v>16.766261111111103</v>
      </c>
      <c r="J307">
        <f t="shared" si="53"/>
        <v>16.692056111111103</v>
      </c>
      <c r="K307">
        <f t="shared" si="53"/>
        <v>16.617851111111104</v>
      </c>
      <c r="L307">
        <f t="shared" si="53"/>
        <v>16.543646111111105</v>
      </c>
      <c r="M307">
        <f t="shared" si="53"/>
        <v>16.469441111111102</v>
      </c>
      <c r="N307">
        <f t="shared" si="53"/>
        <v>16.395236111111103</v>
      </c>
      <c r="O307">
        <f t="shared" si="53"/>
        <v>16.321031111111104</v>
      </c>
      <c r="P307">
        <f t="shared" si="53"/>
        <v>16.246826111111105</v>
      </c>
      <c r="Q307">
        <f t="shared" si="53"/>
        <v>16.172621111111106</v>
      </c>
      <c r="R307">
        <f t="shared" si="53"/>
        <v>16.098416111111103</v>
      </c>
      <c r="S307">
        <f t="shared" si="53"/>
        <v>16.024211111111104</v>
      </c>
      <c r="T307">
        <f t="shared" si="53"/>
        <v>15.950006111111104</v>
      </c>
      <c r="U307">
        <f t="shared" si="51"/>
        <v>15.875801111111103</v>
      </c>
      <c r="V307">
        <f t="shared" si="51"/>
        <v>15.801596111111103</v>
      </c>
      <c r="W307">
        <f t="shared" si="51"/>
        <v>15.727391111111103</v>
      </c>
      <c r="X307">
        <f t="shared" si="51"/>
        <v>15.653186111111104</v>
      </c>
      <c r="Y307">
        <f t="shared" si="51"/>
        <v>15.578981111111103</v>
      </c>
      <c r="Z307">
        <f t="shared" si="51"/>
        <v>15.504776111111102</v>
      </c>
      <c r="AA307">
        <f t="shared" si="51"/>
        <v>15.430571111111103</v>
      </c>
      <c r="AB307">
        <f t="shared" si="51"/>
        <v>15.356366111111104</v>
      </c>
      <c r="AC307">
        <f t="shared" si="51"/>
        <v>15.282161111111103</v>
      </c>
      <c r="AD307">
        <f t="shared" si="51"/>
        <v>13.946471111111105</v>
      </c>
    </row>
    <row r="308" spans="2:30" x14ac:dyDescent="0.2">
      <c r="B308" s="7">
        <v>44877</v>
      </c>
      <c r="C308" s="8">
        <v>13.163888888888881</v>
      </c>
      <c r="D308">
        <f t="shared" si="47"/>
        <v>16.440063888888879</v>
      </c>
      <c r="E308">
        <f t="shared" si="53"/>
        <v>16.36585888888888</v>
      </c>
      <c r="F308">
        <f t="shared" si="53"/>
        <v>16.291653888888881</v>
      </c>
      <c r="G308">
        <f t="shared" si="53"/>
        <v>16.217448888888882</v>
      </c>
      <c r="H308">
        <f t="shared" si="53"/>
        <v>16.143243888888883</v>
      </c>
      <c r="I308">
        <f t="shared" si="53"/>
        <v>16.06903888888888</v>
      </c>
      <c r="J308">
        <f t="shared" si="53"/>
        <v>15.994833888888881</v>
      </c>
      <c r="K308">
        <f t="shared" si="53"/>
        <v>15.920628888888881</v>
      </c>
      <c r="L308">
        <f t="shared" si="53"/>
        <v>15.84642388888888</v>
      </c>
      <c r="M308">
        <f t="shared" si="53"/>
        <v>15.772218888888881</v>
      </c>
      <c r="N308">
        <f t="shared" si="53"/>
        <v>15.69801388888888</v>
      </c>
      <c r="O308">
        <f t="shared" si="53"/>
        <v>15.623808888888881</v>
      </c>
      <c r="P308">
        <f t="shared" si="53"/>
        <v>15.549603888888882</v>
      </c>
      <c r="Q308">
        <f t="shared" si="53"/>
        <v>15.475398888888881</v>
      </c>
      <c r="R308">
        <f t="shared" si="53"/>
        <v>15.40119388888888</v>
      </c>
      <c r="S308">
        <f t="shared" si="53"/>
        <v>15.326988888888881</v>
      </c>
      <c r="T308">
        <f t="shared" ref="T308" si="54">(-1.4841*T$3+3.6472)+$C308</f>
        <v>15.252783888888882</v>
      </c>
      <c r="U308">
        <f t="shared" si="51"/>
        <v>15.178578888888881</v>
      </c>
      <c r="V308">
        <f t="shared" si="51"/>
        <v>15.10437388888888</v>
      </c>
      <c r="W308">
        <f t="shared" si="51"/>
        <v>15.03016888888888</v>
      </c>
      <c r="X308">
        <f t="shared" si="51"/>
        <v>14.955963888888881</v>
      </c>
      <c r="Y308">
        <f t="shared" si="51"/>
        <v>14.88175888888888</v>
      </c>
      <c r="Z308">
        <f t="shared" si="51"/>
        <v>14.807553888888879</v>
      </c>
      <c r="AA308">
        <f t="shared" si="51"/>
        <v>14.73334888888888</v>
      </c>
      <c r="AB308">
        <f t="shared" si="51"/>
        <v>14.659143888888881</v>
      </c>
      <c r="AC308">
        <f t="shared" si="51"/>
        <v>14.58493888888888</v>
      </c>
      <c r="AD308">
        <f t="shared" si="51"/>
        <v>13.249248888888882</v>
      </c>
    </row>
    <row r="309" spans="2:30" x14ac:dyDescent="0.2">
      <c r="B309" s="7">
        <v>44878</v>
      </c>
      <c r="C309" s="8">
        <v>12.21458333333333</v>
      </c>
      <c r="D309">
        <f t="shared" si="47"/>
        <v>15.49075833333333</v>
      </c>
      <c r="E309">
        <f t="shared" ref="E309:T324" si="55">(-1.4841*E$3+3.6472)+$C309</f>
        <v>15.416553333333329</v>
      </c>
      <c r="F309">
        <f t="shared" si="55"/>
        <v>15.34234833333333</v>
      </c>
      <c r="G309">
        <f t="shared" si="55"/>
        <v>15.268143333333331</v>
      </c>
      <c r="H309">
        <f t="shared" si="55"/>
        <v>15.19393833333333</v>
      </c>
      <c r="I309">
        <f t="shared" si="55"/>
        <v>15.119733333333331</v>
      </c>
      <c r="J309">
        <f t="shared" si="55"/>
        <v>15.04552833333333</v>
      </c>
      <c r="K309">
        <f t="shared" si="55"/>
        <v>14.971323333333331</v>
      </c>
      <c r="L309">
        <f t="shared" si="55"/>
        <v>14.89711833333333</v>
      </c>
      <c r="M309">
        <f t="shared" si="55"/>
        <v>14.82291333333333</v>
      </c>
      <c r="N309">
        <f t="shared" si="55"/>
        <v>14.74870833333333</v>
      </c>
      <c r="O309">
        <f t="shared" si="55"/>
        <v>14.67450333333333</v>
      </c>
      <c r="P309">
        <f t="shared" si="55"/>
        <v>14.600298333333331</v>
      </c>
      <c r="Q309">
        <f t="shared" si="55"/>
        <v>14.52609333333333</v>
      </c>
      <c r="R309">
        <f t="shared" si="55"/>
        <v>14.451888333333329</v>
      </c>
      <c r="S309">
        <f t="shared" si="55"/>
        <v>14.37768333333333</v>
      </c>
      <c r="T309">
        <f t="shared" si="55"/>
        <v>14.303478333333331</v>
      </c>
      <c r="U309">
        <f t="shared" si="51"/>
        <v>14.22927333333333</v>
      </c>
      <c r="V309">
        <f t="shared" si="51"/>
        <v>14.155068333333329</v>
      </c>
      <c r="W309">
        <f t="shared" si="51"/>
        <v>14.08086333333333</v>
      </c>
      <c r="X309">
        <f t="shared" si="51"/>
        <v>14.006658333333331</v>
      </c>
      <c r="Y309">
        <f t="shared" si="51"/>
        <v>13.93245333333333</v>
      </c>
      <c r="Z309">
        <f t="shared" si="51"/>
        <v>13.858248333333329</v>
      </c>
      <c r="AA309">
        <f t="shared" si="51"/>
        <v>13.784043333333329</v>
      </c>
      <c r="AB309">
        <f t="shared" si="51"/>
        <v>13.70983833333333</v>
      </c>
      <c r="AC309">
        <f t="shared" si="51"/>
        <v>13.635633333333329</v>
      </c>
      <c r="AD309">
        <f t="shared" si="51"/>
        <v>12.299943333333331</v>
      </c>
    </row>
    <row r="310" spans="2:30" x14ac:dyDescent="0.2">
      <c r="B310" s="7">
        <v>44879</v>
      </c>
      <c r="C310" s="8">
        <v>9.9270833333333286</v>
      </c>
      <c r="D310">
        <f t="shared" si="47"/>
        <v>13.203258333333329</v>
      </c>
      <c r="E310">
        <f t="shared" si="55"/>
        <v>13.129053333333328</v>
      </c>
      <c r="F310">
        <f t="shared" si="55"/>
        <v>13.054848333333329</v>
      </c>
      <c r="G310">
        <f t="shared" si="55"/>
        <v>12.98064333333333</v>
      </c>
      <c r="H310">
        <f t="shared" si="55"/>
        <v>12.906438333333329</v>
      </c>
      <c r="I310">
        <f t="shared" si="55"/>
        <v>12.832233333333329</v>
      </c>
      <c r="J310">
        <f t="shared" si="55"/>
        <v>12.758028333333328</v>
      </c>
      <c r="K310">
        <f t="shared" si="55"/>
        <v>12.683823333333329</v>
      </c>
      <c r="L310">
        <f t="shared" si="55"/>
        <v>12.609618333333328</v>
      </c>
      <c r="M310">
        <f t="shared" si="55"/>
        <v>12.535413333333329</v>
      </c>
      <c r="N310">
        <f t="shared" si="55"/>
        <v>12.461208333333328</v>
      </c>
      <c r="O310">
        <f t="shared" si="55"/>
        <v>12.387003333333329</v>
      </c>
      <c r="P310">
        <f t="shared" si="55"/>
        <v>12.31279833333333</v>
      </c>
      <c r="Q310">
        <f t="shared" si="55"/>
        <v>12.238593333333329</v>
      </c>
      <c r="R310">
        <f t="shared" si="55"/>
        <v>12.164388333333328</v>
      </c>
      <c r="S310">
        <f t="shared" si="55"/>
        <v>12.090183333333329</v>
      </c>
      <c r="T310">
        <f t="shared" si="55"/>
        <v>12.015978333333329</v>
      </c>
      <c r="U310">
        <f t="shared" si="51"/>
        <v>11.941773333333328</v>
      </c>
      <c r="V310">
        <f t="shared" si="51"/>
        <v>11.867568333333328</v>
      </c>
      <c r="W310">
        <f t="shared" si="51"/>
        <v>11.793363333333328</v>
      </c>
      <c r="X310">
        <f t="shared" si="51"/>
        <v>11.719158333333329</v>
      </c>
      <c r="Y310">
        <f t="shared" si="51"/>
        <v>11.644953333333328</v>
      </c>
      <c r="Z310">
        <f t="shared" si="51"/>
        <v>11.570748333333327</v>
      </c>
      <c r="AA310">
        <f t="shared" si="51"/>
        <v>11.496543333333328</v>
      </c>
      <c r="AB310">
        <f t="shared" si="51"/>
        <v>11.422338333333329</v>
      </c>
      <c r="AC310">
        <f t="shared" si="51"/>
        <v>11.348133333333328</v>
      </c>
      <c r="AD310">
        <f t="shared" si="51"/>
        <v>10.01244333333333</v>
      </c>
    </row>
    <row r="311" spans="2:30" x14ac:dyDescent="0.2">
      <c r="B311" s="7">
        <v>44880</v>
      </c>
      <c r="C311" s="8">
        <v>11.640972222222219</v>
      </c>
      <c r="D311">
        <f t="shared" si="47"/>
        <v>14.917147222222219</v>
      </c>
      <c r="E311">
        <f t="shared" si="55"/>
        <v>14.84294222222222</v>
      </c>
      <c r="F311">
        <f t="shared" si="55"/>
        <v>14.768737222222219</v>
      </c>
      <c r="G311">
        <f t="shared" si="55"/>
        <v>14.694532222222218</v>
      </c>
      <c r="H311">
        <f t="shared" si="55"/>
        <v>14.620327222222219</v>
      </c>
      <c r="I311">
        <f t="shared" si="55"/>
        <v>14.54612222222222</v>
      </c>
      <c r="J311">
        <f t="shared" si="55"/>
        <v>14.471917222222219</v>
      </c>
      <c r="K311">
        <f t="shared" si="55"/>
        <v>14.39771222222222</v>
      </c>
      <c r="L311">
        <f t="shared" si="55"/>
        <v>14.323507222222219</v>
      </c>
      <c r="M311">
        <f t="shared" si="55"/>
        <v>14.249302222222219</v>
      </c>
      <c r="N311">
        <f t="shared" si="55"/>
        <v>14.17509722222222</v>
      </c>
      <c r="O311">
        <f t="shared" si="55"/>
        <v>14.100892222222219</v>
      </c>
      <c r="P311">
        <f t="shared" si="55"/>
        <v>14.026687222222218</v>
      </c>
      <c r="Q311">
        <f t="shared" si="55"/>
        <v>13.952482222222219</v>
      </c>
      <c r="R311">
        <f t="shared" si="55"/>
        <v>13.87827722222222</v>
      </c>
      <c r="S311">
        <f t="shared" si="55"/>
        <v>13.804072222222219</v>
      </c>
      <c r="T311">
        <f t="shared" si="55"/>
        <v>13.729867222222218</v>
      </c>
      <c r="U311">
        <f t="shared" si="51"/>
        <v>13.655662222222219</v>
      </c>
      <c r="V311">
        <f t="shared" si="51"/>
        <v>13.58145722222222</v>
      </c>
      <c r="W311">
        <f t="shared" si="51"/>
        <v>13.507252222222219</v>
      </c>
      <c r="X311">
        <f t="shared" si="51"/>
        <v>13.433047222222218</v>
      </c>
      <c r="Y311">
        <f t="shared" si="51"/>
        <v>13.358842222222219</v>
      </c>
      <c r="Z311">
        <f t="shared" si="51"/>
        <v>13.284637222222219</v>
      </c>
      <c r="AA311">
        <f t="shared" si="51"/>
        <v>13.210432222222218</v>
      </c>
      <c r="AB311">
        <f t="shared" si="51"/>
        <v>13.136227222222217</v>
      </c>
      <c r="AC311">
        <f t="shared" si="51"/>
        <v>13.062022222222218</v>
      </c>
      <c r="AD311">
        <f t="shared" si="51"/>
        <v>11.726332222222219</v>
      </c>
    </row>
    <row r="312" spans="2:30" x14ac:dyDescent="0.2">
      <c r="B312" s="7">
        <v>44881</v>
      </c>
      <c r="C312" s="8">
        <v>13.079861111111111</v>
      </c>
      <c r="D312">
        <f t="shared" si="47"/>
        <v>16.356036111111109</v>
      </c>
      <c r="E312">
        <f t="shared" si="55"/>
        <v>16.28183111111111</v>
      </c>
      <c r="F312">
        <f t="shared" si="55"/>
        <v>16.207626111111111</v>
      </c>
      <c r="G312">
        <f t="shared" si="55"/>
        <v>16.133421111111112</v>
      </c>
      <c r="H312">
        <f t="shared" si="55"/>
        <v>16.059216111111112</v>
      </c>
      <c r="I312">
        <f t="shared" si="55"/>
        <v>15.985011111111112</v>
      </c>
      <c r="J312">
        <f t="shared" si="55"/>
        <v>15.910806111111111</v>
      </c>
      <c r="K312">
        <f t="shared" si="55"/>
        <v>15.836601111111111</v>
      </c>
      <c r="L312">
        <f t="shared" si="55"/>
        <v>15.76239611111111</v>
      </c>
      <c r="M312">
        <f t="shared" si="55"/>
        <v>15.688191111111111</v>
      </c>
      <c r="N312">
        <f t="shared" si="55"/>
        <v>15.61398611111111</v>
      </c>
      <c r="O312">
        <f t="shared" si="55"/>
        <v>15.539781111111111</v>
      </c>
      <c r="P312">
        <f t="shared" si="55"/>
        <v>15.465576111111112</v>
      </c>
      <c r="Q312">
        <f t="shared" si="55"/>
        <v>15.391371111111111</v>
      </c>
      <c r="R312">
        <f t="shared" si="55"/>
        <v>15.31716611111111</v>
      </c>
      <c r="S312">
        <f t="shared" si="55"/>
        <v>15.242961111111111</v>
      </c>
      <c r="T312">
        <f t="shared" si="55"/>
        <v>15.168756111111112</v>
      </c>
      <c r="U312">
        <f t="shared" si="51"/>
        <v>15.094551111111111</v>
      </c>
      <c r="V312">
        <f t="shared" si="51"/>
        <v>15.02034611111111</v>
      </c>
      <c r="W312">
        <f t="shared" si="51"/>
        <v>14.94614111111111</v>
      </c>
      <c r="X312">
        <f t="shared" si="51"/>
        <v>14.871936111111111</v>
      </c>
      <c r="Y312">
        <f t="shared" si="51"/>
        <v>14.79773111111111</v>
      </c>
      <c r="Z312">
        <f t="shared" si="51"/>
        <v>14.723526111111109</v>
      </c>
      <c r="AA312">
        <f t="shared" si="51"/>
        <v>14.64932111111111</v>
      </c>
      <c r="AB312">
        <f t="shared" si="51"/>
        <v>14.575116111111111</v>
      </c>
      <c r="AC312">
        <f t="shared" si="51"/>
        <v>14.50091111111111</v>
      </c>
      <c r="AD312">
        <f t="shared" si="51"/>
        <v>13.165221111111112</v>
      </c>
    </row>
    <row r="313" spans="2:30" x14ac:dyDescent="0.2">
      <c r="B313" s="7">
        <v>44882</v>
      </c>
      <c r="C313" s="8">
        <v>12.769444444444435</v>
      </c>
      <c r="D313">
        <f t="shared" si="47"/>
        <v>16.045619444444434</v>
      </c>
      <c r="E313">
        <f t="shared" si="55"/>
        <v>15.971414444444434</v>
      </c>
      <c r="F313">
        <f t="shared" si="55"/>
        <v>15.897209444444435</v>
      </c>
      <c r="G313">
        <f t="shared" si="55"/>
        <v>15.823004444444436</v>
      </c>
      <c r="H313">
        <f t="shared" si="55"/>
        <v>15.748799444444435</v>
      </c>
      <c r="I313">
        <f t="shared" si="55"/>
        <v>15.674594444444436</v>
      </c>
      <c r="J313">
        <f t="shared" si="55"/>
        <v>15.600389444444435</v>
      </c>
      <c r="K313">
        <f t="shared" si="55"/>
        <v>15.526184444444436</v>
      </c>
      <c r="L313">
        <f t="shared" si="55"/>
        <v>15.451979444444435</v>
      </c>
      <c r="M313">
        <f t="shared" si="55"/>
        <v>15.377774444444436</v>
      </c>
      <c r="N313">
        <f t="shared" si="55"/>
        <v>15.303569444444435</v>
      </c>
      <c r="O313">
        <f t="shared" si="55"/>
        <v>15.229364444444435</v>
      </c>
      <c r="P313">
        <f t="shared" si="55"/>
        <v>15.155159444444436</v>
      </c>
      <c r="Q313">
        <f t="shared" si="55"/>
        <v>15.080954444444435</v>
      </c>
      <c r="R313">
        <f t="shared" si="55"/>
        <v>15.006749444444434</v>
      </c>
      <c r="S313">
        <f t="shared" si="55"/>
        <v>14.932544444444435</v>
      </c>
      <c r="T313">
        <f t="shared" si="55"/>
        <v>14.858339444444436</v>
      </c>
      <c r="U313">
        <f t="shared" si="51"/>
        <v>14.784134444444435</v>
      </c>
      <c r="V313">
        <f t="shared" si="51"/>
        <v>14.709929444444434</v>
      </c>
      <c r="W313">
        <f t="shared" si="51"/>
        <v>14.635724444444435</v>
      </c>
      <c r="X313">
        <f t="shared" si="51"/>
        <v>14.561519444444436</v>
      </c>
      <c r="Y313">
        <f t="shared" si="51"/>
        <v>14.487314444444435</v>
      </c>
      <c r="Z313">
        <f t="shared" si="51"/>
        <v>14.413109444444434</v>
      </c>
      <c r="AA313">
        <f t="shared" si="51"/>
        <v>14.338904444444434</v>
      </c>
      <c r="AB313">
        <f t="shared" si="51"/>
        <v>14.264699444444435</v>
      </c>
      <c r="AC313">
        <f t="shared" si="51"/>
        <v>14.190494444444434</v>
      </c>
      <c r="AD313">
        <f t="shared" si="51"/>
        <v>12.854804444444436</v>
      </c>
    </row>
    <row r="314" spans="2:30" x14ac:dyDescent="0.2">
      <c r="B314" s="7">
        <v>44883</v>
      </c>
      <c r="C314" s="8">
        <v>11.502083333333331</v>
      </c>
      <c r="D314">
        <f t="shared" si="47"/>
        <v>14.778258333333332</v>
      </c>
      <c r="E314">
        <f t="shared" si="55"/>
        <v>14.704053333333331</v>
      </c>
      <c r="F314">
        <f t="shared" si="55"/>
        <v>14.629848333333332</v>
      </c>
      <c r="G314">
        <f t="shared" si="55"/>
        <v>14.555643333333332</v>
      </c>
      <c r="H314">
        <f t="shared" si="55"/>
        <v>14.481438333333331</v>
      </c>
      <c r="I314">
        <f t="shared" si="55"/>
        <v>14.407233333333332</v>
      </c>
      <c r="J314">
        <f t="shared" si="55"/>
        <v>14.333028333333331</v>
      </c>
      <c r="K314">
        <f t="shared" si="55"/>
        <v>14.258823333333332</v>
      </c>
      <c r="L314">
        <f t="shared" si="55"/>
        <v>14.184618333333331</v>
      </c>
      <c r="M314">
        <f t="shared" si="55"/>
        <v>14.110413333333332</v>
      </c>
      <c r="N314">
        <f t="shared" si="55"/>
        <v>14.036208333333331</v>
      </c>
      <c r="O314">
        <f t="shared" si="55"/>
        <v>13.962003333333332</v>
      </c>
      <c r="P314">
        <f t="shared" si="55"/>
        <v>13.887798333333333</v>
      </c>
      <c r="Q314">
        <f t="shared" si="55"/>
        <v>13.813593333333332</v>
      </c>
      <c r="R314">
        <f t="shared" si="55"/>
        <v>13.739388333333331</v>
      </c>
      <c r="S314">
        <f t="shared" si="55"/>
        <v>13.665183333333331</v>
      </c>
      <c r="T314">
        <f t="shared" si="55"/>
        <v>13.590978333333332</v>
      </c>
      <c r="U314">
        <f t="shared" ref="U314:AD339" si="56">(-1.4841*U$3+3.6472)+$C314</f>
        <v>13.516773333333331</v>
      </c>
      <c r="V314">
        <f t="shared" si="56"/>
        <v>13.44256833333333</v>
      </c>
      <c r="W314">
        <f t="shared" si="56"/>
        <v>13.368363333333331</v>
      </c>
      <c r="X314">
        <f t="shared" si="56"/>
        <v>13.294158333333332</v>
      </c>
      <c r="Y314">
        <f t="shared" si="56"/>
        <v>13.219953333333331</v>
      </c>
      <c r="Z314">
        <f t="shared" si="56"/>
        <v>13.14574833333333</v>
      </c>
      <c r="AA314">
        <f t="shared" si="56"/>
        <v>13.071543333333331</v>
      </c>
      <c r="AB314">
        <f t="shared" si="56"/>
        <v>12.997338333333332</v>
      </c>
      <c r="AC314">
        <f t="shared" si="56"/>
        <v>12.923133333333331</v>
      </c>
      <c r="AD314">
        <f t="shared" si="56"/>
        <v>11.587443333333333</v>
      </c>
    </row>
    <row r="315" spans="2:30" x14ac:dyDescent="0.2">
      <c r="B315" s="7">
        <v>44884</v>
      </c>
      <c r="C315" s="8">
        <v>8.7624999999999993</v>
      </c>
      <c r="D315">
        <f t="shared" si="47"/>
        <v>12.038675</v>
      </c>
      <c r="E315">
        <f t="shared" si="55"/>
        <v>11.964469999999999</v>
      </c>
      <c r="F315">
        <f t="shared" si="55"/>
        <v>11.890264999999999</v>
      </c>
      <c r="G315">
        <f t="shared" si="55"/>
        <v>11.81606</v>
      </c>
      <c r="H315">
        <f t="shared" si="55"/>
        <v>11.741854999999999</v>
      </c>
      <c r="I315">
        <f t="shared" si="55"/>
        <v>11.66765</v>
      </c>
      <c r="J315">
        <f t="shared" si="55"/>
        <v>11.593444999999999</v>
      </c>
      <c r="K315">
        <f t="shared" si="55"/>
        <v>11.51924</v>
      </c>
      <c r="L315">
        <f t="shared" si="55"/>
        <v>11.445034999999999</v>
      </c>
      <c r="M315">
        <f t="shared" si="55"/>
        <v>11.37083</v>
      </c>
      <c r="N315">
        <f t="shared" si="55"/>
        <v>11.296624999999999</v>
      </c>
      <c r="O315">
        <f t="shared" si="55"/>
        <v>11.22242</v>
      </c>
      <c r="P315">
        <f t="shared" si="55"/>
        <v>11.148215</v>
      </c>
      <c r="Q315">
        <f t="shared" si="55"/>
        <v>11.074009999999999</v>
      </c>
      <c r="R315">
        <f t="shared" si="55"/>
        <v>10.999804999999999</v>
      </c>
      <c r="S315">
        <f t="shared" si="55"/>
        <v>10.925599999999999</v>
      </c>
      <c r="T315">
        <f t="shared" si="55"/>
        <v>10.851395</v>
      </c>
      <c r="U315">
        <f t="shared" si="56"/>
        <v>10.777189999999999</v>
      </c>
      <c r="V315">
        <f t="shared" si="56"/>
        <v>10.702984999999998</v>
      </c>
      <c r="W315">
        <f t="shared" si="56"/>
        <v>10.628779999999999</v>
      </c>
      <c r="X315">
        <f t="shared" si="56"/>
        <v>10.554575</v>
      </c>
      <c r="Y315">
        <f t="shared" si="56"/>
        <v>10.480369999999999</v>
      </c>
      <c r="Z315">
        <f t="shared" si="56"/>
        <v>10.406164999999998</v>
      </c>
      <c r="AA315">
        <f t="shared" si="56"/>
        <v>10.331959999999999</v>
      </c>
      <c r="AB315">
        <f t="shared" si="56"/>
        <v>10.257755</v>
      </c>
      <c r="AC315">
        <f t="shared" si="56"/>
        <v>10.183549999999999</v>
      </c>
      <c r="AD315">
        <f t="shared" si="56"/>
        <v>8.8478600000000007</v>
      </c>
    </row>
    <row r="316" spans="2:30" x14ac:dyDescent="0.2">
      <c r="B316" s="7">
        <v>44885</v>
      </c>
      <c r="C316" s="8">
        <v>5.6444444444444457</v>
      </c>
      <c r="D316">
        <f t="shared" si="47"/>
        <v>8.920619444444446</v>
      </c>
      <c r="E316">
        <f t="shared" si="55"/>
        <v>8.846414444444445</v>
      </c>
      <c r="F316">
        <f t="shared" si="55"/>
        <v>8.7722094444444458</v>
      </c>
      <c r="G316">
        <f t="shared" si="55"/>
        <v>8.6980044444444466</v>
      </c>
      <c r="H316">
        <f t="shared" si="55"/>
        <v>8.6237994444444457</v>
      </c>
      <c r="I316">
        <f t="shared" si="55"/>
        <v>8.5495944444444465</v>
      </c>
      <c r="J316">
        <f t="shared" si="55"/>
        <v>8.4753894444444455</v>
      </c>
      <c r="K316">
        <f t="shared" si="55"/>
        <v>8.4011844444444463</v>
      </c>
      <c r="L316">
        <f t="shared" si="55"/>
        <v>8.3269794444444454</v>
      </c>
      <c r="M316">
        <f t="shared" si="55"/>
        <v>8.2527744444444462</v>
      </c>
      <c r="N316">
        <f t="shared" si="55"/>
        <v>8.1785694444444452</v>
      </c>
      <c r="O316">
        <f t="shared" si="55"/>
        <v>8.104364444444446</v>
      </c>
      <c r="P316">
        <f t="shared" si="55"/>
        <v>8.0301594444444468</v>
      </c>
      <c r="Q316">
        <f t="shared" si="55"/>
        <v>7.9559544444444459</v>
      </c>
      <c r="R316">
        <f t="shared" si="55"/>
        <v>7.8817494444444458</v>
      </c>
      <c r="S316">
        <f t="shared" si="55"/>
        <v>7.8075444444444457</v>
      </c>
      <c r="T316">
        <f t="shared" si="55"/>
        <v>7.7333394444444457</v>
      </c>
      <c r="U316">
        <f t="shared" si="56"/>
        <v>7.6591344444444456</v>
      </c>
      <c r="V316">
        <f t="shared" si="56"/>
        <v>7.5849294444444455</v>
      </c>
      <c r="W316">
        <f t="shared" si="56"/>
        <v>7.5107244444444454</v>
      </c>
      <c r="X316">
        <f t="shared" si="56"/>
        <v>7.4365194444444453</v>
      </c>
      <c r="Y316">
        <f t="shared" si="56"/>
        <v>7.3623144444444453</v>
      </c>
      <c r="Z316">
        <f t="shared" si="56"/>
        <v>7.2881094444444452</v>
      </c>
      <c r="AA316">
        <f t="shared" si="56"/>
        <v>7.2139044444444451</v>
      </c>
      <c r="AB316">
        <f t="shared" si="56"/>
        <v>7.139699444444445</v>
      </c>
      <c r="AC316">
        <f t="shared" si="56"/>
        <v>7.065494444444445</v>
      </c>
      <c r="AD316">
        <f t="shared" si="56"/>
        <v>5.7298044444444463</v>
      </c>
    </row>
    <row r="317" spans="2:30" x14ac:dyDescent="0.2">
      <c r="B317" s="7">
        <v>44886</v>
      </c>
      <c r="C317" s="8">
        <v>8.1437500000000025</v>
      </c>
      <c r="D317">
        <f t="shared" si="47"/>
        <v>11.419925000000003</v>
      </c>
      <c r="E317">
        <f t="shared" si="55"/>
        <v>11.345720000000004</v>
      </c>
      <c r="F317">
        <f t="shared" si="55"/>
        <v>11.271515000000003</v>
      </c>
      <c r="G317">
        <f t="shared" si="55"/>
        <v>11.197310000000002</v>
      </c>
      <c r="H317">
        <f t="shared" si="55"/>
        <v>11.123105000000002</v>
      </c>
      <c r="I317">
        <f t="shared" si="55"/>
        <v>11.048900000000003</v>
      </c>
      <c r="J317">
        <f t="shared" si="55"/>
        <v>10.974695000000002</v>
      </c>
      <c r="K317">
        <f t="shared" si="55"/>
        <v>10.900490000000003</v>
      </c>
      <c r="L317">
        <f t="shared" si="55"/>
        <v>10.826285000000002</v>
      </c>
      <c r="M317">
        <f t="shared" si="55"/>
        <v>10.752080000000003</v>
      </c>
      <c r="N317">
        <f t="shared" si="55"/>
        <v>10.677875000000004</v>
      </c>
      <c r="O317">
        <f t="shared" si="55"/>
        <v>10.603670000000003</v>
      </c>
      <c r="P317">
        <f t="shared" si="55"/>
        <v>10.529465000000002</v>
      </c>
      <c r="Q317">
        <f t="shared" si="55"/>
        <v>10.455260000000003</v>
      </c>
      <c r="R317">
        <f t="shared" si="55"/>
        <v>10.381055000000003</v>
      </c>
      <c r="S317">
        <f t="shared" si="55"/>
        <v>10.306850000000003</v>
      </c>
      <c r="T317">
        <f t="shared" si="55"/>
        <v>10.232645000000002</v>
      </c>
      <c r="U317">
        <f t="shared" si="56"/>
        <v>10.158440000000002</v>
      </c>
      <c r="V317">
        <f t="shared" si="56"/>
        <v>10.084235000000003</v>
      </c>
      <c r="W317">
        <f t="shared" si="56"/>
        <v>10.010030000000002</v>
      </c>
      <c r="X317">
        <f t="shared" si="56"/>
        <v>9.9358250000000012</v>
      </c>
      <c r="Y317">
        <f t="shared" si="56"/>
        <v>9.8616200000000021</v>
      </c>
      <c r="Z317">
        <f t="shared" si="56"/>
        <v>9.7874150000000029</v>
      </c>
      <c r="AA317">
        <f t="shared" si="56"/>
        <v>9.7132100000000019</v>
      </c>
      <c r="AB317">
        <f t="shared" si="56"/>
        <v>9.6390050000000009</v>
      </c>
      <c r="AC317">
        <f t="shared" si="56"/>
        <v>9.5648000000000017</v>
      </c>
      <c r="AD317">
        <f t="shared" si="56"/>
        <v>8.2291100000000021</v>
      </c>
    </row>
    <row r="318" spans="2:30" x14ac:dyDescent="0.2">
      <c r="B318" s="7">
        <v>44887</v>
      </c>
      <c r="C318" s="8">
        <v>9.1868055555555603</v>
      </c>
      <c r="D318">
        <f t="shared" si="47"/>
        <v>12.462980555555561</v>
      </c>
      <c r="E318">
        <f t="shared" si="55"/>
        <v>12.388775555555561</v>
      </c>
      <c r="F318">
        <f t="shared" si="55"/>
        <v>12.31457055555556</v>
      </c>
      <c r="G318">
        <f t="shared" si="55"/>
        <v>12.240365555555559</v>
      </c>
      <c r="H318">
        <f t="shared" si="55"/>
        <v>12.16616055555556</v>
      </c>
      <c r="I318">
        <f t="shared" si="55"/>
        <v>12.091955555555561</v>
      </c>
      <c r="J318">
        <f t="shared" si="55"/>
        <v>12.01775055555556</v>
      </c>
      <c r="K318">
        <f t="shared" si="55"/>
        <v>11.943545555555561</v>
      </c>
      <c r="L318">
        <f t="shared" si="55"/>
        <v>11.86934055555556</v>
      </c>
      <c r="M318">
        <f t="shared" si="55"/>
        <v>11.795135555555561</v>
      </c>
      <c r="N318">
        <f t="shared" si="55"/>
        <v>11.720930555555562</v>
      </c>
      <c r="O318">
        <f t="shared" si="55"/>
        <v>11.646725555555561</v>
      </c>
      <c r="P318">
        <f t="shared" si="55"/>
        <v>11.57252055555556</v>
      </c>
      <c r="Q318">
        <f t="shared" si="55"/>
        <v>11.498315555555561</v>
      </c>
      <c r="R318">
        <f t="shared" si="55"/>
        <v>11.424110555555561</v>
      </c>
      <c r="S318">
        <f t="shared" si="55"/>
        <v>11.34990555555556</v>
      </c>
      <c r="T318">
        <f t="shared" si="55"/>
        <v>11.275700555555559</v>
      </c>
      <c r="U318">
        <f t="shared" si="56"/>
        <v>11.20149555555556</v>
      </c>
      <c r="V318">
        <f t="shared" si="56"/>
        <v>11.127290555555561</v>
      </c>
      <c r="W318">
        <f t="shared" si="56"/>
        <v>11.05308555555556</v>
      </c>
      <c r="X318">
        <f t="shared" si="56"/>
        <v>10.978880555555559</v>
      </c>
      <c r="Y318">
        <f t="shared" si="56"/>
        <v>10.90467555555556</v>
      </c>
      <c r="Z318">
        <f t="shared" si="56"/>
        <v>10.830470555555561</v>
      </c>
      <c r="AA318">
        <f t="shared" si="56"/>
        <v>10.75626555555556</v>
      </c>
      <c r="AB318">
        <f t="shared" si="56"/>
        <v>10.682060555555559</v>
      </c>
      <c r="AC318">
        <f t="shared" si="56"/>
        <v>10.60785555555556</v>
      </c>
      <c r="AD318">
        <f t="shared" si="56"/>
        <v>9.27216555555556</v>
      </c>
    </row>
    <row r="319" spans="2:30" x14ac:dyDescent="0.2">
      <c r="B319" s="7">
        <v>44888</v>
      </c>
      <c r="C319" s="8">
        <v>10.376388888888885</v>
      </c>
      <c r="D319">
        <f t="shared" si="47"/>
        <v>13.652563888888885</v>
      </c>
      <c r="E319">
        <f t="shared" si="55"/>
        <v>13.578358888888886</v>
      </c>
      <c r="F319">
        <f t="shared" si="55"/>
        <v>13.504153888888885</v>
      </c>
      <c r="G319">
        <f t="shared" si="55"/>
        <v>13.429948888888884</v>
      </c>
      <c r="H319">
        <f t="shared" si="55"/>
        <v>13.355743888888885</v>
      </c>
      <c r="I319">
        <f t="shared" si="55"/>
        <v>13.281538888888885</v>
      </c>
      <c r="J319">
        <f t="shared" si="55"/>
        <v>13.207333888888884</v>
      </c>
      <c r="K319">
        <f t="shared" si="55"/>
        <v>13.133128888888885</v>
      </c>
      <c r="L319">
        <f t="shared" si="55"/>
        <v>13.058923888888884</v>
      </c>
      <c r="M319">
        <f t="shared" si="55"/>
        <v>12.984718888888885</v>
      </c>
      <c r="N319">
        <f t="shared" si="55"/>
        <v>12.910513888888886</v>
      </c>
      <c r="O319">
        <f t="shared" si="55"/>
        <v>12.836308888888885</v>
      </c>
      <c r="P319">
        <f t="shared" si="55"/>
        <v>12.762103888888884</v>
      </c>
      <c r="Q319">
        <f t="shared" si="55"/>
        <v>12.687898888888885</v>
      </c>
      <c r="R319">
        <f t="shared" si="55"/>
        <v>12.613693888888886</v>
      </c>
      <c r="S319">
        <f t="shared" si="55"/>
        <v>12.539488888888885</v>
      </c>
      <c r="T319">
        <f t="shared" si="55"/>
        <v>12.465283888888884</v>
      </c>
      <c r="U319">
        <f t="shared" si="56"/>
        <v>12.391078888888885</v>
      </c>
      <c r="V319">
        <f t="shared" si="56"/>
        <v>12.316873888888885</v>
      </c>
      <c r="W319">
        <f t="shared" si="56"/>
        <v>12.242668888888884</v>
      </c>
      <c r="X319">
        <f t="shared" si="56"/>
        <v>12.168463888888883</v>
      </c>
      <c r="Y319">
        <f t="shared" si="56"/>
        <v>12.094258888888884</v>
      </c>
      <c r="Z319">
        <f t="shared" si="56"/>
        <v>12.020053888888885</v>
      </c>
      <c r="AA319">
        <f t="shared" si="56"/>
        <v>11.945848888888884</v>
      </c>
      <c r="AB319">
        <f t="shared" si="56"/>
        <v>11.871643888888883</v>
      </c>
      <c r="AC319">
        <f t="shared" si="56"/>
        <v>11.797438888888884</v>
      </c>
      <c r="AD319">
        <f t="shared" si="56"/>
        <v>10.461748888888884</v>
      </c>
    </row>
    <row r="320" spans="2:30" x14ac:dyDescent="0.2">
      <c r="B320" s="7">
        <v>44889</v>
      </c>
      <c r="C320" s="8">
        <v>10.655555555555555</v>
      </c>
      <c r="D320">
        <f t="shared" si="47"/>
        <v>13.931730555555555</v>
      </c>
      <c r="E320">
        <f t="shared" si="55"/>
        <v>13.857525555555554</v>
      </c>
      <c r="F320">
        <f t="shared" si="55"/>
        <v>13.783320555555555</v>
      </c>
      <c r="G320">
        <f t="shared" si="55"/>
        <v>13.709115555555556</v>
      </c>
      <c r="H320">
        <f t="shared" si="55"/>
        <v>13.634910555555555</v>
      </c>
      <c r="I320">
        <f t="shared" si="55"/>
        <v>13.560705555555556</v>
      </c>
      <c r="J320">
        <f t="shared" si="55"/>
        <v>13.486500555555555</v>
      </c>
      <c r="K320">
        <f t="shared" si="55"/>
        <v>13.412295555555556</v>
      </c>
      <c r="L320">
        <f t="shared" si="55"/>
        <v>13.338090555555555</v>
      </c>
      <c r="M320">
        <f t="shared" si="55"/>
        <v>13.263885555555555</v>
      </c>
      <c r="N320">
        <f t="shared" si="55"/>
        <v>13.189680555555555</v>
      </c>
      <c r="O320">
        <f t="shared" si="55"/>
        <v>13.115475555555555</v>
      </c>
      <c r="P320">
        <f t="shared" si="55"/>
        <v>13.041270555555556</v>
      </c>
      <c r="Q320">
        <f t="shared" si="55"/>
        <v>12.967065555555555</v>
      </c>
      <c r="R320">
        <f t="shared" si="55"/>
        <v>12.892860555555554</v>
      </c>
      <c r="S320">
        <f t="shared" si="55"/>
        <v>12.818655555555555</v>
      </c>
      <c r="T320">
        <f t="shared" si="55"/>
        <v>12.744450555555556</v>
      </c>
      <c r="U320">
        <f t="shared" si="56"/>
        <v>12.670245555555555</v>
      </c>
      <c r="V320">
        <f t="shared" si="56"/>
        <v>12.596040555555554</v>
      </c>
      <c r="W320">
        <f t="shared" si="56"/>
        <v>12.521835555555555</v>
      </c>
      <c r="X320">
        <f t="shared" si="56"/>
        <v>12.447630555555556</v>
      </c>
      <c r="Y320">
        <f t="shared" si="56"/>
        <v>12.373425555555555</v>
      </c>
      <c r="Z320">
        <f t="shared" si="56"/>
        <v>12.299220555555554</v>
      </c>
      <c r="AA320">
        <f t="shared" si="56"/>
        <v>12.225015555555554</v>
      </c>
      <c r="AB320">
        <f t="shared" si="56"/>
        <v>12.150810555555555</v>
      </c>
      <c r="AC320">
        <f t="shared" si="56"/>
        <v>12.076605555555554</v>
      </c>
      <c r="AD320">
        <f t="shared" si="56"/>
        <v>10.740915555555556</v>
      </c>
    </row>
    <row r="321" spans="2:30" x14ac:dyDescent="0.2">
      <c r="B321" s="7">
        <v>44890</v>
      </c>
      <c r="C321" s="8">
        <v>11.003472222222225</v>
      </c>
      <c r="D321">
        <f t="shared" si="47"/>
        <v>14.279647222222225</v>
      </c>
      <c r="E321">
        <f t="shared" si="55"/>
        <v>14.205442222222224</v>
      </c>
      <c r="F321">
        <f t="shared" si="55"/>
        <v>14.131237222222225</v>
      </c>
      <c r="G321">
        <f t="shared" si="55"/>
        <v>14.057032222222226</v>
      </c>
      <c r="H321">
        <f t="shared" si="55"/>
        <v>13.982827222222225</v>
      </c>
      <c r="I321">
        <f t="shared" si="55"/>
        <v>13.908622222222226</v>
      </c>
      <c r="J321">
        <f t="shared" si="55"/>
        <v>13.834417222222225</v>
      </c>
      <c r="K321">
        <f t="shared" si="55"/>
        <v>13.760212222222226</v>
      </c>
      <c r="L321">
        <f t="shared" si="55"/>
        <v>13.686007222222225</v>
      </c>
      <c r="M321">
        <f t="shared" si="55"/>
        <v>13.611802222222225</v>
      </c>
      <c r="N321">
        <f t="shared" si="55"/>
        <v>13.537597222222225</v>
      </c>
      <c r="O321">
        <f t="shared" si="55"/>
        <v>13.463392222222225</v>
      </c>
      <c r="P321">
        <f t="shared" si="55"/>
        <v>13.389187222222226</v>
      </c>
      <c r="Q321">
        <f t="shared" si="55"/>
        <v>13.314982222222225</v>
      </c>
      <c r="R321">
        <f t="shared" si="55"/>
        <v>13.240777222222224</v>
      </c>
      <c r="S321">
        <f t="shared" si="55"/>
        <v>13.166572222222225</v>
      </c>
      <c r="T321">
        <f t="shared" si="55"/>
        <v>13.092367222222226</v>
      </c>
      <c r="U321">
        <f t="shared" si="56"/>
        <v>13.018162222222225</v>
      </c>
      <c r="V321">
        <f t="shared" si="56"/>
        <v>12.943957222222224</v>
      </c>
      <c r="W321">
        <f t="shared" si="56"/>
        <v>12.869752222222225</v>
      </c>
      <c r="X321">
        <f t="shared" si="56"/>
        <v>12.795547222222226</v>
      </c>
      <c r="Y321">
        <f t="shared" si="56"/>
        <v>12.721342222222225</v>
      </c>
      <c r="Z321">
        <f t="shared" si="56"/>
        <v>12.647137222222224</v>
      </c>
      <c r="AA321">
        <f t="shared" si="56"/>
        <v>12.572932222222224</v>
      </c>
      <c r="AB321">
        <f t="shared" si="56"/>
        <v>12.498727222222225</v>
      </c>
      <c r="AC321">
        <f t="shared" si="56"/>
        <v>12.424522222222224</v>
      </c>
      <c r="AD321">
        <f t="shared" si="56"/>
        <v>11.088832222222226</v>
      </c>
    </row>
    <row r="322" spans="2:30" x14ac:dyDescent="0.2">
      <c r="B322" s="7">
        <v>44891</v>
      </c>
      <c r="C322" s="8">
        <v>9.8541666666666643</v>
      </c>
      <c r="D322">
        <f t="shared" si="47"/>
        <v>13.130341666666665</v>
      </c>
      <c r="E322">
        <f t="shared" si="55"/>
        <v>13.056136666666664</v>
      </c>
      <c r="F322">
        <f t="shared" si="55"/>
        <v>12.981931666666664</v>
      </c>
      <c r="G322">
        <f t="shared" si="55"/>
        <v>12.907726666666665</v>
      </c>
      <c r="H322">
        <f t="shared" si="55"/>
        <v>12.833521666666664</v>
      </c>
      <c r="I322">
        <f t="shared" si="55"/>
        <v>12.759316666666665</v>
      </c>
      <c r="J322">
        <f t="shared" si="55"/>
        <v>12.685111666666664</v>
      </c>
      <c r="K322">
        <f t="shared" si="55"/>
        <v>12.610906666666665</v>
      </c>
      <c r="L322">
        <f t="shared" si="55"/>
        <v>12.536701666666664</v>
      </c>
      <c r="M322">
        <f t="shared" si="55"/>
        <v>12.462496666666665</v>
      </c>
      <c r="N322">
        <f t="shared" si="55"/>
        <v>12.388291666666664</v>
      </c>
      <c r="O322">
        <f t="shared" si="55"/>
        <v>12.314086666666665</v>
      </c>
      <c r="P322">
        <f t="shared" si="55"/>
        <v>12.239881666666665</v>
      </c>
      <c r="Q322">
        <f t="shared" si="55"/>
        <v>12.165676666666664</v>
      </c>
      <c r="R322">
        <f t="shared" si="55"/>
        <v>12.091471666666664</v>
      </c>
      <c r="S322">
        <f t="shared" si="55"/>
        <v>12.017266666666664</v>
      </c>
      <c r="T322">
        <f t="shared" si="55"/>
        <v>11.943061666666665</v>
      </c>
      <c r="U322">
        <f t="shared" si="56"/>
        <v>11.868856666666664</v>
      </c>
      <c r="V322">
        <f t="shared" si="56"/>
        <v>11.794651666666663</v>
      </c>
      <c r="W322">
        <f t="shared" si="56"/>
        <v>11.720446666666664</v>
      </c>
      <c r="X322">
        <f t="shared" si="56"/>
        <v>11.646241666666665</v>
      </c>
      <c r="Y322">
        <f t="shared" si="56"/>
        <v>11.572036666666664</v>
      </c>
      <c r="Z322">
        <f t="shared" si="56"/>
        <v>11.497831666666663</v>
      </c>
      <c r="AA322">
        <f t="shared" si="56"/>
        <v>11.423626666666664</v>
      </c>
      <c r="AB322">
        <f t="shared" si="56"/>
        <v>11.349421666666665</v>
      </c>
      <c r="AC322">
        <f t="shared" si="56"/>
        <v>11.275216666666664</v>
      </c>
      <c r="AD322">
        <f t="shared" si="56"/>
        <v>9.9395266666666657</v>
      </c>
    </row>
    <row r="323" spans="2:30" x14ac:dyDescent="0.2">
      <c r="B323" s="7">
        <v>44892</v>
      </c>
      <c r="C323" s="8">
        <v>9.7152777777777715</v>
      </c>
      <c r="D323">
        <f t="shared" si="47"/>
        <v>12.991452777777772</v>
      </c>
      <c r="E323">
        <f t="shared" si="55"/>
        <v>12.917247777777771</v>
      </c>
      <c r="F323">
        <f t="shared" si="55"/>
        <v>12.843042777777772</v>
      </c>
      <c r="G323">
        <f t="shared" si="55"/>
        <v>12.768837777777772</v>
      </c>
      <c r="H323">
        <f t="shared" si="55"/>
        <v>12.694632777777771</v>
      </c>
      <c r="I323">
        <f t="shared" si="55"/>
        <v>12.620427777777772</v>
      </c>
      <c r="J323">
        <f t="shared" si="55"/>
        <v>12.546222777777771</v>
      </c>
      <c r="K323">
        <f t="shared" si="55"/>
        <v>12.472017777777772</v>
      </c>
      <c r="L323">
        <f t="shared" si="55"/>
        <v>12.397812777777771</v>
      </c>
      <c r="M323">
        <f t="shared" si="55"/>
        <v>12.323607777777772</v>
      </c>
      <c r="N323">
        <f t="shared" si="55"/>
        <v>12.249402777777771</v>
      </c>
      <c r="O323">
        <f t="shared" si="55"/>
        <v>12.175197777777772</v>
      </c>
      <c r="P323">
        <f t="shared" si="55"/>
        <v>12.100992777777773</v>
      </c>
      <c r="Q323">
        <f t="shared" si="55"/>
        <v>12.026787777777772</v>
      </c>
      <c r="R323">
        <f t="shared" si="55"/>
        <v>11.952582777777771</v>
      </c>
      <c r="S323">
        <f t="shared" si="55"/>
        <v>11.878377777777771</v>
      </c>
      <c r="T323">
        <f t="shared" si="55"/>
        <v>11.804172777777772</v>
      </c>
      <c r="U323">
        <f t="shared" si="56"/>
        <v>11.729967777777771</v>
      </c>
      <c r="V323">
        <f t="shared" si="56"/>
        <v>11.65576277777777</v>
      </c>
      <c r="W323">
        <f t="shared" si="56"/>
        <v>11.581557777777771</v>
      </c>
      <c r="X323">
        <f t="shared" si="56"/>
        <v>11.507352777777772</v>
      </c>
      <c r="Y323">
        <f t="shared" si="56"/>
        <v>11.433147777777771</v>
      </c>
      <c r="Z323">
        <f t="shared" si="56"/>
        <v>11.35894277777777</v>
      </c>
      <c r="AA323">
        <f t="shared" si="56"/>
        <v>11.284737777777771</v>
      </c>
      <c r="AB323">
        <f t="shared" si="56"/>
        <v>11.210532777777772</v>
      </c>
      <c r="AC323">
        <f t="shared" si="56"/>
        <v>11.136327777777771</v>
      </c>
      <c r="AD323">
        <f t="shared" si="56"/>
        <v>9.8006377777777729</v>
      </c>
    </row>
    <row r="324" spans="2:30" x14ac:dyDescent="0.2">
      <c r="B324" s="7">
        <v>44893</v>
      </c>
      <c r="C324" s="8">
        <v>11.124305555555562</v>
      </c>
      <c r="D324">
        <f t="shared" si="47"/>
        <v>14.400480555555562</v>
      </c>
      <c r="E324">
        <f t="shared" si="55"/>
        <v>14.326275555555561</v>
      </c>
      <c r="F324">
        <f t="shared" si="55"/>
        <v>14.252070555555562</v>
      </c>
      <c r="G324">
        <f t="shared" si="55"/>
        <v>14.177865555555563</v>
      </c>
      <c r="H324">
        <f t="shared" si="55"/>
        <v>14.103660555555562</v>
      </c>
      <c r="I324">
        <f t="shared" si="55"/>
        <v>14.029455555555563</v>
      </c>
      <c r="J324">
        <f t="shared" si="55"/>
        <v>13.955250555555562</v>
      </c>
      <c r="K324">
        <f t="shared" si="55"/>
        <v>13.881045555555563</v>
      </c>
      <c r="L324">
        <f t="shared" si="55"/>
        <v>13.806840555555562</v>
      </c>
      <c r="M324">
        <f t="shared" si="55"/>
        <v>13.732635555555563</v>
      </c>
      <c r="N324">
        <f t="shared" si="55"/>
        <v>13.658430555555562</v>
      </c>
      <c r="O324">
        <f t="shared" si="55"/>
        <v>13.584225555555562</v>
      </c>
      <c r="P324">
        <f t="shared" si="55"/>
        <v>13.510020555555563</v>
      </c>
      <c r="Q324">
        <f t="shared" si="55"/>
        <v>13.435815555555562</v>
      </c>
      <c r="R324">
        <f t="shared" si="55"/>
        <v>13.361610555555561</v>
      </c>
      <c r="S324">
        <f t="shared" si="55"/>
        <v>13.287405555555562</v>
      </c>
      <c r="T324">
        <f t="shared" ref="T324" si="57">(-1.4841*T$3+3.6472)+$C324</f>
        <v>13.213200555555563</v>
      </c>
      <c r="U324">
        <f t="shared" si="56"/>
        <v>13.138995555555562</v>
      </c>
      <c r="V324">
        <f t="shared" si="56"/>
        <v>13.064790555555561</v>
      </c>
      <c r="W324">
        <f t="shared" si="56"/>
        <v>12.990585555555562</v>
      </c>
      <c r="X324">
        <f t="shared" si="56"/>
        <v>12.916380555555563</v>
      </c>
      <c r="Y324">
        <f t="shared" si="56"/>
        <v>12.842175555555562</v>
      </c>
      <c r="Z324">
        <f t="shared" si="56"/>
        <v>12.767970555555561</v>
      </c>
      <c r="AA324">
        <f t="shared" si="56"/>
        <v>12.693765555555562</v>
      </c>
      <c r="AB324">
        <f t="shared" si="56"/>
        <v>12.619560555555562</v>
      </c>
      <c r="AC324">
        <f t="shared" si="56"/>
        <v>12.545355555555561</v>
      </c>
      <c r="AD324">
        <f t="shared" si="56"/>
        <v>11.209665555555564</v>
      </c>
    </row>
    <row r="325" spans="2:30" x14ac:dyDescent="0.2">
      <c r="B325" s="7">
        <v>44894</v>
      </c>
      <c r="C325" s="8">
        <v>10.869444444444444</v>
      </c>
      <c r="D325">
        <f t="shared" si="47"/>
        <v>14.145619444444444</v>
      </c>
      <c r="E325">
        <f t="shared" ref="E325:T340" si="58">(-1.4841*E$3+3.6472)+$C325</f>
        <v>14.071414444444443</v>
      </c>
      <c r="F325">
        <f t="shared" si="58"/>
        <v>13.997209444444444</v>
      </c>
      <c r="G325">
        <f t="shared" si="58"/>
        <v>13.923004444444445</v>
      </c>
      <c r="H325">
        <f t="shared" si="58"/>
        <v>13.848799444444444</v>
      </c>
      <c r="I325">
        <f t="shared" si="58"/>
        <v>13.774594444444444</v>
      </c>
      <c r="J325">
        <f t="shared" si="58"/>
        <v>13.700389444444443</v>
      </c>
      <c r="K325">
        <f t="shared" si="58"/>
        <v>13.626184444444444</v>
      </c>
      <c r="L325">
        <f t="shared" si="58"/>
        <v>13.551979444444443</v>
      </c>
      <c r="M325">
        <f t="shared" si="58"/>
        <v>13.477774444444444</v>
      </c>
      <c r="N325">
        <f t="shared" si="58"/>
        <v>13.403569444444443</v>
      </c>
      <c r="O325">
        <f t="shared" si="58"/>
        <v>13.329364444444444</v>
      </c>
      <c r="P325">
        <f t="shared" si="58"/>
        <v>13.255159444444445</v>
      </c>
      <c r="Q325">
        <f t="shared" si="58"/>
        <v>13.180954444444444</v>
      </c>
      <c r="R325">
        <f t="shared" si="58"/>
        <v>13.106749444444443</v>
      </c>
      <c r="S325">
        <f t="shared" si="58"/>
        <v>13.032544444444444</v>
      </c>
      <c r="T325">
        <f t="shared" si="58"/>
        <v>12.958339444444444</v>
      </c>
      <c r="U325">
        <f t="shared" si="56"/>
        <v>12.884134444444443</v>
      </c>
      <c r="V325">
        <f t="shared" si="56"/>
        <v>12.809929444444442</v>
      </c>
      <c r="W325">
        <f t="shared" si="56"/>
        <v>12.735724444444443</v>
      </c>
      <c r="X325">
        <f t="shared" si="56"/>
        <v>12.661519444444444</v>
      </c>
      <c r="Y325">
        <f t="shared" si="56"/>
        <v>12.587314444444443</v>
      </c>
      <c r="Z325">
        <f t="shared" si="56"/>
        <v>12.513109444444442</v>
      </c>
      <c r="AA325">
        <f t="shared" si="56"/>
        <v>12.438904444444443</v>
      </c>
      <c r="AB325">
        <f t="shared" si="56"/>
        <v>12.364699444444444</v>
      </c>
      <c r="AC325">
        <f t="shared" si="56"/>
        <v>12.290494444444443</v>
      </c>
      <c r="AD325">
        <f t="shared" si="56"/>
        <v>10.954804444444445</v>
      </c>
    </row>
    <row r="326" spans="2:30" x14ac:dyDescent="0.2">
      <c r="B326" s="7">
        <v>44895</v>
      </c>
      <c r="C326" s="8">
        <v>10.336805555555554</v>
      </c>
      <c r="D326">
        <f t="shared" ref="D326:D357" si="59">(-1.4841*D$3+3.6472)+C326</f>
        <v>13.612980555555554</v>
      </c>
      <c r="E326">
        <f t="shared" si="58"/>
        <v>13.538775555555553</v>
      </c>
      <c r="F326">
        <f t="shared" si="58"/>
        <v>13.464570555555554</v>
      </c>
      <c r="G326">
        <f t="shared" si="58"/>
        <v>13.390365555555555</v>
      </c>
      <c r="H326">
        <f t="shared" si="58"/>
        <v>13.316160555555554</v>
      </c>
      <c r="I326">
        <f t="shared" si="58"/>
        <v>13.241955555555554</v>
      </c>
      <c r="J326">
        <f t="shared" si="58"/>
        <v>13.167750555555553</v>
      </c>
      <c r="K326">
        <f t="shared" si="58"/>
        <v>13.093545555555554</v>
      </c>
      <c r="L326">
        <f t="shared" si="58"/>
        <v>13.019340555555553</v>
      </c>
      <c r="M326">
        <f t="shared" si="58"/>
        <v>12.945135555555554</v>
      </c>
      <c r="N326">
        <f t="shared" si="58"/>
        <v>12.870930555555553</v>
      </c>
      <c r="O326">
        <f t="shared" si="58"/>
        <v>12.796725555555554</v>
      </c>
      <c r="P326">
        <f t="shared" si="58"/>
        <v>12.722520555555555</v>
      </c>
      <c r="Q326">
        <f t="shared" si="58"/>
        <v>12.648315555555554</v>
      </c>
      <c r="R326">
        <f t="shared" si="58"/>
        <v>12.574110555555553</v>
      </c>
      <c r="S326">
        <f t="shared" si="58"/>
        <v>12.499905555555554</v>
      </c>
      <c r="T326">
        <f t="shared" si="58"/>
        <v>12.425700555555554</v>
      </c>
      <c r="U326">
        <f t="shared" si="56"/>
        <v>12.351495555555553</v>
      </c>
      <c r="V326">
        <f t="shared" si="56"/>
        <v>12.277290555555552</v>
      </c>
      <c r="W326">
        <f t="shared" si="56"/>
        <v>12.203085555555553</v>
      </c>
      <c r="X326">
        <f t="shared" si="56"/>
        <v>12.128880555555554</v>
      </c>
      <c r="Y326">
        <f t="shared" si="56"/>
        <v>12.054675555555553</v>
      </c>
      <c r="Z326">
        <f t="shared" si="56"/>
        <v>11.980470555555552</v>
      </c>
      <c r="AA326">
        <f t="shared" si="56"/>
        <v>11.906265555555553</v>
      </c>
      <c r="AB326">
        <f t="shared" si="56"/>
        <v>11.832060555555554</v>
      </c>
      <c r="AC326">
        <f t="shared" si="56"/>
        <v>11.757855555555553</v>
      </c>
      <c r="AD326">
        <f t="shared" si="56"/>
        <v>10.422165555555555</v>
      </c>
    </row>
    <row r="327" spans="2:30" x14ac:dyDescent="0.2">
      <c r="B327" s="7">
        <v>44896</v>
      </c>
      <c r="C327" s="8">
        <v>8.5263888888888903</v>
      </c>
      <c r="D327">
        <f t="shared" si="59"/>
        <v>11.802563888888891</v>
      </c>
      <c r="E327">
        <f t="shared" si="58"/>
        <v>11.728358888888891</v>
      </c>
      <c r="F327">
        <f t="shared" si="58"/>
        <v>11.65415388888889</v>
      </c>
      <c r="G327">
        <f t="shared" si="58"/>
        <v>11.57994888888889</v>
      </c>
      <c r="H327">
        <f t="shared" si="58"/>
        <v>11.50574388888889</v>
      </c>
      <c r="I327">
        <f t="shared" si="58"/>
        <v>11.431538888888891</v>
      </c>
      <c r="J327">
        <f t="shared" si="58"/>
        <v>11.35733388888889</v>
      </c>
      <c r="K327">
        <f t="shared" si="58"/>
        <v>11.283128888888891</v>
      </c>
      <c r="L327">
        <f t="shared" si="58"/>
        <v>11.20892388888889</v>
      </c>
      <c r="M327">
        <f t="shared" si="58"/>
        <v>11.134718888888891</v>
      </c>
      <c r="N327">
        <f t="shared" si="58"/>
        <v>11.060513888888892</v>
      </c>
      <c r="O327">
        <f t="shared" si="58"/>
        <v>10.986308888888891</v>
      </c>
      <c r="P327">
        <f t="shared" si="58"/>
        <v>10.91210388888889</v>
      </c>
      <c r="Q327">
        <f t="shared" si="58"/>
        <v>10.837898888888891</v>
      </c>
      <c r="R327">
        <f t="shared" si="58"/>
        <v>10.763693888888891</v>
      </c>
      <c r="S327">
        <f t="shared" si="58"/>
        <v>10.68948888888889</v>
      </c>
      <c r="T327">
        <f t="shared" si="58"/>
        <v>10.615283888888889</v>
      </c>
      <c r="U327">
        <f t="shared" si="56"/>
        <v>10.54107888888889</v>
      </c>
      <c r="V327">
        <f t="shared" si="56"/>
        <v>10.466873888888891</v>
      </c>
      <c r="W327">
        <f t="shared" si="56"/>
        <v>10.39266888888889</v>
      </c>
      <c r="X327">
        <f t="shared" si="56"/>
        <v>10.318463888888889</v>
      </c>
      <c r="Y327">
        <f t="shared" si="56"/>
        <v>10.24425888888889</v>
      </c>
      <c r="Z327">
        <f t="shared" si="56"/>
        <v>10.170053888888891</v>
      </c>
      <c r="AA327">
        <f t="shared" si="56"/>
        <v>10.09584888888889</v>
      </c>
      <c r="AB327">
        <f t="shared" si="56"/>
        <v>10.021643888888889</v>
      </c>
      <c r="AC327">
        <f t="shared" si="56"/>
        <v>9.9474388888888896</v>
      </c>
      <c r="AD327">
        <f t="shared" si="56"/>
        <v>8.61174888888889</v>
      </c>
    </row>
    <row r="328" spans="2:30" x14ac:dyDescent="0.2">
      <c r="B328" s="7">
        <v>44897</v>
      </c>
      <c r="C328" s="8">
        <v>7.5486111111111143</v>
      </c>
      <c r="D328">
        <f t="shared" si="59"/>
        <v>10.824786111111115</v>
      </c>
      <c r="E328">
        <f t="shared" si="58"/>
        <v>10.750581111111114</v>
      </c>
      <c r="F328">
        <f t="shared" si="58"/>
        <v>10.676376111111114</v>
      </c>
      <c r="G328">
        <f t="shared" si="58"/>
        <v>10.602171111111115</v>
      </c>
      <c r="H328">
        <f t="shared" si="58"/>
        <v>10.527966111111114</v>
      </c>
      <c r="I328">
        <f t="shared" si="58"/>
        <v>10.453761111111115</v>
      </c>
      <c r="J328">
        <f t="shared" si="58"/>
        <v>10.379556111111114</v>
      </c>
      <c r="K328">
        <f t="shared" si="58"/>
        <v>10.305351111111115</v>
      </c>
      <c r="L328">
        <f t="shared" si="58"/>
        <v>10.231146111111114</v>
      </c>
      <c r="M328">
        <f t="shared" si="58"/>
        <v>10.156941111111115</v>
      </c>
      <c r="N328">
        <f t="shared" si="58"/>
        <v>10.082736111111114</v>
      </c>
      <c r="O328">
        <f t="shared" si="58"/>
        <v>10.008531111111115</v>
      </c>
      <c r="P328">
        <f t="shared" si="58"/>
        <v>9.9343261111111154</v>
      </c>
      <c r="Q328">
        <f t="shared" si="58"/>
        <v>9.8601211111111144</v>
      </c>
      <c r="R328">
        <f t="shared" si="58"/>
        <v>9.7859161111111135</v>
      </c>
      <c r="S328">
        <f t="shared" si="58"/>
        <v>9.7117111111111143</v>
      </c>
      <c r="T328">
        <f t="shared" si="58"/>
        <v>9.6375061111111151</v>
      </c>
      <c r="U328">
        <f t="shared" si="56"/>
        <v>9.5633011111111141</v>
      </c>
      <c r="V328">
        <f t="shared" si="56"/>
        <v>9.4890961111111132</v>
      </c>
      <c r="W328">
        <f t="shared" si="56"/>
        <v>9.414891111111114</v>
      </c>
      <c r="X328">
        <f t="shared" si="56"/>
        <v>9.3406861111111148</v>
      </c>
      <c r="Y328">
        <f t="shared" si="56"/>
        <v>9.2664811111111138</v>
      </c>
      <c r="Z328">
        <f t="shared" si="56"/>
        <v>9.1922761111111129</v>
      </c>
      <c r="AA328">
        <f t="shared" si="56"/>
        <v>9.1180711111111137</v>
      </c>
      <c r="AB328">
        <f t="shared" si="56"/>
        <v>9.0438661111111145</v>
      </c>
      <c r="AC328">
        <f t="shared" si="56"/>
        <v>8.9696611111111135</v>
      </c>
      <c r="AD328">
        <f t="shared" si="56"/>
        <v>7.6339711111111148</v>
      </c>
    </row>
    <row r="329" spans="2:30" x14ac:dyDescent="0.2">
      <c r="B329" s="7">
        <v>44898</v>
      </c>
      <c r="C329" s="8">
        <v>5.5749999999999993</v>
      </c>
      <c r="D329">
        <f t="shared" si="59"/>
        <v>8.8511749999999996</v>
      </c>
      <c r="E329">
        <f t="shared" si="58"/>
        <v>8.7769699999999986</v>
      </c>
      <c r="F329">
        <f t="shared" si="58"/>
        <v>8.7027649999999994</v>
      </c>
      <c r="G329">
        <f t="shared" si="58"/>
        <v>8.6285600000000002</v>
      </c>
      <c r="H329">
        <f t="shared" si="58"/>
        <v>8.5543549999999993</v>
      </c>
      <c r="I329">
        <f t="shared" si="58"/>
        <v>8.4801500000000001</v>
      </c>
      <c r="J329">
        <f t="shared" si="58"/>
        <v>8.4059449999999991</v>
      </c>
      <c r="K329">
        <f t="shared" si="58"/>
        <v>8.3317399999999999</v>
      </c>
      <c r="L329">
        <f t="shared" si="58"/>
        <v>8.257534999999999</v>
      </c>
      <c r="M329">
        <f t="shared" si="58"/>
        <v>8.1833299999999998</v>
      </c>
      <c r="N329">
        <f t="shared" si="58"/>
        <v>8.1091249999999988</v>
      </c>
      <c r="O329">
        <f t="shared" si="58"/>
        <v>8.0349199999999996</v>
      </c>
      <c r="P329">
        <f t="shared" si="58"/>
        <v>7.9607149999999995</v>
      </c>
      <c r="Q329">
        <f t="shared" si="58"/>
        <v>7.8865099999999995</v>
      </c>
      <c r="R329">
        <f t="shared" si="58"/>
        <v>7.8123049999999994</v>
      </c>
      <c r="S329">
        <f t="shared" si="58"/>
        <v>7.7380999999999993</v>
      </c>
      <c r="T329">
        <f t="shared" si="58"/>
        <v>7.6638949999999992</v>
      </c>
      <c r="U329">
        <f t="shared" si="56"/>
        <v>7.5896899999999992</v>
      </c>
      <c r="V329">
        <f t="shared" si="56"/>
        <v>7.5154849999999991</v>
      </c>
      <c r="W329">
        <f t="shared" si="56"/>
        <v>7.441279999999999</v>
      </c>
      <c r="X329">
        <f t="shared" si="56"/>
        <v>7.3670749999999989</v>
      </c>
      <c r="Y329">
        <f t="shared" si="56"/>
        <v>7.2928699999999989</v>
      </c>
      <c r="Z329">
        <f t="shared" si="56"/>
        <v>7.2186649999999988</v>
      </c>
      <c r="AA329">
        <f t="shared" si="56"/>
        <v>7.1444599999999987</v>
      </c>
      <c r="AB329">
        <f t="shared" si="56"/>
        <v>7.0702549999999986</v>
      </c>
      <c r="AC329">
        <f t="shared" si="56"/>
        <v>6.9960499999999985</v>
      </c>
      <c r="AD329">
        <f t="shared" si="56"/>
        <v>5.6603599999999998</v>
      </c>
    </row>
    <row r="330" spans="2:30" x14ac:dyDescent="0.2">
      <c r="B330" s="7">
        <v>44899</v>
      </c>
      <c r="C330" s="8">
        <v>4.3812499999999996</v>
      </c>
      <c r="D330">
        <f t="shared" si="59"/>
        <v>7.6574249999999999</v>
      </c>
      <c r="E330">
        <f t="shared" si="58"/>
        <v>7.5832199999999998</v>
      </c>
      <c r="F330">
        <f t="shared" si="58"/>
        <v>7.5090149999999998</v>
      </c>
      <c r="G330">
        <f t="shared" si="58"/>
        <v>7.4348099999999997</v>
      </c>
      <c r="H330">
        <f t="shared" si="58"/>
        <v>7.3606049999999996</v>
      </c>
      <c r="I330">
        <f t="shared" si="58"/>
        <v>7.2864000000000004</v>
      </c>
      <c r="J330">
        <f t="shared" si="58"/>
        <v>7.2121949999999995</v>
      </c>
      <c r="K330">
        <f t="shared" si="58"/>
        <v>7.1379900000000003</v>
      </c>
      <c r="L330">
        <f t="shared" si="58"/>
        <v>7.0637849999999993</v>
      </c>
      <c r="M330">
        <f t="shared" si="58"/>
        <v>6.9895800000000001</v>
      </c>
      <c r="N330">
        <f t="shared" si="58"/>
        <v>6.915375</v>
      </c>
      <c r="O330">
        <f t="shared" si="58"/>
        <v>6.84117</v>
      </c>
      <c r="P330">
        <f t="shared" si="58"/>
        <v>6.7669649999999999</v>
      </c>
      <c r="Q330">
        <f t="shared" si="58"/>
        <v>6.6927599999999998</v>
      </c>
      <c r="R330">
        <f t="shared" si="58"/>
        <v>6.6185549999999997</v>
      </c>
      <c r="S330">
        <f t="shared" si="58"/>
        <v>6.5443499999999997</v>
      </c>
      <c r="T330">
        <f t="shared" si="58"/>
        <v>6.4701449999999996</v>
      </c>
      <c r="U330">
        <f t="shared" si="56"/>
        <v>6.3959399999999995</v>
      </c>
      <c r="V330">
        <f t="shared" si="56"/>
        <v>6.3217349999999994</v>
      </c>
      <c r="W330">
        <f t="shared" si="56"/>
        <v>6.2475299999999994</v>
      </c>
      <c r="X330">
        <f t="shared" si="56"/>
        <v>6.1733249999999993</v>
      </c>
      <c r="Y330">
        <f t="shared" si="56"/>
        <v>6.0991199999999992</v>
      </c>
      <c r="Z330">
        <f t="shared" si="56"/>
        <v>6.0249149999999991</v>
      </c>
      <c r="AA330">
        <f t="shared" si="56"/>
        <v>5.9507099999999991</v>
      </c>
      <c r="AB330">
        <f t="shared" si="56"/>
        <v>5.876504999999999</v>
      </c>
      <c r="AC330">
        <f t="shared" si="56"/>
        <v>5.8022999999999989</v>
      </c>
      <c r="AD330">
        <f t="shared" si="56"/>
        <v>4.4666100000000002</v>
      </c>
    </row>
    <row r="331" spans="2:30" x14ac:dyDescent="0.2">
      <c r="B331" s="7">
        <v>44900</v>
      </c>
      <c r="C331" s="8">
        <v>6.436805555555555</v>
      </c>
      <c r="D331">
        <f t="shared" si="59"/>
        <v>9.7129805555555553</v>
      </c>
      <c r="E331">
        <f t="shared" si="58"/>
        <v>9.6387755555555543</v>
      </c>
      <c r="F331">
        <f t="shared" si="58"/>
        <v>9.5645705555555551</v>
      </c>
      <c r="G331">
        <f t="shared" si="58"/>
        <v>9.4903655555555559</v>
      </c>
      <c r="H331">
        <f t="shared" si="58"/>
        <v>9.416160555555555</v>
      </c>
      <c r="I331">
        <f t="shared" si="58"/>
        <v>9.3419555555555558</v>
      </c>
      <c r="J331">
        <f t="shared" si="58"/>
        <v>9.2677505555555548</v>
      </c>
      <c r="K331">
        <f t="shared" si="58"/>
        <v>9.1935455555555556</v>
      </c>
      <c r="L331">
        <f t="shared" si="58"/>
        <v>9.1193405555555547</v>
      </c>
      <c r="M331">
        <f t="shared" si="58"/>
        <v>9.0451355555555555</v>
      </c>
      <c r="N331">
        <f t="shared" si="58"/>
        <v>8.9709305555555545</v>
      </c>
      <c r="O331">
        <f t="shared" si="58"/>
        <v>8.8967255555555553</v>
      </c>
      <c r="P331">
        <f t="shared" si="58"/>
        <v>8.8225205555555561</v>
      </c>
      <c r="Q331">
        <f t="shared" si="58"/>
        <v>8.7483155555555552</v>
      </c>
      <c r="R331">
        <f t="shared" si="58"/>
        <v>8.6741105555555542</v>
      </c>
      <c r="S331">
        <f t="shared" si="58"/>
        <v>8.599905555555555</v>
      </c>
      <c r="T331">
        <f t="shared" si="58"/>
        <v>8.5257005555555558</v>
      </c>
      <c r="U331">
        <f t="shared" si="56"/>
        <v>8.4514955555555549</v>
      </c>
      <c r="V331">
        <f t="shared" si="56"/>
        <v>8.3772905555555539</v>
      </c>
      <c r="W331">
        <f t="shared" si="56"/>
        <v>8.3030855555555547</v>
      </c>
      <c r="X331">
        <f t="shared" si="56"/>
        <v>8.2288805555555555</v>
      </c>
      <c r="Y331">
        <f t="shared" si="56"/>
        <v>8.1546755555555546</v>
      </c>
      <c r="Z331">
        <f t="shared" si="56"/>
        <v>8.0804705555555536</v>
      </c>
      <c r="AA331">
        <f t="shared" si="56"/>
        <v>8.0062655555555544</v>
      </c>
      <c r="AB331">
        <f t="shared" si="56"/>
        <v>7.9320605555555543</v>
      </c>
      <c r="AC331">
        <f t="shared" si="56"/>
        <v>7.8578555555555543</v>
      </c>
      <c r="AD331">
        <f t="shared" si="56"/>
        <v>6.5221655555555555</v>
      </c>
    </row>
    <row r="332" spans="2:30" x14ac:dyDescent="0.2">
      <c r="B332" s="7">
        <v>44901</v>
      </c>
      <c r="C332" s="8">
        <v>7.5798611111111072</v>
      </c>
      <c r="D332">
        <f t="shared" si="59"/>
        <v>10.856036111111107</v>
      </c>
      <c r="E332">
        <f t="shared" si="58"/>
        <v>10.781831111111106</v>
      </c>
      <c r="F332">
        <f t="shared" si="58"/>
        <v>10.707626111111107</v>
      </c>
      <c r="G332">
        <f t="shared" si="58"/>
        <v>10.633421111111108</v>
      </c>
      <c r="H332">
        <f t="shared" si="58"/>
        <v>10.559216111111107</v>
      </c>
      <c r="I332">
        <f t="shared" si="58"/>
        <v>10.485011111111108</v>
      </c>
      <c r="J332">
        <f t="shared" si="58"/>
        <v>10.410806111111107</v>
      </c>
      <c r="K332">
        <f t="shared" si="58"/>
        <v>10.336601111111108</v>
      </c>
      <c r="L332">
        <f t="shared" si="58"/>
        <v>10.262396111111107</v>
      </c>
      <c r="M332">
        <f t="shared" si="58"/>
        <v>10.188191111111108</v>
      </c>
      <c r="N332">
        <f t="shared" si="58"/>
        <v>10.113986111111107</v>
      </c>
      <c r="O332">
        <f t="shared" si="58"/>
        <v>10.039781111111107</v>
      </c>
      <c r="P332">
        <f t="shared" si="58"/>
        <v>9.9655761111111083</v>
      </c>
      <c r="Q332">
        <f t="shared" si="58"/>
        <v>9.8913711111111073</v>
      </c>
      <c r="R332">
        <f t="shared" si="58"/>
        <v>9.8171661111111064</v>
      </c>
      <c r="S332">
        <f t="shared" si="58"/>
        <v>9.7429611111111072</v>
      </c>
      <c r="T332">
        <f t="shared" si="58"/>
        <v>9.668756111111108</v>
      </c>
      <c r="U332">
        <f t="shared" si="56"/>
        <v>9.594551111111107</v>
      </c>
      <c r="V332">
        <f t="shared" si="56"/>
        <v>9.5203461111111061</v>
      </c>
      <c r="W332">
        <f t="shared" si="56"/>
        <v>9.4461411111111069</v>
      </c>
      <c r="X332">
        <f t="shared" si="56"/>
        <v>9.3719361111111077</v>
      </c>
      <c r="Y332">
        <f t="shared" si="56"/>
        <v>9.2977311111111067</v>
      </c>
      <c r="Z332">
        <f t="shared" si="56"/>
        <v>9.2235261111111058</v>
      </c>
      <c r="AA332">
        <f t="shared" si="56"/>
        <v>9.1493211111111066</v>
      </c>
      <c r="AB332">
        <f t="shared" si="56"/>
        <v>9.0751161111111074</v>
      </c>
      <c r="AC332">
        <f t="shared" si="56"/>
        <v>9.0009111111111064</v>
      </c>
      <c r="AD332">
        <f t="shared" si="56"/>
        <v>7.6652211111111077</v>
      </c>
    </row>
    <row r="333" spans="2:30" x14ac:dyDescent="0.2">
      <c r="B333" s="7">
        <v>44902</v>
      </c>
      <c r="C333" s="8">
        <v>7.4305555555555554</v>
      </c>
      <c r="D333">
        <f t="shared" si="59"/>
        <v>10.706730555555556</v>
      </c>
      <c r="E333">
        <f t="shared" si="58"/>
        <v>10.632525555555556</v>
      </c>
      <c r="F333">
        <f t="shared" si="58"/>
        <v>10.558320555555555</v>
      </c>
      <c r="G333">
        <f t="shared" si="58"/>
        <v>10.484115555555555</v>
      </c>
      <c r="H333">
        <f t="shared" si="58"/>
        <v>10.409910555555555</v>
      </c>
      <c r="I333">
        <f t="shared" si="58"/>
        <v>10.335705555555556</v>
      </c>
      <c r="J333">
        <f t="shared" si="58"/>
        <v>10.261500555555555</v>
      </c>
      <c r="K333">
        <f t="shared" si="58"/>
        <v>10.187295555555556</v>
      </c>
      <c r="L333">
        <f t="shared" si="58"/>
        <v>10.113090555555555</v>
      </c>
      <c r="M333">
        <f t="shared" si="58"/>
        <v>10.038885555555556</v>
      </c>
      <c r="N333">
        <f t="shared" si="58"/>
        <v>9.9646805555555567</v>
      </c>
      <c r="O333">
        <f t="shared" si="58"/>
        <v>9.8904755555555557</v>
      </c>
      <c r="P333">
        <f t="shared" si="58"/>
        <v>9.8162705555555547</v>
      </c>
      <c r="Q333">
        <f t="shared" si="58"/>
        <v>9.7420655555555555</v>
      </c>
      <c r="R333">
        <f t="shared" si="58"/>
        <v>9.6678605555555563</v>
      </c>
      <c r="S333">
        <f t="shared" si="58"/>
        <v>9.5936555555555554</v>
      </c>
      <c r="T333">
        <f t="shared" si="58"/>
        <v>9.5194505555555544</v>
      </c>
      <c r="U333">
        <f t="shared" si="56"/>
        <v>9.4452455555555552</v>
      </c>
      <c r="V333">
        <f t="shared" si="56"/>
        <v>9.371040555555556</v>
      </c>
      <c r="W333">
        <f t="shared" si="56"/>
        <v>9.2968355555555551</v>
      </c>
      <c r="X333">
        <f t="shared" si="56"/>
        <v>9.2226305555555541</v>
      </c>
      <c r="Y333">
        <f t="shared" si="56"/>
        <v>9.1484255555555549</v>
      </c>
      <c r="Z333">
        <f t="shared" si="56"/>
        <v>9.0742205555555557</v>
      </c>
      <c r="AA333">
        <f t="shared" si="56"/>
        <v>9.0000155555555548</v>
      </c>
      <c r="AB333">
        <f t="shared" si="56"/>
        <v>8.9258105555555538</v>
      </c>
      <c r="AC333">
        <f t="shared" si="56"/>
        <v>8.8516055555555546</v>
      </c>
      <c r="AD333">
        <f t="shared" si="56"/>
        <v>7.5159155555555559</v>
      </c>
    </row>
    <row r="334" spans="2:30" x14ac:dyDescent="0.2">
      <c r="B334" s="7">
        <v>44903</v>
      </c>
      <c r="C334" s="8">
        <v>7.2076388888888934</v>
      </c>
      <c r="D334">
        <f t="shared" si="59"/>
        <v>10.483813888888893</v>
      </c>
      <c r="E334">
        <f t="shared" si="58"/>
        <v>10.409608888888894</v>
      </c>
      <c r="F334">
        <f t="shared" si="58"/>
        <v>10.335403888888894</v>
      </c>
      <c r="G334">
        <f t="shared" si="58"/>
        <v>10.261198888888893</v>
      </c>
      <c r="H334">
        <f t="shared" si="58"/>
        <v>10.186993888888894</v>
      </c>
      <c r="I334">
        <f t="shared" si="58"/>
        <v>10.112788888888893</v>
      </c>
      <c r="J334">
        <f t="shared" si="58"/>
        <v>10.038583888888894</v>
      </c>
      <c r="K334">
        <f t="shared" si="58"/>
        <v>9.9643788888888931</v>
      </c>
      <c r="L334">
        <f t="shared" si="58"/>
        <v>9.8901738888888939</v>
      </c>
      <c r="M334">
        <f t="shared" si="58"/>
        <v>9.815968888888893</v>
      </c>
      <c r="N334">
        <f t="shared" si="58"/>
        <v>9.7417638888888938</v>
      </c>
      <c r="O334">
        <f t="shared" si="58"/>
        <v>9.6675588888888946</v>
      </c>
      <c r="P334">
        <f t="shared" si="58"/>
        <v>9.5933538888888936</v>
      </c>
      <c r="Q334">
        <f t="shared" si="58"/>
        <v>9.5191488888888927</v>
      </c>
      <c r="R334">
        <f t="shared" si="58"/>
        <v>9.4449438888888935</v>
      </c>
      <c r="S334">
        <f t="shared" si="58"/>
        <v>9.3707388888888943</v>
      </c>
      <c r="T334">
        <f t="shared" si="58"/>
        <v>9.2965338888888933</v>
      </c>
      <c r="U334">
        <f t="shared" si="56"/>
        <v>9.2223288888888924</v>
      </c>
      <c r="V334">
        <f t="shared" si="56"/>
        <v>9.1481238888888932</v>
      </c>
      <c r="W334">
        <f t="shared" si="56"/>
        <v>9.073918888888894</v>
      </c>
      <c r="X334">
        <f t="shared" si="56"/>
        <v>8.999713888888893</v>
      </c>
      <c r="Y334">
        <f t="shared" si="56"/>
        <v>8.925508888888892</v>
      </c>
      <c r="Z334">
        <f t="shared" si="56"/>
        <v>8.8513038888888929</v>
      </c>
      <c r="AA334">
        <f t="shared" si="56"/>
        <v>8.7770988888888937</v>
      </c>
      <c r="AB334">
        <f t="shared" si="56"/>
        <v>8.7028938888888927</v>
      </c>
      <c r="AC334">
        <f t="shared" si="56"/>
        <v>8.6286888888888917</v>
      </c>
      <c r="AD334">
        <f t="shared" si="56"/>
        <v>7.2929988888888939</v>
      </c>
    </row>
    <row r="335" spans="2:30" x14ac:dyDescent="0.2">
      <c r="B335" s="7">
        <v>44904</v>
      </c>
      <c r="C335" s="8">
        <v>6.0124999999999993</v>
      </c>
      <c r="D335">
        <f t="shared" si="59"/>
        <v>9.2886749999999996</v>
      </c>
      <c r="E335">
        <f t="shared" si="58"/>
        <v>9.2144699999999986</v>
      </c>
      <c r="F335">
        <f t="shared" si="58"/>
        <v>9.1402649999999994</v>
      </c>
      <c r="G335">
        <f t="shared" si="58"/>
        <v>9.0660600000000002</v>
      </c>
      <c r="H335">
        <f t="shared" si="58"/>
        <v>8.9918549999999993</v>
      </c>
      <c r="I335">
        <f t="shared" si="58"/>
        <v>8.9176500000000001</v>
      </c>
      <c r="J335">
        <f t="shared" si="58"/>
        <v>8.8434449999999991</v>
      </c>
      <c r="K335">
        <f t="shared" si="58"/>
        <v>8.7692399999999999</v>
      </c>
      <c r="L335">
        <f t="shared" si="58"/>
        <v>8.695034999999999</v>
      </c>
      <c r="M335">
        <f t="shared" si="58"/>
        <v>8.6208299999999998</v>
      </c>
      <c r="N335">
        <f t="shared" si="58"/>
        <v>8.5466249999999988</v>
      </c>
      <c r="O335">
        <f t="shared" si="58"/>
        <v>8.4724199999999996</v>
      </c>
      <c r="P335">
        <f t="shared" si="58"/>
        <v>8.3982150000000004</v>
      </c>
      <c r="Q335">
        <f t="shared" si="58"/>
        <v>8.3240099999999995</v>
      </c>
      <c r="R335">
        <f t="shared" si="58"/>
        <v>8.2498049999999985</v>
      </c>
      <c r="S335">
        <f t="shared" si="58"/>
        <v>8.1755999999999993</v>
      </c>
      <c r="T335">
        <f t="shared" si="58"/>
        <v>8.1013950000000001</v>
      </c>
      <c r="U335">
        <f t="shared" si="56"/>
        <v>8.0271899999999992</v>
      </c>
      <c r="V335">
        <f t="shared" si="56"/>
        <v>7.9529849999999991</v>
      </c>
      <c r="W335">
        <f t="shared" si="56"/>
        <v>7.878779999999999</v>
      </c>
      <c r="X335">
        <f t="shared" si="56"/>
        <v>7.8045749999999989</v>
      </c>
      <c r="Y335">
        <f t="shared" si="56"/>
        <v>7.7303699999999989</v>
      </c>
      <c r="Z335">
        <f t="shared" si="56"/>
        <v>7.6561649999999988</v>
      </c>
      <c r="AA335">
        <f t="shared" si="56"/>
        <v>7.5819599999999987</v>
      </c>
      <c r="AB335">
        <f t="shared" si="56"/>
        <v>7.5077549999999986</v>
      </c>
      <c r="AC335">
        <f t="shared" si="56"/>
        <v>7.4335499999999985</v>
      </c>
      <c r="AD335">
        <f t="shared" si="56"/>
        <v>6.0978599999999998</v>
      </c>
    </row>
    <row r="336" spans="2:30" x14ac:dyDescent="0.2">
      <c r="B336" s="7">
        <v>44905</v>
      </c>
      <c r="C336" s="8">
        <v>5.4965277777777768</v>
      </c>
      <c r="D336">
        <f t="shared" si="59"/>
        <v>8.7727027777777771</v>
      </c>
      <c r="E336">
        <f t="shared" si="58"/>
        <v>8.6984977777777779</v>
      </c>
      <c r="F336">
        <f t="shared" si="58"/>
        <v>8.6242927777777769</v>
      </c>
      <c r="G336">
        <f t="shared" si="58"/>
        <v>8.550087777777776</v>
      </c>
      <c r="H336">
        <f t="shared" si="58"/>
        <v>8.4758827777777768</v>
      </c>
      <c r="I336">
        <f t="shared" si="58"/>
        <v>8.4016777777777776</v>
      </c>
      <c r="J336">
        <f t="shared" si="58"/>
        <v>8.3274727777777766</v>
      </c>
      <c r="K336">
        <f t="shared" si="58"/>
        <v>8.2532677777777774</v>
      </c>
      <c r="L336">
        <f t="shared" si="58"/>
        <v>8.1790627777777765</v>
      </c>
      <c r="M336">
        <f t="shared" si="58"/>
        <v>8.1048577777777773</v>
      </c>
      <c r="N336">
        <f t="shared" si="58"/>
        <v>8.0306527777777781</v>
      </c>
      <c r="O336">
        <f t="shared" si="58"/>
        <v>7.9564477777777771</v>
      </c>
      <c r="P336">
        <f t="shared" si="58"/>
        <v>7.882242777777777</v>
      </c>
      <c r="Q336">
        <f t="shared" si="58"/>
        <v>7.808037777777777</v>
      </c>
      <c r="R336">
        <f t="shared" si="58"/>
        <v>7.7338327777777769</v>
      </c>
      <c r="S336">
        <f t="shared" si="58"/>
        <v>7.6596277777777768</v>
      </c>
      <c r="T336">
        <f t="shared" si="58"/>
        <v>7.5854227777777767</v>
      </c>
      <c r="U336">
        <f t="shared" si="56"/>
        <v>7.5112177777777767</v>
      </c>
      <c r="V336">
        <f t="shared" si="56"/>
        <v>7.4370127777777766</v>
      </c>
      <c r="W336">
        <f t="shared" si="56"/>
        <v>7.3628077777777765</v>
      </c>
      <c r="X336">
        <f t="shared" si="56"/>
        <v>7.2886027777777764</v>
      </c>
      <c r="Y336">
        <f t="shared" si="56"/>
        <v>7.2143977777777764</v>
      </c>
      <c r="Z336">
        <f t="shared" si="56"/>
        <v>7.1401927777777763</v>
      </c>
      <c r="AA336">
        <f t="shared" si="56"/>
        <v>7.0659877777777762</v>
      </c>
      <c r="AB336">
        <f t="shared" si="56"/>
        <v>6.9917827777777761</v>
      </c>
      <c r="AC336">
        <f t="shared" si="56"/>
        <v>6.917577777777776</v>
      </c>
      <c r="AD336">
        <f t="shared" si="56"/>
        <v>5.5818877777777773</v>
      </c>
    </row>
    <row r="337" spans="2:30" x14ac:dyDescent="0.2">
      <c r="B337" s="7">
        <v>44906</v>
      </c>
      <c r="C337" s="8">
        <v>5.8020833333333339</v>
      </c>
      <c r="D337">
        <f t="shared" si="59"/>
        <v>9.0782583333333342</v>
      </c>
      <c r="E337">
        <f t="shared" si="58"/>
        <v>9.004053333333335</v>
      </c>
      <c r="F337">
        <f t="shared" si="58"/>
        <v>8.9298483333333341</v>
      </c>
      <c r="G337">
        <f t="shared" si="58"/>
        <v>8.8556433333333331</v>
      </c>
      <c r="H337">
        <f t="shared" si="58"/>
        <v>8.7814383333333339</v>
      </c>
      <c r="I337">
        <f t="shared" si="58"/>
        <v>8.7072333333333347</v>
      </c>
      <c r="J337">
        <f t="shared" si="58"/>
        <v>8.6330283333333337</v>
      </c>
      <c r="K337">
        <f t="shared" si="58"/>
        <v>8.5588233333333346</v>
      </c>
      <c r="L337">
        <f t="shared" si="58"/>
        <v>8.4846183333333336</v>
      </c>
      <c r="M337">
        <f t="shared" si="58"/>
        <v>8.4104133333333344</v>
      </c>
      <c r="N337">
        <f t="shared" si="58"/>
        <v>8.3362083333333352</v>
      </c>
      <c r="O337">
        <f t="shared" si="58"/>
        <v>8.2620033333333343</v>
      </c>
      <c r="P337">
        <f t="shared" si="58"/>
        <v>8.1877983333333333</v>
      </c>
      <c r="Q337">
        <f t="shared" si="58"/>
        <v>8.1135933333333341</v>
      </c>
      <c r="R337">
        <f t="shared" si="58"/>
        <v>8.0393883333333349</v>
      </c>
      <c r="S337">
        <f t="shared" si="58"/>
        <v>7.9651833333333339</v>
      </c>
      <c r="T337">
        <f t="shared" si="58"/>
        <v>7.8909783333333339</v>
      </c>
      <c r="U337">
        <f t="shared" si="56"/>
        <v>7.8167733333333338</v>
      </c>
      <c r="V337">
        <f t="shared" si="56"/>
        <v>7.7425683333333337</v>
      </c>
      <c r="W337">
        <f t="shared" si="56"/>
        <v>7.6683633333333336</v>
      </c>
      <c r="X337">
        <f t="shared" si="56"/>
        <v>7.5941583333333336</v>
      </c>
      <c r="Y337">
        <f t="shared" si="56"/>
        <v>7.5199533333333335</v>
      </c>
      <c r="Z337">
        <f t="shared" si="56"/>
        <v>7.4457483333333334</v>
      </c>
      <c r="AA337">
        <f t="shared" si="56"/>
        <v>7.3715433333333333</v>
      </c>
      <c r="AB337">
        <f t="shared" si="56"/>
        <v>7.2973383333333333</v>
      </c>
      <c r="AC337">
        <f t="shared" si="56"/>
        <v>7.2231333333333332</v>
      </c>
      <c r="AD337">
        <f t="shared" si="56"/>
        <v>5.8874433333333345</v>
      </c>
    </row>
    <row r="338" spans="2:30" x14ac:dyDescent="0.2">
      <c r="B338" s="7">
        <v>44907</v>
      </c>
      <c r="C338" s="8">
        <v>5.3576388888888893</v>
      </c>
      <c r="D338">
        <f t="shared" si="59"/>
        <v>8.6338138888888896</v>
      </c>
      <c r="E338">
        <f t="shared" si="58"/>
        <v>8.5596088888888886</v>
      </c>
      <c r="F338">
        <f t="shared" si="58"/>
        <v>8.4854038888888894</v>
      </c>
      <c r="G338">
        <f t="shared" si="58"/>
        <v>8.4111988888888902</v>
      </c>
      <c r="H338">
        <f t="shared" si="58"/>
        <v>8.3369938888888893</v>
      </c>
      <c r="I338">
        <f t="shared" si="58"/>
        <v>8.2627888888888901</v>
      </c>
      <c r="J338">
        <f t="shared" si="58"/>
        <v>8.1885838888888891</v>
      </c>
      <c r="K338">
        <f t="shared" si="58"/>
        <v>8.1143788888888899</v>
      </c>
      <c r="L338">
        <f t="shared" si="58"/>
        <v>8.040173888888889</v>
      </c>
      <c r="M338">
        <f t="shared" si="58"/>
        <v>7.9659688888888898</v>
      </c>
      <c r="N338">
        <f t="shared" si="58"/>
        <v>7.8917638888888897</v>
      </c>
      <c r="O338">
        <f t="shared" si="58"/>
        <v>7.8175588888888896</v>
      </c>
      <c r="P338">
        <f t="shared" si="58"/>
        <v>7.7433538888888895</v>
      </c>
      <c r="Q338">
        <f t="shared" si="58"/>
        <v>7.6691488888888895</v>
      </c>
      <c r="R338">
        <f t="shared" si="58"/>
        <v>7.5949438888888894</v>
      </c>
      <c r="S338">
        <f t="shared" si="58"/>
        <v>7.5207388888888893</v>
      </c>
      <c r="T338">
        <f t="shared" si="58"/>
        <v>7.4465338888888892</v>
      </c>
      <c r="U338">
        <f t="shared" si="56"/>
        <v>7.3723288888888892</v>
      </c>
      <c r="V338">
        <f t="shared" si="56"/>
        <v>7.2981238888888891</v>
      </c>
      <c r="W338">
        <f t="shared" si="56"/>
        <v>7.223918888888889</v>
      </c>
      <c r="X338">
        <f t="shared" si="56"/>
        <v>7.1497138888888889</v>
      </c>
      <c r="Y338">
        <f t="shared" si="56"/>
        <v>7.0755088888888888</v>
      </c>
      <c r="Z338">
        <f t="shared" si="56"/>
        <v>7.0013038888888888</v>
      </c>
      <c r="AA338">
        <f t="shared" si="56"/>
        <v>6.9270988888888887</v>
      </c>
      <c r="AB338">
        <f t="shared" si="56"/>
        <v>6.8528938888888886</v>
      </c>
      <c r="AC338">
        <f t="shared" si="56"/>
        <v>6.7786888888888885</v>
      </c>
      <c r="AD338">
        <f t="shared" si="56"/>
        <v>5.4429988888888898</v>
      </c>
    </row>
    <row r="339" spans="2:30" x14ac:dyDescent="0.2">
      <c r="B339" s="7">
        <v>44908</v>
      </c>
      <c r="C339" s="8">
        <v>5.4166666666666679</v>
      </c>
      <c r="D339">
        <f t="shared" si="59"/>
        <v>8.6928416666666681</v>
      </c>
      <c r="E339">
        <f t="shared" si="58"/>
        <v>8.6186366666666672</v>
      </c>
      <c r="F339">
        <f t="shared" si="58"/>
        <v>8.544431666666668</v>
      </c>
      <c r="G339">
        <f t="shared" si="58"/>
        <v>8.4702266666666688</v>
      </c>
      <c r="H339">
        <f t="shared" si="58"/>
        <v>8.3960216666666678</v>
      </c>
      <c r="I339">
        <f t="shared" si="58"/>
        <v>8.3218166666666686</v>
      </c>
      <c r="J339">
        <f t="shared" si="58"/>
        <v>8.2476116666666677</v>
      </c>
      <c r="K339">
        <f t="shared" si="58"/>
        <v>8.1734066666666685</v>
      </c>
      <c r="L339">
        <f t="shared" si="58"/>
        <v>8.0992016666666675</v>
      </c>
      <c r="M339">
        <f t="shared" si="58"/>
        <v>8.0249966666666683</v>
      </c>
      <c r="N339">
        <f t="shared" si="58"/>
        <v>7.9507916666666683</v>
      </c>
      <c r="O339">
        <f t="shared" si="58"/>
        <v>7.8765866666666682</v>
      </c>
      <c r="P339">
        <f t="shared" si="58"/>
        <v>7.8023816666666681</v>
      </c>
      <c r="Q339">
        <f t="shared" si="58"/>
        <v>7.728176666666668</v>
      </c>
      <c r="R339">
        <f t="shared" si="58"/>
        <v>7.653971666666668</v>
      </c>
      <c r="S339">
        <f t="shared" si="58"/>
        <v>7.5797666666666679</v>
      </c>
      <c r="T339">
        <f t="shared" si="58"/>
        <v>7.5055616666666678</v>
      </c>
      <c r="U339">
        <f t="shared" si="56"/>
        <v>7.4313566666666677</v>
      </c>
      <c r="V339">
        <f t="shared" si="56"/>
        <v>7.3571516666666676</v>
      </c>
      <c r="W339">
        <f t="shared" si="56"/>
        <v>7.2829466666666676</v>
      </c>
      <c r="X339">
        <f t="shared" si="56"/>
        <v>7.2087416666666675</v>
      </c>
      <c r="Y339">
        <f t="shared" si="56"/>
        <v>7.1345366666666674</v>
      </c>
      <c r="Z339">
        <f t="shared" ref="U339:AD357" si="60">(-1.4841*Z$3+3.6472)+$C339</f>
        <v>7.0603316666666673</v>
      </c>
      <c r="AA339">
        <f t="shared" si="60"/>
        <v>6.9861266666666673</v>
      </c>
      <c r="AB339">
        <f t="shared" si="60"/>
        <v>6.9119216666666672</v>
      </c>
      <c r="AC339">
        <f t="shared" si="60"/>
        <v>6.8377166666666671</v>
      </c>
      <c r="AD339">
        <f t="shared" si="60"/>
        <v>5.5020266666666684</v>
      </c>
    </row>
    <row r="340" spans="2:30" x14ac:dyDescent="0.2">
      <c r="B340" s="7">
        <v>44909</v>
      </c>
      <c r="C340" s="8">
        <v>5.5625000000000018</v>
      </c>
      <c r="D340">
        <f t="shared" si="59"/>
        <v>8.8386750000000021</v>
      </c>
      <c r="E340">
        <f t="shared" si="58"/>
        <v>8.7644700000000029</v>
      </c>
      <c r="F340">
        <f t="shared" si="58"/>
        <v>8.6902650000000019</v>
      </c>
      <c r="G340">
        <f t="shared" si="58"/>
        <v>8.6160600000000009</v>
      </c>
      <c r="H340">
        <f t="shared" si="58"/>
        <v>8.5418550000000018</v>
      </c>
      <c r="I340">
        <f t="shared" si="58"/>
        <v>8.4676500000000026</v>
      </c>
      <c r="J340">
        <f t="shared" si="58"/>
        <v>8.3934450000000016</v>
      </c>
      <c r="K340">
        <f t="shared" si="58"/>
        <v>8.3192400000000024</v>
      </c>
      <c r="L340">
        <f t="shared" si="58"/>
        <v>8.2450350000000014</v>
      </c>
      <c r="M340">
        <f t="shared" si="58"/>
        <v>8.1708300000000023</v>
      </c>
      <c r="N340">
        <f t="shared" si="58"/>
        <v>8.0966250000000031</v>
      </c>
      <c r="O340">
        <f t="shared" si="58"/>
        <v>8.0224200000000021</v>
      </c>
      <c r="P340">
        <f t="shared" si="58"/>
        <v>7.948215000000002</v>
      </c>
      <c r="Q340">
        <f t="shared" si="58"/>
        <v>7.874010000000002</v>
      </c>
      <c r="R340">
        <f t="shared" si="58"/>
        <v>7.7998050000000019</v>
      </c>
      <c r="S340">
        <f t="shared" si="58"/>
        <v>7.7256000000000018</v>
      </c>
      <c r="T340">
        <f t="shared" ref="T340" si="61">(-1.4841*T$3+3.6472)+$C340</f>
        <v>7.6513950000000017</v>
      </c>
      <c r="U340">
        <f t="shared" si="60"/>
        <v>7.5771900000000016</v>
      </c>
      <c r="V340">
        <f t="shared" si="60"/>
        <v>7.5029850000000016</v>
      </c>
      <c r="W340">
        <f t="shared" si="60"/>
        <v>7.4287800000000015</v>
      </c>
      <c r="X340">
        <f t="shared" si="60"/>
        <v>7.3545750000000014</v>
      </c>
      <c r="Y340">
        <f t="shared" si="60"/>
        <v>7.2803700000000013</v>
      </c>
      <c r="Z340">
        <f t="shared" si="60"/>
        <v>7.2061650000000013</v>
      </c>
      <c r="AA340">
        <f t="shared" si="60"/>
        <v>7.1319600000000012</v>
      </c>
      <c r="AB340">
        <f t="shared" si="60"/>
        <v>7.0577550000000011</v>
      </c>
      <c r="AC340">
        <f t="shared" si="60"/>
        <v>6.983550000000001</v>
      </c>
      <c r="AD340">
        <f t="shared" si="60"/>
        <v>5.6478600000000023</v>
      </c>
    </row>
    <row r="341" spans="2:30" x14ac:dyDescent="0.2">
      <c r="B341" s="7">
        <v>44910</v>
      </c>
      <c r="C341" s="8">
        <v>5.5572916666666643</v>
      </c>
      <c r="D341">
        <f t="shared" si="59"/>
        <v>8.8334666666666646</v>
      </c>
      <c r="E341">
        <f t="shared" ref="E341:T356" si="62">(-1.4841*E$3+3.6472)+$C341</f>
        <v>8.7592616666666636</v>
      </c>
      <c r="F341">
        <f t="shared" si="62"/>
        <v>8.6850566666666644</v>
      </c>
      <c r="G341">
        <f t="shared" si="62"/>
        <v>8.6108516666666652</v>
      </c>
      <c r="H341">
        <f t="shared" si="62"/>
        <v>8.5366466666666643</v>
      </c>
      <c r="I341">
        <f t="shared" si="62"/>
        <v>8.4624416666666651</v>
      </c>
      <c r="J341">
        <f t="shared" si="62"/>
        <v>8.3882366666666641</v>
      </c>
      <c r="K341">
        <f t="shared" si="62"/>
        <v>8.3140316666666649</v>
      </c>
      <c r="L341">
        <f t="shared" si="62"/>
        <v>8.239826666666664</v>
      </c>
      <c r="M341">
        <f t="shared" si="62"/>
        <v>8.1656216666666648</v>
      </c>
      <c r="N341">
        <f t="shared" si="62"/>
        <v>8.0914166666666638</v>
      </c>
      <c r="O341">
        <f t="shared" si="62"/>
        <v>8.0172116666666646</v>
      </c>
      <c r="P341">
        <f t="shared" si="62"/>
        <v>7.9430066666666646</v>
      </c>
      <c r="Q341">
        <f t="shared" si="62"/>
        <v>7.8688016666666645</v>
      </c>
      <c r="R341">
        <f t="shared" si="62"/>
        <v>7.7945966666666644</v>
      </c>
      <c r="S341">
        <f t="shared" si="62"/>
        <v>7.7203916666666643</v>
      </c>
      <c r="T341">
        <f t="shared" si="62"/>
        <v>7.6461866666666642</v>
      </c>
      <c r="U341">
        <f t="shared" si="60"/>
        <v>7.5719816666666642</v>
      </c>
      <c r="V341">
        <f t="shared" si="60"/>
        <v>7.4977766666666641</v>
      </c>
      <c r="W341">
        <f t="shared" si="60"/>
        <v>7.423571666666664</v>
      </c>
      <c r="X341">
        <f t="shared" si="60"/>
        <v>7.3493666666666639</v>
      </c>
      <c r="Y341">
        <f t="shared" si="60"/>
        <v>7.2751616666666639</v>
      </c>
      <c r="Z341">
        <f t="shared" si="60"/>
        <v>7.2009566666666638</v>
      </c>
      <c r="AA341">
        <f t="shared" si="60"/>
        <v>7.1267516666666637</v>
      </c>
      <c r="AB341">
        <f t="shared" si="60"/>
        <v>7.0525466666666636</v>
      </c>
      <c r="AC341">
        <f t="shared" si="60"/>
        <v>6.9783416666666636</v>
      </c>
      <c r="AD341">
        <f t="shared" si="60"/>
        <v>5.6426516666666648</v>
      </c>
    </row>
    <row r="342" spans="2:30" x14ac:dyDescent="0.2">
      <c r="B342" s="7">
        <v>44911</v>
      </c>
      <c r="C342" s="8">
        <v>5.6861111111111127</v>
      </c>
      <c r="D342">
        <f t="shared" si="59"/>
        <v>8.9622861111111121</v>
      </c>
      <c r="E342">
        <f t="shared" si="62"/>
        <v>8.8880811111111129</v>
      </c>
      <c r="F342">
        <f t="shared" si="62"/>
        <v>8.8138761111111137</v>
      </c>
      <c r="G342">
        <f t="shared" si="62"/>
        <v>8.7396711111111127</v>
      </c>
      <c r="H342">
        <f t="shared" si="62"/>
        <v>8.6654661111111135</v>
      </c>
      <c r="I342">
        <f t="shared" si="62"/>
        <v>8.5912611111111126</v>
      </c>
      <c r="J342">
        <f t="shared" si="62"/>
        <v>8.5170561111111134</v>
      </c>
      <c r="K342">
        <f t="shared" si="62"/>
        <v>8.4428511111111124</v>
      </c>
      <c r="L342">
        <f t="shared" si="62"/>
        <v>8.3686461111111132</v>
      </c>
      <c r="M342">
        <f t="shared" si="62"/>
        <v>8.2944411111111123</v>
      </c>
      <c r="N342">
        <f t="shared" si="62"/>
        <v>8.2202361111111131</v>
      </c>
      <c r="O342">
        <f t="shared" si="62"/>
        <v>8.1460311111111139</v>
      </c>
      <c r="P342">
        <f t="shared" si="62"/>
        <v>8.0718261111111129</v>
      </c>
      <c r="Q342">
        <f t="shared" si="62"/>
        <v>7.9976211111111128</v>
      </c>
      <c r="R342">
        <f t="shared" si="62"/>
        <v>7.9234161111111128</v>
      </c>
      <c r="S342">
        <f t="shared" si="62"/>
        <v>7.8492111111111127</v>
      </c>
      <c r="T342">
        <f t="shared" si="62"/>
        <v>7.7750061111111126</v>
      </c>
      <c r="U342">
        <f t="shared" si="60"/>
        <v>7.7008011111111125</v>
      </c>
      <c r="V342">
        <f t="shared" si="60"/>
        <v>7.6265961111111125</v>
      </c>
      <c r="W342">
        <f t="shared" si="60"/>
        <v>7.5523911111111124</v>
      </c>
      <c r="X342">
        <f t="shared" si="60"/>
        <v>7.4781861111111123</v>
      </c>
      <c r="Y342">
        <f t="shared" si="60"/>
        <v>7.4039811111111122</v>
      </c>
      <c r="Z342">
        <f t="shared" si="60"/>
        <v>7.3297761111111122</v>
      </c>
      <c r="AA342">
        <f t="shared" si="60"/>
        <v>7.2555711111111121</v>
      </c>
      <c r="AB342">
        <f t="shared" si="60"/>
        <v>7.181366111111112</v>
      </c>
      <c r="AC342">
        <f t="shared" si="60"/>
        <v>7.1071611111111119</v>
      </c>
      <c r="AD342">
        <f t="shared" si="60"/>
        <v>5.7714711111111132</v>
      </c>
    </row>
    <row r="343" spans="2:30" x14ac:dyDescent="0.2">
      <c r="B343" s="7">
        <v>44912</v>
      </c>
      <c r="C343" s="8">
        <v>5.6222222222222227</v>
      </c>
      <c r="D343">
        <f t="shared" si="59"/>
        <v>8.8983972222222221</v>
      </c>
      <c r="E343">
        <f t="shared" si="62"/>
        <v>8.8241922222222229</v>
      </c>
      <c r="F343">
        <f t="shared" si="62"/>
        <v>8.7499872222222237</v>
      </c>
      <c r="G343">
        <f t="shared" si="62"/>
        <v>8.6757822222222227</v>
      </c>
      <c r="H343">
        <f t="shared" si="62"/>
        <v>8.6015772222222235</v>
      </c>
      <c r="I343">
        <f t="shared" si="62"/>
        <v>8.5273722222222226</v>
      </c>
      <c r="J343">
        <f t="shared" si="62"/>
        <v>8.4531672222222234</v>
      </c>
      <c r="K343">
        <f t="shared" si="62"/>
        <v>8.3789622222222224</v>
      </c>
      <c r="L343">
        <f t="shared" si="62"/>
        <v>8.3047572222222232</v>
      </c>
      <c r="M343">
        <f t="shared" si="62"/>
        <v>8.2305522222222223</v>
      </c>
      <c r="N343">
        <f t="shared" si="62"/>
        <v>8.1563472222222231</v>
      </c>
      <c r="O343">
        <f t="shared" si="62"/>
        <v>8.0821422222222239</v>
      </c>
      <c r="P343">
        <f t="shared" si="62"/>
        <v>8.0079372222222229</v>
      </c>
      <c r="Q343">
        <f t="shared" si="62"/>
        <v>7.9337322222222229</v>
      </c>
      <c r="R343">
        <f t="shared" si="62"/>
        <v>7.8595272222222228</v>
      </c>
      <c r="S343">
        <f t="shared" si="62"/>
        <v>7.7853222222222227</v>
      </c>
      <c r="T343">
        <f t="shared" si="62"/>
        <v>7.7111172222222226</v>
      </c>
      <c r="U343">
        <f t="shared" si="60"/>
        <v>7.6369122222222225</v>
      </c>
      <c r="V343">
        <f t="shared" si="60"/>
        <v>7.5627072222222225</v>
      </c>
      <c r="W343">
        <f t="shared" si="60"/>
        <v>7.4885022222222224</v>
      </c>
      <c r="X343">
        <f t="shared" si="60"/>
        <v>7.4142972222222223</v>
      </c>
      <c r="Y343">
        <f t="shared" si="60"/>
        <v>7.3400922222222222</v>
      </c>
      <c r="Z343">
        <f t="shared" si="60"/>
        <v>7.2658872222222222</v>
      </c>
      <c r="AA343">
        <f t="shared" si="60"/>
        <v>7.1916822222222221</v>
      </c>
      <c r="AB343">
        <f t="shared" si="60"/>
        <v>7.117477222222222</v>
      </c>
      <c r="AC343">
        <f t="shared" si="60"/>
        <v>7.0432722222222219</v>
      </c>
      <c r="AD343">
        <f t="shared" si="60"/>
        <v>5.7075822222222232</v>
      </c>
    </row>
    <row r="344" spans="2:30" x14ac:dyDescent="0.2">
      <c r="B344" s="7">
        <v>44913</v>
      </c>
      <c r="C344" s="8">
        <v>5.179861111111113</v>
      </c>
      <c r="D344">
        <f t="shared" si="59"/>
        <v>8.4560361111111142</v>
      </c>
      <c r="E344">
        <f t="shared" si="62"/>
        <v>8.3818311111111132</v>
      </c>
      <c r="F344">
        <f t="shared" si="62"/>
        <v>8.3076261111111123</v>
      </c>
      <c r="G344">
        <f t="shared" si="62"/>
        <v>8.2334211111111131</v>
      </c>
      <c r="H344">
        <f t="shared" si="62"/>
        <v>8.1592161111111139</v>
      </c>
      <c r="I344">
        <f t="shared" si="62"/>
        <v>8.0850111111111129</v>
      </c>
      <c r="J344">
        <f t="shared" si="62"/>
        <v>8.0108061111111137</v>
      </c>
      <c r="K344">
        <f t="shared" si="62"/>
        <v>7.9366011111111128</v>
      </c>
      <c r="L344">
        <f t="shared" si="62"/>
        <v>7.8623961111111136</v>
      </c>
      <c r="M344">
        <f t="shared" si="62"/>
        <v>7.7881911111111126</v>
      </c>
      <c r="N344">
        <f t="shared" si="62"/>
        <v>7.7139861111111134</v>
      </c>
      <c r="O344">
        <f t="shared" si="62"/>
        <v>7.6397811111111134</v>
      </c>
      <c r="P344">
        <f t="shared" si="62"/>
        <v>7.5655761111111133</v>
      </c>
      <c r="Q344">
        <f t="shared" si="62"/>
        <v>7.4913711111111132</v>
      </c>
      <c r="R344">
        <f t="shared" si="62"/>
        <v>7.4171661111111131</v>
      </c>
      <c r="S344">
        <f t="shared" si="62"/>
        <v>7.342961111111113</v>
      </c>
      <c r="T344">
        <f t="shared" si="62"/>
        <v>7.268756111111113</v>
      </c>
      <c r="U344">
        <f t="shared" si="60"/>
        <v>7.1945511111111129</v>
      </c>
      <c r="V344">
        <f t="shared" si="60"/>
        <v>7.1203461111111128</v>
      </c>
      <c r="W344">
        <f t="shared" si="60"/>
        <v>7.0461411111111127</v>
      </c>
      <c r="X344">
        <f t="shared" si="60"/>
        <v>6.9719361111111127</v>
      </c>
      <c r="Y344">
        <f t="shared" si="60"/>
        <v>6.8977311111111126</v>
      </c>
      <c r="Z344">
        <f t="shared" si="60"/>
        <v>6.8235261111111125</v>
      </c>
      <c r="AA344">
        <f t="shared" si="60"/>
        <v>6.7493211111111124</v>
      </c>
      <c r="AB344">
        <f t="shared" si="60"/>
        <v>6.6751161111111124</v>
      </c>
      <c r="AC344">
        <f t="shared" si="60"/>
        <v>6.6009111111111123</v>
      </c>
      <c r="AD344">
        <f t="shared" si="60"/>
        <v>5.2652211111111136</v>
      </c>
    </row>
    <row r="345" spans="2:30" x14ac:dyDescent="0.2">
      <c r="B345" s="7">
        <v>44914</v>
      </c>
      <c r="C345" s="8">
        <v>4.4520833333333325</v>
      </c>
      <c r="D345">
        <f t="shared" si="59"/>
        <v>7.7282583333333328</v>
      </c>
      <c r="E345">
        <f t="shared" si="62"/>
        <v>7.6540533333333327</v>
      </c>
      <c r="F345">
        <f t="shared" si="62"/>
        <v>7.5798483333333326</v>
      </c>
      <c r="G345">
        <f t="shared" si="62"/>
        <v>7.5056433333333326</v>
      </c>
      <c r="H345">
        <f t="shared" si="62"/>
        <v>7.4314383333333325</v>
      </c>
      <c r="I345">
        <f t="shared" si="62"/>
        <v>7.3572333333333333</v>
      </c>
      <c r="J345">
        <f t="shared" si="62"/>
        <v>7.2830283333333323</v>
      </c>
      <c r="K345">
        <f t="shared" si="62"/>
        <v>7.2088233333333331</v>
      </c>
      <c r="L345">
        <f t="shared" si="62"/>
        <v>7.1346183333333322</v>
      </c>
      <c r="M345">
        <f t="shared" si="62"/>
        <v>7.060413333333333</v>
      </c>
      <c r="N345">
        <f t="shared" si="62"/>
        <v>6.9862083333333329</v>
      </c>
      <c r="O345">
        <f t="shared" si="62"/>
        <v>6.9120033333333328</v>
      </c>
      <c r="P345">
        <f t="shared" si="62"/>
        <v>6.8377983333333328</v>
      </c>
      <c r="Q345">
        <f t="shared" si="62"/>
        <v>6.7635933333333327</v>
      </c>
      <c r="R345">
        <f t="shared" si="62"/>
        <v>6.6893883333333326</v>
      </c>
      <c r="S345">
        <f t="shared" si="62"/>
        <v>6.6151833333333325</v>
      </c>
      <c r="T345">
        <f t="shared" si="62"/>
        <v>6.5409783333333325</v>
      </c>
      <c r="U345">
        <f t="shared" si="60"/>
        <v>6.4667733333333324</v>
      </c>
      <c r="V345">
        <f t="shared" si="60"/>
        <v>6.3925683333333323</v>
      </c>
      <c r="W345">
        <f t="shared" si="60"/>
        <v>6.3183633333333322</v>
      </c>
      <c r="X345">
        <f t="shared" si="60"/>
        <v>6.2441583333333321</v>
      </c>
      <c r="Y345">
        <f t="shared" si="60"/>
        <v>6.1699533333333321</v>
      </c>
      <c r="Z345">
        <f t="shared" si="60"/>
        <v>6.095748333333332</v>
      </c>
      <c r="AA345">
        <f t="shared" si="60"/>
        <v>6.0215433333333319</v>
      </c>
      <c r="AB345">
        <f t="shared" si="60"/>
        <v>5.9473383333333318</v>
      </c>
      <c r="AC345">
        <f t="shared" si="60"/>
        <v>5.8731333333333318</v>
      </c>
      <c r="AD345">
        <f t="shared" si="60"/>
        <v>4.5374433333333331</v>
      </c>
    </row>
    <row r="346" spans="2:30" x14ac:dyDescent="0.2">
      <c r="B346" s="7">
        <v>44915</v>
      </c>
      <c r="C346" s="8">
        <v>6.7618055555555578</v>
      </c>
      <c r="D346">
        <f t="shared" si="59"/>
        <v>10.037980555555558</v>
      </c>
      <c r="E346">
        <f t="shared" si="62"/>
        <v>9.9637755555555572</v>
      </c>
      <c r="F346">
        <f t="shared" si="62"/>
        <v>9.889570555555558</v>
      </c>
      <c r="G346">
        <f t="shared" si="62"/>
        <v>9.8153655555555588</v>
      </c>
      <c r="H346">
        <f t="shared" si="62"/>
        <v>9.7411605555555578</v>
      </c>
      <c r="I346">
        <f t="shared" si="62"/>
        <v>9.6669555555555586</v>
      </c>
      <c r="J346">
        <f t="shared" si="62"/>
        <v>9.5927505555555577</v>
      </c>
      <c r="K346">
        <f t="shared" si="62"/>
        <v>9.5185455555555585</v>
      </c>
      <c r="L346">
        <f t="shared" si="62"/>
        <v>9.4443405555555575</v>
      </c>
      <c r="M346">
        <f t="shared" si="62"/>
        <v>9.3701355555555583</v>
      </c>
      <c r="N346">
        <f t="shared" si="62"/>
        <v>9.2959305555555574</v>
      </c>
      <c r="O346">
        <f t="shared" si="62"/>
        <v>9.2217255555555582</v>
      </c>
      <c r="P346">
        <f t="shared" si="62"/>
        <v>9.147520555555559</v>
      </c>
      <c r="Q346">
        <f t="shared" si="62"/>
        <v>9.073315555555558</v>
      </c>
      <c r="R346">
        <f t="shared" si="62"/>
        <v>8.9991105555555571</v>
      </c>
      <c r="S346">
        <f t="shared" si="62"/>
        <v>8.9249055555555579</v>
      </c>
      <c r="T346">
        <f t="shared" si="62"/>
        <v>8.8507005555555587</v>
      </c>
      <c r="U346">
        <f t="shared" si="60"/>
        <v>8.7764955555555577</v>
      </c>
      <c r="V346">
        <f t="shared" si="60"/>
        <v>8.7022905555555568</v>
      </c>
      <c r="W346">
        <f t="shared" si="60"/>
        <v>8.6280855555555576</v>
      </c>
      <c r="X346">
        <f t="shared" si="60"/>
        <v>8.5538805555555584</v>
      </c>
      <c r="Y346">
        <f t="shared" si="60"/>
        <v>8.4796755555555574</v>
      </c>
      <c r="Z346">
        <f t="shared" si="60"/>
        <v>8.4054705555555564</v>
      </c>
      <c r="AA346">
        <f t="shared" si="60"/>
        <v>8.3312655555555573</v>
      </c>
      <c r="AB346">
        <f t="shared" si="60"/>
        <v>8.2570605555555581</v>
      </c>
      <c r="AC346">
        <f t="shared" si="60"/>
        <v>8.1828555555555571</v>
      </c>
      <c r="AD346">
        <f t="shared" si="60"/>
        <v>6.8471655555555584</v>
      </c>
    </row>
    <row r="347" spans="2:30" x14ac:dyDescent="0.2">
      <c r="B347" s="7">
        <v>44916</v>
      </c>
      <c r="C347" s="8">
        <v>8.1576388888888935</v>
      </c>
      <c r="D347">
        <f t="shared" si="59"/>
        <v>11.433813888888894</v>
      </c>
      <c r="E347">
        <f t="shared" si="62"/>
        <v>11.359608888888893</v>
      </c>
      <c r="F347">
        <f t="shared" si="62"/>
        <v>11.285403888888894</v>
      </c>
      <c r="G347">
        <f t="shared" si="62"/>
        <v>11.211198888888894</v>
      </c>
      <c r="H347">
        <f t="shared" si="62"/>
        <v>11.136993888888894</v>
      </c>
      <c r="I347">
        <f t="shared" si="62"/>
        <v>11.062788888888894</v>
      </c>
      <c r="J347">
        <f t="shared" si="62"/>
        <v>10.988583888888893</v>
      </c>
      <c r="K347">
        <f t="shared" si="62"/>
        <v>10.914378888888894</v>
      </c>
      <c r="L347">
        <f t="shared" si="62"/>
        <v>10.840173888888893</v>
      </c>
      <c r="M347">
        <f t="shared" si="62"/>
        <v>10.765968888888894</v>
      </c>
      <c r="N347">
        <f t="shared" si="62"/>
        <v>10.691763888888893</v>
      </c>
      <c r="O347">
        <f t="shared" si="62"/>
        <v>10.617558888888894</v>
      </c>
      <c r="P347">
        <f t="shared" si="62"/>
        <v>10.543353888888895</v>
      </c>
      <c r="Q347">
        <f t="shared" si="62"/>
        <v>10.469148888888894</v>
      </c>
      <c r="R347">
        <f t="shared" si="62"/>
        <v>10.394943888888893</v>
      </c>
      <c r="S347">
        <f t="shared" si="62"/>
        <v>10.320738888888894</v>
      </c>
      <c r="T347">
        <f t="shared" si="62"/>
        <v>10.246533888888894</v>
      </c>
      <c r="U347">
        <f t="shared" si="60"/>
        <v>10.172328888888893</v>
      </c>
      <c r="V347">
        <f t="shared" si="60"/>
        <v>10.098123888888892</v>
      </c>
      <c r="W347">
        <f t="shared" si="60"/>
        <v>10.023918888888893</v>
      </c>
      <c r="X347">
        <f t="shared" si="60"/>
        <v>9.9497138888888941</v>
      </c>
      <c r="Y347">
        <f t="shared" si="60"/>
        <v>9.8755088888888931</v>
      </c>
      <c r="Z347">
        <f t="shared" si="60"/>
        <v>9.8013038888888921</v>
      </c>
      <c r="AA347">
        <f t="shared" si="60"/>
        <v>9.727098888888893</v>
      </c>
      <c r="AB347">
        <f t="shared" si="60"/>
        <v>9.6528938888888938</v>
      </c>
      <c r="AC347">
        <f t="shared" si="60"/>
        <v>9.5786888888888928</v>
      </c>
      <c r="AD347">
        <f t="shared" si="60"/>
        <v>8.242998888888895</v>
      </c>
    </row>
    <row r="348" spans="2:30" x14ac:dyDescent="0.2">
      <c r="B348" s="7">
        <v>44917</v>
      </c>
      <c r="C348" s="8">
        <v>9.6770833333333321</v>
      </c>
      <c r="D348">
        <f t="shared" si="59"/>
        <v>12.953258333333332</v>
      </c>
      <c r="E348">
        <f t="shared" si="62"/>
        <v>12.879053333333331</v>
      </c>
      <c r="F348">
        <f t="shared" si="62"/>
        <v>12.804848333333332</v>
      </c>
      <c r="G348">
        <f t="shared" si="62"/>
        <v>12.730643333333333</v>
      </c>
      <c r="H348">
        <f t="shared" si="62"/>
        <v>12.656438333333332</v>
      </c>
      <c r="I348">
        <f t="shared" si="62"/>
        <v>12.582233333333333</v>
      </c>
      <c r="J348">
        <f t="shared" si="62"/>
        <v>12.508028333333332</v>
      </c>
      <c r="K348">
        <f t="shared" si="62"/>
        <v>12.433823333333333</v>
      </c>
      <c r="L348">
        <f t="shared" si="62"/>
        <v>12.359618333333332</v>
      </c>
      <c r="M348">
        <f t="shared" si="62"/>
        <v>12.285413333333333</v>
      </c>
      <c r="N348">
        <f t="shared" si="62"/>
        <v>12.211208333333332</v>
      </c>
      <c r="O348">
        <f t="shared" si="62"/>
        <v>12.137003333333332</v>
      </c>
      <c r="P348">
        <f t="shared" si="62"/>
        <v>12.062798333333333</v>
      </c>
      <c r="Q348">
        <f t="shared" si="62"/>
        <v>11.988593333333332</v>
      </c>
      <c r="R348">
        <f t="shared" si="62"/>
        <v>11.914388333333331</v>
      </c>
      <c r="S348">
        <f t="shared" si="62"/>
        <v>11.840183333333332</v>
      </c>
      <c r="T348">
        <f t="shared" si="62"/>
        <v>11.765978333333333</v>
      </c>
      <c r="U348">
        <f t="shared" si="60"/>
        <v>11.691773333333332</v>
      </c>
      <c r="V348">
        <f t="shared" si="60"/>
        <v>11.617568333333331</v>
      </c>
      <c r="W348">
        <f t="shared" si="60"/>
        <v>11.543363333333332</v>
      </c>
      <c r="X348">
        <f t="shared" si="60"/>
        <v>11.469158333333333</v>
      </c>
      <c r="Y348">
        <f t="shared" si="60"/>
        <v>11.394953333333332</v>
      </c>
      <c r="Z348">
        <f t="shared" si="60"/>
        <v>11.320748333333331</v>
      </c>
      <c r="AA348">
        <f t="shared" si="60"/>
        <v>11.246543333333332</v>
      </c>
      <c r="AB348">
        <f t="shared" si="60"/>
        <v>11.172338333333332</v>
      </c>
      <c r="AC348">
        <f t="shared" si="60"/>
        <v>11.098133333333331</v>
      </c>
      <c r="AD348">
        <f t="shared" si="60"/>
        <v>9.7624433333333336</v>
      </c>
    </row>
    <row r="349" spans="2:30" x14ac:dyDescent="0.2">
      <c r="B349" s="7">
        <v>44918</v>
      </c>
      <c r="C349" s="8">
        <v>10.677083333333339</v>
      </c>
      <c r="D349">
        <f t="shared" si="59"/>
        <v>13.95325833333334</v>
      </c>
      <c r="E349">
        <f t="shared" si="62"/>
        <v>13.879053333333339</v>
      </c>
      <c r="F349">
        <f t="shared" si="62"/>
        <v>13.804848333333339</v>
      </c>
      <c r="G349">
        <f t="shared" si="62"/>
        <v>13.73064333333334</v>
      </c>
      <c r="H349">
        <f t="shared" si="62"/>
        <v>13.656438333333339</v>
      </c>
      <c r="I349">
        <f t="shared" si="62"/>
        <v>13.58223333333334</v>
      </c>
      <c r="J349">
        <f t="shared" si="62"/>
        <v>13.508028333333339</v>
      </c>
      <c r="K349">
        <f t="shared" si="62"/>
        <v>13.43382333333334</v>
      </c>
      <c r="L349">
        <f t="shared" si="62"/>
        <v>13.359618333333339</v>
      </c>
      <c r="M349">
        <f t="shared" si="62"/>
        <v>13.28541333333334</v>
      </c>
      <c r="N349">
        <f t="shared" si="62"/>
        <v>13.211208333333339</v>
      </c>
      <c r="O349">
        <f t="shared" si="62"/>
        <v>13.13700333333334</v>
      </c>
      <c r="P349">
        <f t="shared" si="62"/>
        <v>13.06279833333334</v>
      </c>
      <c r="Q349">
        <f t="shared" si="62"/>
        <v>12.988593333333339</v>
      </c>
      <c r="R349">
        <f t="shared" si="62"/>
        <v>12.914388333333338</v>
      </c>
      <c r="S349">
        <f t="shared" si="62"/>
        <v>12.840183333333339</v>
      </c>
      <c r="T349">
        <f t="shared" si="62"/>
        <v>12.76597833333334</v>
      </c>
      <c r="U349">
        <f t="shared" si="60"/>
        <v>12.691773333333339</v>
      </c>
      <c r="V349">
        <f t="shared" si="60"/>
        <v>12.617568333333338</v>
      </c>
      <c r="W349">
        <f t="shared" si="60"/>
        <v>12.543363333333339</v>
      </c>
      <c r="X349">
        <f t="shared" si="60"/>
        <v>12.46915833333334</v>
      </c>
      <c r="Y349">
        <f t="shared" si="60"/>
        <v>12.394953333333339</v>
      </c>
      <c r="Z349">
        <f t="shared" si="60"/>
        <v>12.320748333333338</v>
      </c>
      <c r="AA349">
        <f t="shared" si="60"/>
        <v>12.246543333333339</v>
      </c>
      <c r="AB349">
        <f t="shared" si="60"/>
        <v>12.172338333333339</v>
      </c>
      <c r="AC349">
        <f t="shared" si="60"/>
        <v>12.098133333333339</v>
      </c>
      <c r="AD349">
        <f t="shared" si="60"/>
        <v>10.762443333333341</v>
      </c>
    </row>
    <row r="350" spans="2:30" x14ac:dyDescent="0.2">
      <c r="B350" s="7">
        <v>44919</v>
      </c>
      <c r="C350" s="8">
        <v>10.813194444444438</v>
      </c>
      <c r="D350">
        <f t="shared" si="59"/>
        <v>14.089369444444438</v>
      </c>
      <c r="E350">
        <f t="shared" si="62"/>
        <v>14.015164444444437</v>
      </c>
      <c r="F350">
        <f t="shared" si="62"/>
        <v>13.940959444444438</v>
      </c>
      <c r="G350">
        <f t="shared" si="62"/>
        <v>13.866754444444439</v>
      </c>
      <c r="H350">
        <f t="shared" si="62"/>
        <v>13.792549444444438</v>
      </c>
      <c r="I350">
        <f t="shared" si="62"/>
        <v>13.718344444444439</v>
      </c>
      <c r="J350">
        <f t="shared" si="62"/>
        <v>13.644139444444438</v>
      </c>
      <c r="K350">
        <f t="shared" si="62"/>
        <v>13.569934444444439</v>
      </c>
      <c r="L350">
        <f t="shared" si="62"/>
        <v>13.495729444444438</v>
      </c>
      <c r="M350">
        <f t="shared" si="62"/>
        <v>13.421524444444438</v>
      </c>
      <c r="N350">
        <f t="shared" si="62"/>
        <v>13.347319444444437</v>
      </c>
      <c r="O350">
        <f t="shared" si="62"/>
        <v>13.273114444444438</v>
      </c>
      <c r="P350">
        <f t="shared" si="62"/>
        <v>13.198909444444439</v>
      </c>
      <c r="Q350">
        <f t="shared" si="62"/>
        <v>13.124704444444438</v>
      </c>
      <c r="R350">
        <f t="shared" si="62"/>
        <v>13.050499444444437</v>
      </c>
      <c r="S350">
        <f t="shared" si="62"/>
        <v>12.976294444444438</v>
      </c>
      <c r="T350">
        <f t="shared" si="62"/>
        <v>12.902089444444439</v>
      </c>
      <c r="U350">
        <f t="shared" si="60"/>
        <v>12.827884444444438</v>
      </c>
      <c r="V350">
        <f t="shared" si="60"/>
        <v>12.753679444444437</v>
      </c>
      <c r="W350">
        <f t="shared" si="60"/>
        <v>12.679474444444438</v>
      </c>
      <c r="X350">
        <f t="shared" si="60"/>
        <v>12.605269444444438</v>
      </c>
      <c r="Y350">
        <f t="shared" si="60"/>
        <v>12.531064444444437</v>
      </c>
      <c r="Z350">
        <f t="shared" si="60"/>
        <v>12.456859444444436</v>
      </c>
      <c r="AA350">
        <f t="shared" si="60"/>
        <v>12.382654444444437</v>
      </c>
      <c r="AB350">
        <f t="shared" si="60"/>
        <v>12.308449444444438</v>
      </c>
      <c r="AC350">
        <f t="shared" si="60"/>
        <v>12.234244444444437</v>
      </c>
      <c r="AD350">
        <f t="shared" si="60"/>
        <v>10.898554444444439</v>
      </c>
    </row>
    <row r="351" spans="2:30" x14ac:dyDescent="0.2">
      <c r="B351" s="7">
        <v>44920</v>
      </c>
      <c r="C351" s="8">
        <v>10.41111111111111</v>
      </c>
      <c r="D351">
        <f t="shared" si="59"/>
        <v>13.68728611111111</v>
      </c>
      <c r="E351">
        <f t="shared" si="62"/>
        <v>13.613081111111111</v>
      </c>
      <c r="F351">
        <f t="shared" si="62"/>
        <v>13.53887611111111</v>
      </c>
      <c r="G351">
        <f t="shared" si="62"/>
        <v>13.464671111111109</v>
      </c>
      <c r="H351">
        <f t="shared" si="62"/>
        <v>13.39046611111111</v>
      </c>
      <c r="I351">
        <f t="shared" si="62"/>
        <v>13.31626111111111</v>
      </c>
      <c r="J351">
        <f t="shared" si="62"/>
        <v>13.242056111111109</v>
      </c>
      <c r="K351">
        <f t="shared" si="62"/>
        <v>13.16785111111111</v>
      </c>
      <c r="L351">
        <f t="shared" si="62"/>
        <v>13.093646111111109</v>
      </c>
      <c r="M351">
        <f t="shared" si="62"/>
        <v>13.01944111111111</v>
      </c>
      <c r="N351">
        <f t="shared" si="62"/>
        <v>12.945236111111111</v>
      </c>
      <c r="O351">
        <f t="shared" si="62"/>
        <v>12.87103111111111</v>
      </c>
      <c r="P351">
        <f t="shared" si="62"/>
        <v>12.796826111111109</v>
      </c>
      <c r="Q351">
        <f t="shared" si="62"/>
        <v>12.72262111111111</v>
      </c>
      <c r="R351">
        <f t="shared" si="62"/>
        <v>12.648416111111111</v>
      </c>
      <c r="S351">
        <f t="shared" si="62"/>
        <v>12.57421111111111</v>
      </c>
      <c r="T351">
        <f t="shared" si="62"/>
        <v>12.500006111111109</v>
      </c>
      <c r="U351">
        <f t="shared" si="60"/>
        <v>12.42580111111111</v>
      </c>
      <c r="V351">
        <f t="shared" si="60"/>
        <v>12.35159611111111</v>
      </c>
      <c r="W351">
        <f t="shared" si="60"/>
        <v>12.277391111111109</v>
      </c>
      <c r="X351">
        <f t="shared" si="60"/>
        <v>12.203186111111108</v>
      </c>
      <c r="Y351">
        <f t="shared" si="60"/>
        <v>12.128981111111109</v>
      </c>
      <c r="Z351">
        <f t="shared" si="60"/>
        <v>12.05477611111111</v>
      </c>
      <c r="AA351">
        <f t="shared" si="60"/>
        <v>11.980571111111109</v>
      </c>
      <c r="AB351">
        <f t="shared" si="60"/>
        <v>11.906366111111108</v>
      </c>
      <c r="AC351">
        <f t="shared" si="60"/>
        <v>11.832161111111109</v>
      </c>
      <c r="AD351">
        <f t="shared" si="60"/>
        <v>10.496471111111109</v>
      </c>
    </row>
    <row r="352" spans="2:30" x14ac:dyDescent="0.2">
      <c r="B352" s="7">
        <v>44921</v>
      </c>
      <c r="C352" s="8">
        <v>9.8222222222222229</v>
      </c>
      <c r="D352">
        <f t="shared" si="59"/>
        <v>13.098397222222223</v>
      </c>
      <c r="E352">
        <f t="shared" si="62"/>
        <v>13.024192222222222</v>
      </c>
      <c r="F352">
        <f t="shared" si="62"/>
        <v>12.949987222222223</v>
      </c>
      <c r="G352">
        <f t="shared" si="62"/>
        <v>12.875782222222224</v>
      </c>
      <c r="H352">
        <f t="shared" si="62"/>
        <v>12.801577222222223</v>
      </c>
      <c r="I352">
        <f t="shared" si="62"/>
        <v>12.727372222222224</v>
      </c>
      <c r="J352">
        <f t="shared" si="62"/>
        <v>12.653167222222223</v>
      </c>
      <c r="K352">
        <f t="shared" si="62"/>
        <v>12.578962222222223</v>
      </c>
      <c r="L352">
        <f t="shared" si="62"/>
        <v>12.504757222222223</v>
      </c>
      <c r="M352">
        <f t="shared" si="62"/>
        <v>12.430552222222223</v>
      </c>
      <c r="N352">
        <f t="shared" si="62"/>
        <v>12.356347222222222</v>
      </c>
      <c r="O352">
        <f t="shared" si="62"/>
        <v>12.282142222222223</v>
      </c>
      <c r="P352">
        <f t="shared" si="62"/>
        <v>12.207937222222224</v>
      </c>
      <c r="Q352">
        <f t="shared" si="62"/>
        <v>12.133732222222223</v>
      </c>
      <c r="R352">
        <f t="shared" si="62"/>
        <v>12.059527222222222</v>
      </c>
      <c r="S352">
        <f t="shared" si="62"/>
        <v>11.985322222222223</v>
      </c>
      <c r="T352">
        <f t="shared" si="62"/>
        <v>11.911117222222224</v>
      </c>
      <c r="U352">
        <f t="shared" si="60"/>
        <v>11.836912222222223</v>
      </c>
      <c r="V352">
        <f t="shared" si="60"/>
        <v>11.762707222222222</v>
      </c>
      <c r="W352">
        <f t="shared" si="60"/>
        <v>11.688502222222223</v>
      </c>
      <c r="X352">
        <f t="shared" si="60"/>
        <v>11.614297222222223</v>
      </c>
      <c r="Y352">
        <f t="shared" si="60"/>
        <v>11.540092222222222</v>
      </c>
      <c r="Z352">
        <f t="shared" si="60"/>
        <v>11.465887222222221</v>
      </c>
      <c r="AA352">
        <f t="shared" si="60"/>
        <v>11.391682222222222</v>
      </c>
      <c r="AB352">
        <f t="shared" si="60"/>
        <v>11.317477222222223</v>
      </c>
      <c r="AC352">
        <f t="shared" si="60"/>
        <v>11.243272222222222</v>
      </c>
      <c r="AD352">
        <f t="shared" si="60"/>
        <v>9.9075822222222243</v>
      </c>
    </row>
    <row r="353" spans="2:30" x14ac:dyDescent="0.2">
      <c r="B353" s="7">
        <v>44922</v>
      </c>
      <c r="C353" s="8">
        <v>8.0826388888888836</v>
      </c>
      <c r="D353">
        <f t="shared" si="59"/>
        <v>11.358813888888884</v>
      </c>
      <c r="E353">
        <f t="shared" si="62"/>
        <v>11.284608888888883</v>
      </c>
      <c r="F353">
        <f t="shared" si="62"/>
        <v>11.210403888888884</v>
      </c>
      <c r="G353">
        <f t="shared" si="62"/>
        <v>11.136198888888885</v>
      </c>
      <c r="H353">
        <f t="shared" si="62"/>
        <v>11.061993888888884</v>
      </c>
      <c r="I353">
        <f t="shared" si="62"/>
        <v>10.987788888888884</v>
      </c>
      <c r="J353">
        <f t="shared" si="62"/>
        <v>10.913583888888883</v>
      </c>
      <c r="K353">
        <f t="shared" si="62"/>
        <v>10.839378888888884</v>
      </c>
      <c r="L353">
        <f t="shared" si="62"/>
        <v>10.765173888888883</v>
      </c>
      <c r="M353">
        <f t="shared" si="62"/>
        <v>10.690968888888884</v>
      </c>
      <c r="N353">
        <f t="shared" si="62"/>
        <v>10.616763888888883</v>
      </c>
      <c r="O353">
        <f t="shared" si="62"/>
        <v>10.542558888888884</v>
      </c>
      <c r="P353">
        <f t="shared" si="62"/>
        <v>10.468353888888885</v>
      </c>
      <c r="Q353">
        <f t="shared" si="62"/>
        <v>10.394148888888884</v>
      </c>
      <c r="R353">
        <f t="shared" si="62"/>
        <v>10.319943888888883</v>
      </c>
      <c r="S353">
        <f t="shared" si="62"/>
        <v>10.245738888888884</v>
      </c>
      <c r="T353">
        <f t="shared" si="62"/>
        <v>10.171533888888884</v>
      </c>
      <c r="U353">
        <f t="shared" si="60"/>
        <v>10.097328888888883</v>
      </c>
      <c r="V353">
        <f t="shared" si="60"/>
        <v>10.023123888888883</v>
      </c>
      <c r="W353">
        <f t="shared" si="60"/>
        <v>9.9489188888888833</v>
      </c>
      <c r="X353">
        <f t="shared" si="60"/>
        <v>9.8747138888888841</v>
      </c>
      <c r="Y353">
        <f t="shared" si="60"/>
        <v>9.8005088888888832</v>
      </c>
      <c r="Z353">
        <f t="shared" si="60"/>
        <v>9.7263038888888822</v>
      </c>
      <c r="AA353">
        <f t="shared" si="60"/>
        <v>9.652098888888883</v>
      </c>
      <c r="AB353">
        <f t="shared" si="60"/>
        <v>9.5778938888888838</v>
      </c>
      <c r="AC353">
        <f t="shared" si="60"/>
        <v>9.5036888888888829</v>
      </c>
      <c r="AD353">
        <f t="shared" si="60"/>
        <v>8.167998888888885</v>
      </c>
    </row>
    <row r="354" spans="2:30" x14ac:dyDescent="0.2">
      <c r="B354" s="7">
        <v>44923</v>
      </c>
      <c r="C354" s="8">
        <v>10.38125</v>
      </c>
      <c r="D354">
        <f t="shared" si="59"/>
        <v>13.657425</v>
      </c>
      <c r="E354">
        <f t="shared" si="62"/>
        <v>13.583220000000001</v>
      </c>
      <c r="F354">
        <f t="shared" si="62"/>
        <v>13.509015</v>
      </c>
      <c r="G354">
        <f t="shared" si="62"/>
        <v>13.434809999999999</v>
      </c>
      <c r="H354">
        <f t="shared" si="62"/>
        <v>13.360605</v>
      </c>
      <c r="I354">
        <f t="shared" si="62"/>
        <v>13.2864</v>
      </c>
      <c r="J354">
        <f t="shared" si="62"/>
        <v>13.212194999999999</v>
      </c>
      <c r="K354">
        <f t="shared" si="62"/>
        <v>13.13799</v>
      </c>
      <c r="L354">
        <f t="shared" si="62"/>
        <v>13.063784999999999</v>
      </c>
      <c r="M354">
        <f t="shared" si="62"/>
        <v>12.98958</v>
      </c>
      <c r="N354">
        <f t="shared" si="62"/>
        <v>12.915375000000001</v>
      </c>
      <c r="O354">
        <f t="shared" si="62"/>
        <v>12.84117</v>
      </c>
      <c r="P354">
        <f t="shared" si="62"/>
        <v>12.766964999999999</v>
      </c>
      <c r="Q354">
        <f t="shared" si="62"/>
        <v>12.69276</v>
      </c>
      <c r="R354">
        <f t="shared" si="62"/>
        <v>12.618555000000001</v>
      </c>
      <c r="S354">
        <f t="shared" si="62"/>
        <v>12.54435</v>
      </c>
      <c r="T354">
        <f t="shared" si="62"/>
        <v>12.470144999999999</v>
      </c>
      <c r="U354">
        <f t="shared" si="60"/>
        <v>12.39594</v>
      </c>
      <c r="V354">
        <f t="shared" si="60"/>
        <v>12.321735</v>
      </c>
      <c r="W354">
        <f t="shared" si="60"/>
        <v>12.247529999999999</v>
      </c>
      <c r="X354">
        <f t="shared" si="60"/>
        <v>12.173324999999998</v>
      </c>
      <c r="Y354">
        <f t="shared" si="60"/>
        <v>12.099119999999999</v>
      </c>
      <c r="Z354">
        <f t="shared" si="60"/>
        <v>12.024915</v>
      </c>
      <c r="AA354">
        <f t="shared" si="60"/>
        <v>11.950709999999999</v>
      </c>
      <c r="AB354">
        <f t="shared" si="60"/>
        <v>11.876504999999998</v>
      </c>
      <c r="AC354">
        <f t="shared" si="60"/>
        <v>11.802299999999999</v>
      </c>
      <c r="AD354">
        <f t="shared" si="60"/>
        <v>10.466609999999999</v>
      </c>
    </row>
    <row r="355" spans="2:30" x14ac:dyDescent="0.2">
      <c r="B355" s="7">
        <v>44924</v>
      </c>
      <c r="C355" s="8">
        <v>11.18055555555555</v>
      </c>
      <c r="D355">
        <f t="shared" si="59"/>
        <v>14.45673055555555</v>
      </c>
      <c r="E355">
        <f t="shared" si="62"/>
        <v>14.382525555555549</v>
      </c>
      <c r="F355">
        <f t="shared" si="62"/>
        <v>14.30832055555555</v>
      </c>
      <c r="G355">
        <f t="shared" si="62"/>
        <v>14.234115555555551</v>
      </c>
      <c r="H355">
        <f t="shared" si="62"/>
        <v>14.15991055555555</v>
      </c>
      <c r="I355">
        <f t="shared" si="62"/>
        <v>14.085705555555551</v>
      </c>
      <c r="J355">
        <f t="shared" si="62"/>
        <v>14.01150055555555</v>
      </c>
      <c r="K355">
        <f t="shared" si="62"/>
        <v>13.937295555555551</v>
      </c>
      <c r="L355">
        <f t="shared" si="62"/>
        <v>13.86309055555555</v>
      </c>
      <c r="M355">
        <f t="shared" si="62"/>
        <v>13.788885555555551</v>
      </c>
      <c r="N355">
        <f t="shared" si="62"/>
        <v>13.71468055555555</v>
      </c>
      <c r="O355">
        <f t="shared" si="62"/>
        <v>13.64047555555555</v>
      </c>
      <c r="P355">
        <f t="shared" si="62"/>
        <v>13.566270555555551</v>
      </c>
      <c r="Q355">
        <f t="shared" si="62"/>
        <v>13.49206555555555</v>
      </c>
      <c r="R355">
        <f t="shared" si="62"/>
        <v>13.417860555555549</v>
      </c>
      <c r="S355">
        <f t="shared" si="62"/>
        <v>13.34365555555555</v>
      </c>
      <c r="T355">
        <f t="shared" si="62"/>
        <v>13.269450555555551</v>
      </c>
      <c r="U355">
        <f t="shared" si="60"/>
        <v>13.19524555555555</v>
      </c>
      <c r="V355">
        <f t="shared" si="60"/>
        <v>13.121040555555549</v>
      </c>
      <c r="W355">
        <f t="shared" si="60"/>
        <v>13.04683555555555</v>
      </c>
      <c r="X355">
        <f t="shared" si="60"/>
        <v>12.972630555555551</v>
      </c>
      <c r="Y355">
        <f t="shared" si="60"/>
        <v>12.89842555555555</v>
      </c>
      <c r="Z355">
        <f t="shared" si="60"/>
        <v>12.824220555555549</v>
      </c>
      <c r="AA355">
        <f t="shared" si="60"/>
        <v>12.750015555555549</v>
      </c>
      <c r="AB355">
        <f t="shared" si="60"/>
        <v>12.67581055555555</v>
      </c>
      <c r="AC355">
        <f t="shared" si="60"/>
        <v>12.601605555555549</v>
      </c>
      <c r="AD355">
        <f t="shared" si="60"/>
        <v>11.265915555555551</v>
      </c>
    </row>
    <row r="356" spans="2:30" x14ac:dyDescent="0.2">
      <c r="B356" s="7">
        <v>44925</v>
      </c>
      <c r="C356" s="8">
        <v>9.3076388888888886</v>
      </c>
      <c r="D356">
        <f t="shared" si="59"/>
        <v>12.583813888888889</v>
      </c>
      <c r="E356">
        <f t="shared" si="62"/>
        <v>12.509608888888888</v>
      </c>
      <c r="F356">
        <f t="shared" si="62"/>
        <v>12.435403888888889</v>
      </c>
      <c r="G356">
        <f t="shared" si="62"/>
        <v>12.36119888888889</v>
      </c>
      <c r="H356">
        <f t="shared" si="62"/>
        <v>12.286993888888889</v>
      </c>
      <c r="I356">
        <f t="shared" si="62"/>
        <v>12.212788888888889</v>
      </c>
      <c r="J356">
        <f t="shared" si="62"/>
        <v>12.138583888888888</v>
      </c>
      <c r="K356">
        <f t="shared" si="62"/>
        <v>12.064378888888889</v>
      </c>
      <c r="L356">
        <f t="shared" si="62"/>
        <v>11.990173888888888</v>
      </c>
      <c r="M356">
        <f t="shared" si="62"/>
        <v>11.915968888888889</v>
      </c>
      <c r="N356">
        <f t="shared" si="62"/>
        <v>11.841763888888888</v>
      </c>
      <c r="O356">
        <f t="shared" si="62"/>
        <v>11.767558888888889</v>
      </c>
      <c r="P356">
        <f t="shared" si="62"/>
        <v>11.69335388888889</v>
      </c>
      <c r="Q356">
        <f t="shared" si="62"/>
        <v>11.619148888888889</v>
      </c>
      <c r="R356">
        <f t="shared" si="62"/>
        <v>11.544943888888888</v>
      </c>
      <c r="S356">
        <f t="shared" si="62"/>
        <v>11.470738888888889</v>
      </c>
      <c r="T356">
        <f t="shared" ref="T356" si="63">(-1.4841*T$3+3.6472)+$C356</f>
        <v>11.396533888888889</v>
      </c>
      <c r="U356">
        <f t="shared" si="60"/>
        <v>11.322328888888888</v>
      </c>
      <c r="V356">
        <f t="shared" si="60"/>
        <v>11.248123888888887</v>
      </c>
      <c r="W356">
        <f t="shared" si="60"/>
        <v>11.173918888888888</v>
      </c>
      <c r="X356">
        <f t="shared" si="60"/>
        <v>11.099713888888889</v>
      </c>
      <c r="Y356">
        <f t="shared" si="60"/>
        <v>11.025508888888888</v>
      </c>
      <c r="Z356">
        <f t="shared" si="60"/>
        <v>10.951303888888887</v>
      </c>
      <c r="AA356">
        <f t="shared" si="60"/>
        <v>10.877098888888888</v>
      </c>
      <c r="AB356">
        <f t="shared" si="60"/>
        <v>10.802893888888889</v>
      </c>
      <c r="AC356">
        <f t="shared" si="60"/>
        <v>10.728688888888888</v>
      </c>
      <c r="AD356">
        <f t="shared" si="60"/>
        <v>9.39299888888889</v>
      </c>
    </row>
    <row r="357" spans="2:30" x14ac:dyDescent="0.2">
      <c r="B357" s="7">
        <v>44926</v>
      </c>
      <c r="C357" s="8">
        <v>13.43194444444444</v>
      </c>
      <c r="D357">
        <f t="shared" si="59"/>
        <v>16.708119444444442</v>
      </c>
      <c r="E357">
        <f t="shared" ref="E357:T357" si="64">(-1.4841*E$3+3.6472)+$C357</f>
        <v>16.633914444444439</v>
      </c>
      <c r="F357">
        <f t="shared" si="64"/>
        <v>16.55970944444444</v>
      </c>
      <c r="G357">
        <f t="shared" si="64"/>
        <v>16.485504444444441</v>
      </c>
      <c r="H357">
        <f t="shared" si="64"/>
        <v>16.411299444444442</v>
      </c>
      <c r="I357">
        <f t="shared" si="64"/>
        <v>16.337094444444439</v>
      </c>
      <c r="J357">
        <f t="shared" si="64"/>
        <v>16.26288944444444</v>
      </c>
      <c r="K357">
        <f t="shared" si="64"/>
        <v>16.188684444444441</v>
      </c>
      <c r="L357">
        <f t="shared" si="64"/>
        <v>16.114479444444441</v>
      </c>
      <c r="M357">
        <f t="shared" si="64"/>
        <v>16.040274444444439</v>
      </c>
      <c r="N357">
        <f t="shared" si="64"/>
        <v>15.96606944444444</v>
      </c>
      <c r="O357">
        <f t="shared" si="64"/>
        <v>15.89186444444444</v>
      </c>
      <c r="P357">
        <f t="shared" si="64"/>
        <v>15.817659444444441</v>
      </c>
      <c r="Q357">
        <f t="shared" si="64"/>
        <v>15.74345444444444</v>
      </c>
      <c r="R357">
        <f t="shared" si="64"/>
        <v>15.669249444444439</v>
      </c>
      <c r="S357">
        <f t="shared" si="64"/>
        <v>15.59504444444444</v>
      </c>
      <c r="T357">
        <f t="shared" si="64"/>
        <v>15.520839444444441</v>
      </c>
      <c r="U357">
        <f t="shared" si="60"/>
        <v>15.44663444444444</v>
      </c>
      <c r="V357">
        <f t="shared" si="60"/>
        <v>15.372429444444439</v>
      </c>
      <c r="W357">
        <f t="shared" si="60"/>
        <v>15.29822444444444</v>
      </c>
      <c r="X357">
        <f t="shared" si="60"/>
        <v>15.224019444444441</v>
      </c>
      <c r="Y357">
        <f t="shared" si="60"/>
        <v>15.14981444444444</v>
      </c>
      <c r="Z357">
        <f t="shared" si="60"/>
        <v>15.075609444444439</v>
      </c>
      <c r="AA357">
        <f t="shared" si="60"/>
        <v>15.001404444444439</v>
      </c>
      <c r="AB357">
        <f t="shared" si="60"/>
        <v>14.92719944444444</v>
      </c>
      <c r="AC357">
        <f t="shared" si="60"/>
        <v>14.852994444444439</v>
      </c>
      <c r="AD357">
        <f t="shared" si="60"/>
        <v>13.517304444444441</v>
      </c>
    </row>
  </sheetData>
  <mergeCells count="1">
    <mergeCell ref="C1:O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9678-0DD6-4D9A-95B9-4411C97E052B}">
  <sheetPr codeName="Blad4"/>
  <dimension ref="B1:AD357"/>
  <sheetViews>
    <sheetView tabSelected="1" topLeftCell="A10" workbookViewId="0">
      <selection activeCell="G25" sqref="G25"/>
    </sheetView>
  </sheetViews>
  <sheetFormatPr defaultRowHeight="12.6" x14ac:dyDescent="0.2"/>
  <cols>
    <col min="2" max="2" width="10.36328125" bestFit="1" customWidth="1"/>
    <col min="3" max="3" width="18.7265625" bestFit="1" customWidth="1"/>
  </cols>
  <sheetData>
    <row r="1" spans="2:30" ht="44.25" customHeight="1" x14ac:dyDescent="0.3">
      <c r="C1" s="15" t="s">
        <v>16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2:30" x14ac:dyDescent="0.2">
      <c r="D2" t="s">
        <v>2</v>
      </c>
    </row>
    <row r="3" spans="2:30" x14ac:dyDescent="0.2">
      <c r="B3" s="5" t="s">
        <v>4</v>
      </c>
      <c r="C3" s="6" t="s">
        <v>7</v>
      </c>
      <c r="D3">
        <v>0.25</v>
      </c>
      <c r="E3">
        <v>0.3</v>
      </c>
      <c r="F3">
        <v>0.35</v>
      </c>
      <c r="G3">
        <v>0.39999999999999997</v>
      </c>
      <c r="H3">
        <v>0.44999999999999996</v>
      </c>
      <c r="I3">
        <v>0.49999999999999994</v>
      </c>
      <c r="J3">
        <v>0.54999999999999993</v>
      </c>
      <c r="K3">
        <v>0.6</v>
      </c>
      <c r="L3">
        <v>0.65</v>
      </c>
      <c r="M3">
        <v>0.70000000000000007</v>
      </c>
      <c r="N3">
        <v>0.75000000000000011</v>
      </c>
      <c r="O3">
        <v>0.80000000000000016</v>
      </c>
      <c r="P3">
        <v>0.8500000000000002</v>
      </c>
      <c r="Q3">
        <v>0.90000000000000024</v>
      </c>
      <c r="R3">
        <v>0.95000000000000029</v>
      </c>
      <c r="S3">
        <v>1.0000000000000002</v>
      </c>
      <c r="T3">
        <v>1.0500000000000003</v>
      </c>
      <c r="U3">
        <v>1.1000000000000003</v>
      </c>
      <c r="V3">
        <v>1.1500000000000004</v>
      </c>
      <c r="W3">
        <v>1.2000000000000004</v>
      </c>
      <c r="X3">
        <v>1.2500000000000004</v>
      </c>
      <c r="Y3">
        <v>1.3000000000000005</v>
      </c>
      <c r="Z3">
        <v>1.3500000000000005</v>
      </c>
      <c r="AA3">
        <v>1.4000000000000006</v>
      </c>
      <c r="AB3">
        <v>1.4500000000000006</v>
      </c>
      <c r="AC3">
        <v>1.5000000000000007</v>
      </c>
      <c r="AD3">
        <v>2.4</v>
      </c>
    </row>
    <row r="4" spans="2:30" s="3" customFormat="1" x14ac:dyDescent="0.2">
      <c r="C4" s="3" t="s">
        <v>17</v>
      </c>
      <c r="D4" s="3" cm="1">
        <f t="array" ref="D4">AvgExceedenceValueContiguous($B5:$B357,D5:D357,7)</f>
        <v>25.002168982950845</v>
      </c>
      <c r="E4" s="3" cm="1">
        <f t="array" ref="E4">AvgExceedenceValueContiguous($B5:$B357,E5:E357,7)</f>
        <v>24.927963982950846</v>
      </c>
      <c r="F4" s="3" cm="1">
        <f t="array" ref="F4">AvgExceedenceValueContiguous($B5:$B357,F5:F357,7)</f>
        <v>24.853758982950847</v>
      </c>
      <c r="G4" s="3" cm="1">
        <f t="array" ref="G4">AvgExceedenceValueContiguous($B5:$B357,G5:G357,7)</f>
        <v>24.779553982950848</v>
      </c>
      <c r="H4" s="3" cm="1">
        <f t="array" ref="H4">AvgExceedenceValueContiguous($B5:$B357,H5:H357,7)</f>
        <v>24.705348982950849</v>
      </c>
      <c r="I4" s="3" cm="1">
        <f t="array" ref="I4">AvgExceedenceValueContiguous($B5:$B357,I5:I357,7)</f>
        <v>24.631143982950842</v>
      </c>
      <c r="J4" s="3" cm="1">
        <f t="array" ref="J4">AvgExceedenceValueContiguous($B5:$B357,J5:J357,7)</f>
        <v>24.556938982950843</v>
      </c>
      <c r="K4" s="3" cm="1">
        <f t="array" ref="K4">AvgExceedenceValueContiguous($B5:$B357,K5:K357,7)</f>
        <v>24.482733982950844</v>
      </c>
      <c r="L4" s="3" cm="1">
        <f t="array" ref="L4">AvgExceedenceValueContiguous($B5:$B357,L5:L357,7)</f>
        <v>24.408528982950845</v>
      </c>
      <c r="M4" s="3" cm="1">
        <f t="array" ref="M4">AvgExceedenceValueContiguous($B5:$B357,M5:M357,7)</f>
        <v>24.334323982950846</v>
      </c>
      <c r="N4" s="3" cm="1">
        <f t="array" ref="N4">AvgExceedenceValueContiguous($B5:$B357,N5:N357,7)</f>
        <v>24.260118982950846</v>
      </c>
      <c r="O4" s="3" cm="1">
        <f t="array" ref="O4">AvgExceedenceValueContiguous($B5:$B357,O5:O357,7)</f>
        <v>24.185913982950847</v>
      </c>
      <c r="P4" s="3" cm="1">
        <f t="array" ref="P4">AvgExceedenceValueContiguous($B5:$B357,P5:P357,7)</f>
        <v>24.111708982950848</v>
      </c>
      <c r="Q4" s="3" cm="1">
        <f t="array" ref="Q4">AvgExceedenceValueContiguous($B5:$B357,Q5:Q357,7)</f>
        <v>24.037503982950849</v>
      </c>
      <c r="R4" s="3" cm="1">
        <f t="array" ref="R4">AvgExceedenceValueContiguous($B5:$B357,R5:R357,7)</f>
        <v>23.963298982950842</v>
      </c>
      <c r="S4" s="3" cm="1">
        <f t="array" ref="S4">AvgExceedenceValueContiguous($B5:$B357,S5:S357,7)</f>
        <v>23.889093982950843</v>
      </c>
      <c r="T4" s="3" cm="1">
        <f t="array" ref="T4">AvgExceedenceValueContiguous($B5:$B357,T5:T357,7)</f>
        <v>23.814888982950844</v>
      </c>
      <c r="U4" s="3" cm="1">
        <f t="array" ref="U4">AvgExceedenceValueContiguous($B5:$B357,U5:U357,7)</f>
        <v>23.740683982950845</v>
      </c>
      <c r="V4" s="3" cm="1">
        <f t="array" ref="V4">AvgExceedenceValueContiguous($B5:$B357,V5:V357,7)</f>
        <v>23.666478982950846</v>
      </c>
      <c r="W4" s="3" cm="1">
        <f t="array" ref="W4">AvgExceedenceValueContiguous($B5:$B357,W5:W357,7)</f>
        <v>23.592273982950847</v>
      </c>
      <c r="X4" s="3" cm="1">
        <f t="array" ref="X4">AvgExceedenceValueContiguous($B5:$B357,X5:X357,7)</f>
        <v>23.518068982950847</v>
      </c>
      <c r="Y4" s="3" cm="1">
        <f t="array" ref="Y4">AvgExceedenceValueContiguous($B5:$B357,Y5:Y357,7)</f>
        <v>23.443863982950848</v>
      </c>
      <c r="Z4" s="3" cm="1">
        <f t="array" ref="Z4">AvgExceedenceValueContiguous($B5:$B357,Z5:Z357,7)</f>
        <v>23.369658982950842</v>
      </c>
      <c r="AA4" s="3" cm="1">
        <f t="array" ref="AA4">AvgExceedenceValueContiguous($B5:$B357,AA5:AA357,7)</f>
        <v>23.295453982950843</v>
      </c>
      <c r="AB4" s="3" cm="1">
        <f t="array" ref="AB4">AvgExceedenceValueContiguous($B5:$B357,AB5:AB357,7)</f>
        <v>23.221248982950843</v>
      </c>
      <c r="AC4" s="3" cm="1">
        <f t="array" ref="AC4">AvgExceedenceValueContiguous($B5:$B357,AC5:AC357,7)</f>
        <v>23.147043982950844</v>
      </c>
    </row>
    <row r="5" spans="2:30" x14ac:dyDescent="0.2">
      <c r="B5" s="7">
        <v>44573</v>
      </c>
      <c r="C5" s="8">
        <v>3.7145038167938926</v>
      </c>
      <c r="D5">
        <f>(-1.4841*D$3+3.6472)+$C5</f>
        <v>6.9906788167938929</v>
      </c>
      <c r="E5">
        <f t="shared" ref="E5:T20" si="0">(-1.4841*E$3+3.6472)+$C5</f>
        <v>6.9164738167938928</v>
      </c>
      <c r="F5">
        <f t="shared" si="0"/>
        <v>6.8422688167938928</v>
      </c>
      <c r="G5">
        <f t="shared" si="0"/>
        <v>6.7680638167938927</v>
      </c>
      <c r="H5">
        <f t="shared" si="0"/>
        <v>6.6938588167938935</v>
      </c>
      <c r="I5">
        <f t="shared" si="0"/>
        <v>6.6196538167938925</v>
      </c>
      <c r="J5">
        <f t="shared" si="0"/>
        <v>6.5454488167938933</v>
      </c>
      <c r="K5">
        <f t="shared" si="0"/>
        <v>6.4712438167938924</v>
      </c>
      <c r="L5">
        <f t="shared" si="0"/>
        <v>6.3970388167938932</v>
      </c>
      <c r="M5">
        <f t="shared" si="0"/>
        <v>6.3228338167938922</v>
      </c>
      <c r="N5">
        <f t="shared" si="0"/>
        <v>6.248628816793893</v>
      </c>
      <c r="O5">
        <f t="shared" si="0"/>
        <v>6.174423816793893</v>
      </c>
      <c r="P5">
        <f t="shared" si="0"/>
        <v>6.1002188167938929</v>
      </c>
      <c r="Q5">
        <f t="shared" si="0"/>
        <v>6.0260138167938928</v>
      </c>
      <c r="R5">
        <f t="shared" si="0"/>
        <v>5.9518088167938927</v>
      </c>
      <c r="S5">
        <f t="shared" si="0"/>
        <v>5.8776038167938927</v>
      </c>
      <c r="T5">
        <f t="shared" si="0"/>
        <v>5.8033988167938926</v>
      </c>
      <c r="U5">
        <f t="shared" ref="U5:AD20" si="1">(-1.4841*U$3+3.6472)+$C5</f>
        <v>5.7291938167938925</v>
      </c>
      <c r="V5">
        <f t="shared" si="1"/>
        <v>5.6549888167938924</v>
      </c>
      <c r="W5">
        <f t="shared" si="1"/>
        <v>5.5807838167938923</v>
      </c>
      <c r="X5">
        <f t="shared" si="1"/>
        <v>5.5065788167938923</v>
      </c>
      <c r="Y5">
        <f t="shared" si="1"/>
        <v>5.4323738167938922</v>
      </c>
      <c r="Z5">
        <f t="shared" si="1"/>
        <v>5.3581688167938921</v>
      </c>
      <c r="AA5">
        <f t="shared" si="1"/>
        <v>5.283963816793892</v>
      </c>
      <c r="AB5">
        <f t="shared" si="1"/>
        <v>5.209758816793892</v>
      </c>
      <c r="AC5">
        <f t="shared" si="1"/>
        <v>5.1355538167938919</v>
      </c>
      <c r="AD5">
        <f t="shared" si="1"/>
        <v>3.7998638167938932</v>
      </c>
    </row>
    <row r="6" spans="2:30" x14ac:dyDescent="0.2">
      <c r="B6" s="7">
        <v>44574</v>
      </c>
      <c r="C6" s="8">
        <v>4.8131944444444441</v>
      </c>
      <c r="D6">
        <f t="shared" ref="D6:D69" si="2">(-1.4841*D$3+3.6472)+C6</f>
        <v>8.0893694444444435</v>
      </c>
      <c r="E6">
        <f t="shared" si="0"/>
        <v>8.0151644444444443</v>
      </c>
      <c r="F6">
        <f t="shared" si="0"/>
        <v>7.9409594444444442</v>
      </c>
      <c r="G6">
        <f t="shared" si="0"/>
        <v>7.8667544444444442</v>
      </c>
      <c r="H6">
        <f t="shared" si="0"/>
        <v>7.792549444444445</v>
      </c>
      <c r="I6">
        <f t="shared" si="0"/>
        <v>7.718344444444444</v>
      </c>
      <c r="J6">
        <f t="shared" si="0"/>
        <v>7.6441394444444448</v>
      </c>
      <c r="K6">
        <f t="shared" si="0"/>
        <v>7.5699344444444439</v>
      </c>
      <c r="L6">
        <f t="shared" si="0"/>
        <v>7.4957294444444447</v>
      </c>
      <c r="M6">
        <f t="shared" si="0"/>
        <v>7.4215244444444437</v>
      </c>
      <c r="N6">
        <f t="shared" si="0"/>
        <v>7.3473194444444445</v>
      </c>
      <c r="O6">
        <f t="shared" si="0"/>
        <v>7.2731144444444444</v>
      </c>
      <c r="P6">
        <f t="shared" si="0"/>
        <v>7.1989094444444444</v>
      </c>
      <c r="Q6">
        <f t="shared" si="0"/>
        <v>7.1247044444444443</v>
      </c>
      <c r="R6">
        <f t="shared" si="0"/>
        <v>7.0504994444444442</v>
      </c>
      <c r="S6">
        <f t="shared" si="0"/>
        <v>6.9762944444444441</v>
      </c>
      <c r="T6">
        <f t="shared" si="0"/>
        <v>6.9020894444444441</v>
      </c>
      <c r="U6">
        <f t="shared" si="1"/>
        <v>6.827884444444444</v>
      </c>
      <c r="V6">
        <f t="shared" si="1"/>
        <v>6.7536794444444439</v>
      </c>
      <c r="W6">
        <f t="shared" si="1"/>
        <v>6.6794744444444438</v>
      </c>
      <c r="X6">
        <f t="shared" si="1"/>
        <v>6.6052694444444437</v>
      </c>
      <c r="Y6">
        <f t="shared" si="1"/>
        <v>6.5310644444444437</v>
      </c>
      <c r="Z6">
        <f t="shared" si="1"/>
        <v>6.4568594444444436</v>
      </c>
      <c r="AA6">
        <f t="shared" si="1"/>
        <v>6.3826544444444435</v>
      </c>
      <c r="AB6">
        <f t="shared" si="1"/>
        <v>6.3084494444444434</v>
      </c>
      <c r="AC6">
        <f t="shared" si="1"/>
        <v>6.2342444444444434</v>
      </c>
      <c r="AD6">
        <f t="shared" si="1"/>
        <v>4.8985544444444447</v>
      </c>
    </row>
    <row r="7" spans="2:30" x14ac:dyDescent="0.2">
      <c r="B7" s="7">
        <v>44575</v>
      </c>
      <c r="C7" s="8">
        <v>4.1770833333333304</v>
      </c>
      <c r="D7">
        <f t="shared" si="2"/>
        <v>7.4532583333333307</v>
      </c>
      <c r="E7">
        <f t="shared" si="0"/>
        <v>7.3790533333333306</v>
      </c>
      <c r="F7">
        <f t="shared" si="0"/>
        <v>7.3048483333333305</v>
      </c>
      <c r="G7">
        <f t="shared" si="0"/>
        <v>7.2306433333333304</v>
      </c>
      <c r="H7">
        <f t="shared" si="0"/>
        <v>7.1564383333333303</v>
      </c>
      <c r="I7">
        <f t="shared" si="0"/>
        <v>7.0822333333333312</v>
      </c>
      <c r="J7">
        <f t="shared" si="0"/>
        <v>7.0080283333333302</v>
      </c>
      <c r="K7">
        <f t="shared" si="0"/>
        <v>6.933823333333331</v>
      </c>
      <c r="L7">
        <f t="shared" si="0"/>
        <v>6.85961833333333</v>
      </c>
      <c r="M7">
        <f t="shared" si="0"/>
        <v>6.7854133333333309</v>
      </c>
      <c r="N7">
        <f t="shared" si="0"/>
        <v>6.7112083333333308</v>
      </c>
      <c r="O7">
        <f t="shared" si="0"/>
        <v>6.6370033333333307</v>
      </c>
      <c r="P7">
        <f t="shared" si="0"/>
        <v>6.5627983333333306</v>
      </c>
      <c r="Q7">
        <f t="shared" si="0"/>
        <v>6.4885933333333305</v>
      </c>
      <c r="R7">
        <f t="shared" si="0"/>
        <v>6.4143883333333305</v>
      </c>
      <c r="S7">
        <f t="shared" si="0"/>
        <v>6.3401833333333304</v>
      </c>
      <c r="T7">
        <f t="shared" si="0"/>
        <v>6.2659783333333303</v>
      </c>
      <c r="U7">
        <f t="shared" si="1"/>
        <v>6.1917733333333302</v>
      </c>
      <c r="V7">
        <f t="shared" si="1"/>
        <v>6.1175683333333302</v>
      </c>
      <c r="W7">
        <f t="shared" si="1"/>
        <v>6.0433633333333301</v>
      </c>
      <c r="X7">
        <f t="shared" si="1"/>
        <v>5.96915833333333</v>
      </c>
      <c r="Y7">
        <f t="shared" si="1"/>
        <v>5.8949533333333299</v>
      </c>
      <c r="Z7">
        <f t="shared" si="1"/>
        <v>5.8207483333333299</v>
      </c>
      <c r="AA7">
        <f t="shared" si="1"/>
        <v>5.7465433333333298</v>
      </c>
      <c r="AB7">
        <f t="shared" si="1"/>
        <v>5.6723383333333297</v>
      </c>
      <c r="AC7">
        <f t="shared" si="1"/>
        <v>5.5981333333333296</v>
      </c>
      <c r="AD7">
        <f t="shared" si="1"/>
        <v>4.2624433333333309</v>
      </c>
    </row>
    <row r="8" spans="2:30" x14ac:dyDescent="0.2">
      <c r="B8" s="7">
        <v>44576</v>
      </c>
      <c r="C8" s="8">
        <v>4.0736111111111128</v>
      </c>
      <c r="D8">
        <f t="shared" si="2"/>
        <v>7.3497861111111131</v>
      </c>
      <c r="E8">
        <f t="shared" si="0"/>
        <v>7.2755811111111131</v>
      </c>
      <c r="F8">
        <f t="shared" si="0"/>
        <v>7.201376111111113</v>
      </c>
      <c r="G8">
        <f t="shared" si="0"/>
        <v>7.1271711111111129</v>
      </c>
      <c r="H8">
        <f t="shared" si="0"/>
        <v>7.0529661111111128</v>
      </c>
      <c r="I8">
        <f t="shared" si="0"/>
        <v>6.9787611111111136</v>
      </c>
      <c r="J8">
        <f t="shared" si="0"/>
        <v>6.9045561111111127</v>
      </c>
      <c r="K8">
        <f t="shared" si="0"/>
        <v>6.8303511111111135</v>
      </c>
      <c r="L8">
        <f t="shared" si="0"/>
        <v>6.7561461111111125</v>
      </c>
      <c r="M8">
        <f t="shared" si="0"/>
        <v>6.6819411111111133</v>
      </c>
      <c r="N8">
        <f t="shared" si="0"/>
        <v>6.6077361111111133</v>
      </c>
      <c r="O8">
        <f t="shared" si="0"/>
        <v>6.5335311111111132</v>
      </c>
      <c r="P8">
        <f t="shared" si="0"/>
        <v>6.4593261111111131</v>
      </c>
      <c r="Q8">
        <f t="shared" si="0"/>
        <v>6.385121111111113</v>
      </c>
      <c r="R8">
        <f t="shared" si="0"/>
        <v>6.3109161111111129</v>
      </c>
      <c r="S8">
        <f t="shared" si="0"/>
        <v>6.2367111111111129</v>
      </c>
      <c r="T8">
        <f t="shared" si="0"/>
        <v>6.1625061111111128</v>
      </c>
      <c r="U8">
        <f t="shared" si="1"/>
        <v>6.0883011111111127</v>
      </c>
      <c r="V8">
        <f t="shared" si="1"/>
        <v>6.0140961111111126</v>
      </c>
      <c r="W8">
        <f t="shared" si="1"/>
        <v>5.9398911111111126</v>
      </c>
      <c r="X8">
        <f t="shared" si="1"/>
        <v>5.8656861111111125</v>
      </c>
      <c r="Y8">
        <f t="shared" si="1"/>
        <v>5.7914811111111124</v>
      </c>
      <c r="Z8">
        <f t="shared" si="1"/>
        <v>5.7172761111111123</v>
      </c>
      <c r="AA8">
        <f t="shared" si="1"/>
        <v>5.6430711111111123</v>
      </c>
      <c r="AB8">
        <f t="shared" si="1"/>
        <v>5.5688661111111122</v>
      </c>
      <c r="AC8">
        <f t="shared" si="1"/>
        <v>5.4946611111111121</v>
      </c>
      <c r="AD8">
        <f t="shared" si="1"/>
        <v>4.1589711111111134</v>
      </c>
    </row>
    <row r="9" spans="2:30" x14ac:dyDescent="0.2">
      <c r="B9" s="7">
        <v>44577</v>
      </c>
      <c r="C9" s="8">
        <v>4.2298611111111066</v>
      </c>
      <c r="D9">
        <f t="shared" si="2"/>
        <v>7.5060361111111069</v>
      </c>
      <c r="E9">
        <f t="shared" si="0"/>
        <v>7.4318311111111068</v>
      </c>
      <c r="F9">
        <f t="shared" si="0"/>
        <v>7.3576261111111068</v>
      </c>
      <c r="G9">
        <f t="shared" si="0"/>
        <v>7.2834211111111067</v>
      </c>
      <c r="H9">
        <f t="shared" si="0"/>
        <v>7.2092161111111075</v>
      </c>
      <c r="I9">
        <f t="shared" si="0"/>
        <v>7.1350111111111065</v>
      </c>
      <c r="J9">
        <f t="shared" si="0"/>
        <v>7.0608061111111073</v>
      </c>
      <c r="K9">
        <f t="shared" si="0"/>
        <v>6.9866011111111064</v>
      </c>
      <c r="L9">
        <f t="shared" si="0"/>
        <v>6.9123961111111072</v>
      </c>
      <c r="M9">
        <f t="shared" si="0"/>
        <v>6.8381911111111062</v>
      </c>
      <c r="N9">
        <f t="shared" si="0"/>
        <v>6.763986111111107</v>
      </c>
      <c r="O9">
        <f t="shared" si="0"/>
        <v>6.689781111111107</v>
      </c>
      <c r="P9">
        <f t="shared" si="0"/>
        <v>6.6155761111111069</v>
      </c>
      <c r="Q9">
        <f t="shared" si="0"/>
        <v>6.5413711111111068</v>
      </c>
      <c r="R9">
        <f t="shared" si="0"/>
        <v>6.4671661111111067</v>
      </c>
      <c r="S9">
        <f t="shared" si="0"/>
        <v>6.3929611111111067</v>
      </c>
      <c r="T9">
        <f t="shared" si="0"/>
        <v>6.3187561111111066</v>
      </c>
      <c r="U9">
        <f t="shared" si="1"/>
        <v>6.2445511111111065</v>
      </c>
      <c r="V9">
        <f t="shared" si="1"/>
        <v>6.1703461111111064</v>
      </c>
      <c r="W9">
        <f t="shared" si="1"/>
        <v>6.0961411111111063</v>
      </c>
      <c r="X9">
        <f t="shared" si="1"/>
        <v>6.0219361111111063</v>
      </c>
      <c r="Y9">
        <f t="shared" si="1"/>
        <v>5.9477311111111062</v>
      </c>
      <c r="Z9">
        <f t="shared" si="1"/>
        <v>5.8735261111111061</v>
      </c>
      <c r="AA9">
        <f t="shared" si="1"/>
        <v>5.799321111111106</v>
      </c>
      <c r="AB9">
        <f t="shared" si="1"/>
        <v>5.725116111111106</v>
      </c>
      <c r="AC9">
        <f t="shared" si="1"/>
        <v>5.6509111111111059</v>
      </c>
      <c r="AD9">
        <f t="shared" si="1"/>
        <v>4.3152211111111072</v>
      </c>
    </row>
    <row r="10" spans="2:30" x14ac:dyDescent="0.2">
      <c r="B10" s="7">
        <v>44578</v>
      </c>
      <c r="C10" s="8">
        <v>5.1479166666666671</v>
      </c>
      <c r="D10">
        <f t="shared" si="2"/>
        <v>8.4240916666666674</v>
      </c>
      <c r="E10">
        <f t="shared" si="0"/>
        <v>8.3498866666666665</v>
      </c>
      <c r="F10">
        <f t="shared" si="0"/>
        <v>8.2756816666666673</v>
      </c>
      <c r="G10">
        <f t="shared" si="0"/>
        <v>8.2014766666666681</v>
      </c>
      <c r="H10">
        <f t="shared" si="0"/>
        <v>8.1272716666666671</v>
      </c>
      <c r="I10">
        <f t="shared" si="0"/>
        <v>8.0530666666666679</v>
      </c>
      <c r="J10">
        <f t="shared" si="0"/>
        <v>7.978861666666667</v>
      </c>
      <c r="K10">
        <f t="shared" si="0"/>
        <v>7.9046566666666678</v>
      </c>
      <c r="L10">
        <f t="shared" si="0"/>
        <v>7.8304516666666668</v>
      </c>
      <c r="M10">
        <f t="shared" si="0"/>
        <v>7.7562466666666676</v>
      </c>
      <c r="N10">
        <f t="shared" si="0"/>
        <v>7.6820416666666675</v>
      </c>
      <c r="O10">
        <f t="shared" si="0"/>
        <v>7.6078366666666675</v>
      </c>
      <c r="P10">
        <f t="shared" si="0"/>
        <v>7.5336316666666674</v>
      </c>
      <c r="Q10">
        <f t="shared" si="0"/>
        <v>7.4594266666666673</v>
      </c>
      <c r="R10">
        <f t="shared" si="0"/>
        <v>7.3852216666666672</v>
      </c>
      <c r="S10">
        <f t="shared" si="0"/>
        <v>7.3110166666666672</v>
      </c>
      <c r="T10">
        <f t="shared" si="0"/>
        <v>7.2368116666666671</v>
      </c>
      <c r="U10">
        <f t="shared" si="1"/>
        <v>7.162606666666667</v>
      </c>
      <c r="V10">
        <f t="shared" si="1"/>
        <v>7.0884016666666669</v>
      </c>
      <c r="W10">
        <f t="shared" si="1"/>
        <v>7.0141966666666669</v>
      </c>
      <c r="X10">
        <f t="shared" si="1"/>
        <v>6.9399916666666668</v>
      </c>
      <c r="Y10">
        <f t="shared" si="1"/>
        <v>6.8657866666666667</v>
      </c>
      <c r="Z10">
        <f t="shared" si="1"/>
        <v>6.7915816666666666</v>
      </c>
      <c r="AA10">
        <f t="shared" si="1"/>
        <v>6.7173766666666666</v>
      </c>
      <c r="AB10">
        <f t="shared" si="1"/>
        <v>6.6431716666666665</v>
      </c>
      <c r="AC10">
        <f t="shared" si="1"/>
        <v>6.5689666666666664</v>
      </c>
      <c r="AD10">
        <f t="shared" si="1"/>
        <v>5.2332766666666677</v>
      </c>
    </row>
    <row r="11" spans="2:30" x14ac:dyDescent="0.2">
      <c r="B11" s="7">
        <v>44579</v>
      </c>
      <c r="C11" s="8">
        <v>3.6472222222222226</v>
      </c>
      <c r="D11">
        <f t="shared" si="2"/>
        <v>6.9233972222222224</v>
      </c>
      <c r="E11">
        <f t="shared" si="0"/>
        <v>6.8491922222222232</v>
      </c>
      <c r="F11">
        <f t="shared" si="0"/>
        <v>6.7749872222222223</v>
      </c>
      <c r="G11">
        <f t="shared" si="0"/>
        <v>6.7007822222222231</v>
      </c>
      <c r="H11">
        <f t="shared" si="0"/>
        <v>6.626577222222223</v>
      </c>
      <c r="I11">
        <f t="shared" si="0"/>
        <v>6.5523722222222229</v>
      </c>
      <c r="J11">
        <f t="shared" si="0"/>
        <v>6.4781672222222229</v>
      </c>
      <c r="K11">
        <f t="shared" si="0"/>
        <v>6.4039622222222228</v>
      </c>
      <c r="L11">
        <f t="shared" si="0"/>
        <v>6.3297572222222227</v>
      </c>
      <c r="M11">
        <f t="shared" si="0"/>
        <v>6.2555522222222226</v>
      </c>
      <c r="N11">
        <f t="shared" si="0"/>
        <v>6.1813472222222234</v>
      </c>
      <c r="O11">
        <f t="shared" si="0"/>
        <v>6.1071422222222225</v>
      </c>
      <c r="P11">
        <f t="shared" si="0"/>
        <v>6.0329372222222233</v>
      </c>
      <c r="Q11">
        <f t="shared" si="0"/>
        <v>5.9587322222222223</v>
      </c>
      <c r="R11">
        <f t="shared" si="0"/>
        <v>5.8845272222222231</v>
      </c>
      <c r="S11">
        <f t="shared" si="0"/>
        <v>5.8103222222222222</v>
      </c>
      <c r="T11">
        <f t="shared" si="0"/>
        <v>5.736117222222223</v>
      </c>
      <c r="U11">
        <f t="shared" si="1"/>
        <v>5.661912222222222</v>
      </c>
      <c r="V11">
        <f t="shared" si="1"/>
        <v>5.5877072222222228</v>
      </c>
      <c r="W11">
        <f t="shared" si="1"/>
        <v>5.5135022222222219</v>
      </c>
      <c r="X11">
        <f t="shared" si="1"/>
        <v>5.4392972222222227</v>
      </c>
      <c r="Y11">
        <f t="shared" si="1"/>
        <v>5.3650922222222217</v>
      </c>
      <c r="Z11">
        <f t="shared" si="1"/>
        <v>5.2908872222222225</v>
      </c>
      <c r="AA11">
        <f t="shared" si="1"/>
        <v>5.2166822222222216</v>
      </c>
      <c r="AB11">
        <f t="shared" si="1"/>
        <v>5.1424772222222224</v>
      </c>
      <c r="AC11">
        <f t="shared" si="1"/>
        <v>5.0682722222222214</v>
      </c>
      <c r="AD11">
        <f t="shared" si="1"/>
        <v>3.7325822222222231</v>
      </c>
    </row>
    <row r="12" spans="2:30" x14ac:dyDescent="0.2">
      <c r="B12" s="7">
        <v>44580</v>
      </c>
      <c r="C12" s="8">
        <v>4.1791666666666689</v>
      </c>
      <c r="D12">
        <f t="shared" si="2"/>
        <v>7.4553416666666692</v>
      </c>
      <c r="E12">
        <f t="shared" si="0"/>
        <v>7.3811366666666691</v>
      </c>
      <c r="F12">
        <f t="shared" si="0"/>
        <v>7.306931666666669</v>
      </c>
      <c r="G12">
        <f t="shared" si="0"/>
        <v>7.232726666666669</v>
      </c>
      <c r="H12">
        <f t="shared" si="0"/>
        <v>7.1585216666666689</v>
      </c>
      <c r="I12">
        <f t="shared" si="0"/>
        <v>7.0843166666666697</v>
      </c>
      <c r="J12">
        <f t="shared" si="0"/>
        <v>7.0101116666666687</v>
      </c>
      <c r="K12">
        <f t="shared" si="0"/>
        <v>6.9359066666666696</v>
      </c>
      <c r="L12">
        <f t="shared" si="0"/>
        <v>6.8617016666666686</v>
      </c>
      <c r="M12">
        <f t="shared" si="0"/>
        <v>6.7874966666666694</v>
      </c>
      <c r="N12">
        <f t="shared" si="0"/>
        <v>6.7132916666666693</v>
      </c>
      <c r="O12">
        <f t="shared" si="0"/>
        <v>6.6390866666666692</v>
      </c>
      <c r="P12">
        <f t="shared" si="0"/>
        <v>6.5648816666666692</v>
      </c>
      <c r="Q12">
        <f t="shared" si="0"/>
        <v>6.4906766666666691</v>
      </c>
      <c r="R12">
        <f t="shared" si="0"/>
        <v>6.416471666666669</v>
      </c>
      <c r="S12">
        <f t="shared" si="0"/>
        <v>6.3422666666666689</v>
      </c>
      <c r="T12">
        <f t="shared" si="0"/>
        <v>6.2680616666666689</v>
      </c>
      <c r="U12">
        <f t="shared" si="1"/>
        <v>6.1938566666666688</v>
      </c>
      <c r="V12">
        <f t="shared" si="1"/>
        <v>6.1196516666666687</v>
      </c>
      <c r="W12">
        <f t="shared" si="1"/>
        <v>6.0454466666666686</v>
      </c>
      <c r="X12">
        <f t="shared" si="1"/>
        <v>5.9712416666666686</v>
      </c>
      <c r="Y12">
        <f t="shared" si="1"/>
        <v>5.8970366666666685</v>
      </c>
      <c r="Z12">
        <f t="shared" si="1"/>
        <v>5.8228316666666684</v>
      </c>
      <c r="AA12">
        <f t="shared" si="1"/>
        <v>5.7486266666666683</v>
      </c>
      <c r="AB12">
        <f t="shared" si="1"/>
        <v>5.6744216666666683</v>
      </c>
      <c r="AC12">
        <f t="shared" si="1"/>
        <v>5.6002166666666682</v>
      </c>
      <c r="AD12">
        <f t="shared" si="1"/>
        <v>4.2645266666666695</v>
      </c>
    </row>
    <row r="13" spans="2:30" x14ac:dyDescent="0.2">
      <c r="B13" s="7">
        <v>44581</v>
      </c>
      <c r="C13" s="8">
        <v>3.1472222222222235</v>
      </c>
      <c r="D13">
        <f t="shared" si="2"/>
        <v>6.4233972222222242</v>
      </c>
      <c r="E13">
        <f t="shared" si="0"/>
        <v>6.3491922222222232</v>
      </c>
      <c r="F13">
        <f t="shared" si="0"/>
        <v>6.274987222222224</v>
      </c>
      <c r="G13">
        <f t="shared" si="0"/>
        <v>6.2007822222222231</v>
      </c>
      <c r="H13">
        <f t="shared" si="0"/>
        <v>6.1265772222222239</v>
      </c>
      <c r="I13">
        <f t="shared" si="0"/>
        <v>6.0523722222222238</v>
      </c>
      <c r="J13">
        <f t="shared" si="0"/>
        <v>5.9781672222222237</v>
      </c>
      <c r="K13">
        <f t="shared" si="0"/>
        <v>5.9039622222222237</v>
      </c>
      <c r="L13">
        <f t="shared" si="0"/>
        <v>5.8297572222222236</v>
      </c>
      <c r="M13">
        <f t="shared" si="0"/>
        <v>5.7555522222222235</v>
      </c>
      <c r="N13">
        <f t="shared" si="0"/>
        <v>5.6813472222222234</v>
      </c>
      <c r="O13">
        <f t="shared" si="0"/>
        <v>5.6071422222222242</v>
      </c>
      <c r="P13">
        <f t="shared" si="0"/>
        <v>5.5329372222222233</v>
      </c>
      <c r="Q13">
        <f t="shared" si="0"/>
        <v>5.4587322222222241</v>
      </c>
      <c r="R13">
        <f t="shared" si="0"/>
        <v>5.3845272222222231</v>
      </c>
      <c r="S13">
        <f t="shared" si="0"/>
        <v>5.3103222222222239</v>
      </c>
      <c r="T13">
        <f t="shared" si="0"/>
        <v>5.236117222222223</v>
      </c>
      <c r="U13">
        <f t="shared" si="1"/>
        <v>5.1619122222222238</v>
      </c>
      <c r="V13">
        <f t="shared" si="1"/>
        <v>5.0877072222222228</v>
      </c>
      <c r="W13">
        <f t="shared" si="1"/>
        <v>5.0135022222222236</v>
      </c>
      <c r="X13">
        <f t="shared" si="1"/>
        <v>4.9392972222222227</v>
      </c>
      <c r="Y13">
        <f t="shared" si="1"/>
        <v>4.8650922222222235</v>
      </c>
      <c r="Z13">
        <f t="shared" si="1"/>
        <v>4.7908872222222225</v>
      </c>
      <c r="AA13">
        <f t="shared" si="1"/>
        <v>4.7166822222222233</v>
      </c>
      <c r="AB13">
        <f t="shared" si="1"/>
        <v>4.6424772222222224</v>
      </c>
      <c r="AC13">
        <f t="shared" si="1"/>
        <v>4.5682722222222232</v>
      </c>
      <c r="AD13">
        <f t="shared" si="1"/>
        <v>3.232582222222224</v>
      </c>
    </row>
    <row r="14" spans="2:30" x14ac:dyDescent="0.2">
      <c r="B14" s="7">
        <v>44582</v>
      </c>
      <c r="C14" s="8">
        <v>2.7368055555555562</v>
      </c>
      <c r="D14">
        <f t="shared" si="2"/>
        <v>6.012980555555556</v>
      </c>
      <c r="E14">
        <f t="shared" si="0"/>
        <v>5.9387755555555568</v>
      </c>
      <c r="F14">
        <f t="shared" si="0"/>
        <v>5.8645705555555558</v>
      </c>
      <c r="G14">
        <f t="shared" si="0"/>
        <v>5.7903655555555567</v>
      </c>
      <c r="H14">
        <f t="shared" si="0"/>
        <v>5.7161605555555566</v>
      </c>
      <c r="I14">
        <f t="shared" si="0"/>
        <v>5.6419555555555565</v>
      </c>
      <c r="J14">
        <f t="shared" si="0"/>
        <v>5.5677505555555564</v>
      </c>
      <c r="K14">
        <f t="shared" si="0"/>
        <v>5.4935455555555563</v>
      </c>
      <c r="L14">
        <f t="shared" si="0"/>
        <v>5.4193405555555563</v>
      </c>
      <c r="M14">
        <f t="shared" si="0"/>
        <v>5.3451355555555562</v>
      </c>
      <c r="N14">
        <f t="shared" si="0"/>
        <v>5.270930555555557</v>
      </c>
      <c r="O14">
        <f t="shared" si="0"/>
        <v>5.196725555555556</v>
      </c>
      <c r="P14">
        <f t="shared" si="0"/>
        <v>5.1225205555555569</v>
      </c>
      <c r="Q14">
        <f t="shared" si="0"/>
        <v>5.0483155555555559</v>
      </c>
      <c r="R14">
        <f t="shared" si="0"/>
        <v>4.9741105555555567</v>
      </c>
      <c r="S14">
        <f t="shared" si="0"/>
        <v>4.8999055555555557</v>
      </c>
      <c r="T14">
        <f t="shared" si="0"/>
        <v>4.8257005555555565</v>
      </c>
      <c r="U14">
        <f t="shared" si="1"/>
        <v>4.7514955555555556</v>
      </c>
      <c r="V14">
        <f t="shared" si="1"/>
        <v>4.6772905555555564</v>
      </c>
      <c r="W14">
        <f t="shared" si="1"/>
        <v>4.6030855555555554</v>
      </c>
      <c r="X14">
        <f t="shared" si="1"/>
        <v>4.5288805555555562</v>
      </c>
      <c r="Y14">
        <f t="shared" si="1"/>
        <v>4.4546755555555553</v>
      </c>
      <c r="Z14">
        <f t="shared" si="1"/>
        <v>4.3804705555555561</v>
      </c>
      <c r="AA14">
        <f t="shared" si="1"/>
        <v>4.3062655555555551</v>
      </c>
      <c r="AB14">
        <f t="shared" si="1"/>
        <v>4.2320605555555559</v>
      </c>
      <c r="AC14">
        <f t="shared" si="1"/>
        <v>4.157855555555555</v>
      </c>
      <c r="AD14">
        <f t="shared" si="1"/>
        <v>2.8221655555555567</v>
      </c>
    </row>
    <row r="15" spans="2:30" x14ac:dyDescent="0.2">
      <c r="B15" s="7">
        <v>44583</v>
      </c>
      <c r="C15" s="8">
        <v>4.7298611111111057</v>
      </c>
      <c r="D15">
        <f t="shared" si="2"/>
        <v>8.006036111111106</v>
      </c>
      <c r="E15">
        <f t="shared" si="0"/>
        <v>7.9318311111111059</v>
      </c>
      <c r="F15">
        <f t="shared" si="0"/>
        <v>7.8576261111111059</v>
      </c>
      <c r="G15">
        <f t="shared" si="0"/>
        <v>7.7834211111111058</v>
      </c>
      <c r="H15">
        <f t="shared" si="0"/>
        <v>7.7092161111111057</v>
      </c>
      <c r="I15">
        <f t="shared" si="0"/>
        <v>7.6350111111111065</v>
      </c>
      <c r="J15">
        <f t="shared" si="0"/>
        <v>7.5608061111111056</v>
      </c>
      <c r="K15">
        <f t="shared" si="0"/>
        <v>7.4866011111111064</v>
      </c>
      <c r="L15">
        <f t="shared" si="0"/>
        <v>7.4123961111111054</v>
      </c>
      <c r="M15">
        <f t="shared" si="0"/>
        <v>7.3381911111111062</v>
      </c>
      <c r="N15">
        <f t="shared" si="0"/>
        <v>7.2639861111111061</v>
      </c>
      <c r="O15">
        <f t="shared" si="0"/>
        <v>7.1897811111111061</v>
      </c>
      <c r="P15">
        <f t="shared" si="0"/>
        <v>7.115576111111106</v>
      </c>
      <c r="Q15">
        <f t="shared" si="0"/>
        <v>7.0413711111111059</v>
      </c>
      <c r="R15">
        <f t="shared" si="0"/>
        <v>6.9671661111111058</v>
      </c>
      <c r="S15">
        <f t="shared" si="0"/>
        <v>6.8929611111111058</v>
      </c>
      <c r="T15">
        <f t="shared" si="0"/>
        <v>6.8187561111111057</v>
      </c>
      <c r="U15">
        <f t="shared" si="1"/>
        <v>6.7445511111111056</v>
      </c>
      <c r="V15">
        <f t="shared" si="1"/>
        <v>6.6703461111111055</v>
      </c>
      <c r="W15">
        <f t="shared" si="1"/>
        <v>6.5961411111111055</v>
      </c>
      <c r="X15">
        <f t="shared" si="1"/>
        <v>6.5219361111111054</v>
      </c>
      <c r="Y15">
        <f t="shared" si="1"/>
        <v>6.4477311111111053</v>
      </c>
      <c r="Z15">
        <f t="shared" si="1"/>
        <v>6.3735261111111052</v>
      </c>
      <c r="AA15">
        <f t="shared" si="1"/>
        <v>6.2993211111111052</v>
      </c>
      <c r="AB15">
        <f t="shared" si="1"/>
        <v>6.2251161111111051</v>
      </c>
      <c r="AC15">
        <f t="shared" si="1"/>
        <v>6.150911111111105</v>
      </c>
      <c r="AD15">
        <f t="shared" si="1"/>
        <v>4.8152211111111063</v>
      </c>
    </row>
    <row r="16" spans="2:30" x14ac:dyDescent="0.2">
      <c r="B16" s="7">
        <v>44584</v>
      </c>
      <c r="C16" s="8">
        <v>5.3881944444444461</v>
      </c>
      <c r="D16">
        <f t="shared" si="2"/>
        <v>8.6643694444444463</v>
      </c>
      <c r="E16">
        <f t="shared" si="0"/>
        <v>8.5901644444444472</v>
      </c>
      <c r="F16">
        <f t="shared" si="0"/>
        <v>8.5159594444444462</v>
      </c>
      <c r="G16">
        <f t="shared" si="0"/>
        <v>8.4417544444444452</v>
      </c>
      <c r="H16">
        <f t="shared" si="0"/>
        <v>8.367549444444446</v>
      </c>
      <c r="I16">
        <f t="shared" si="0"/>
        <v>8.2933444444444469</v>
      </c>
      <c r="J16">
        <f t="shared" si="0"/>
        <v>8.2191394444444459</v>
      </c>
      <c r="K16">
        <f t="shared" si="0"/>
        <v>8.1449344444444467</v>
      </c>
      <c r="L16">
        <f t="shared" si="0"/>
        <v>8.0707294444444457</v>
      </c>
      <c r="M16">
        <f t="shared" si="0"/>
        <v>7.9965244444444465</v>
      </c>
      <c r="N16">
        <f t="shared" si="0"/>
        <v>7.9223194444444465</v>
      </c>
      <c r="O16">
        <f t="shared" si="0"/>
        <v>7.8481144444444464</v>
      </c>
      <c r="P16">
        <f t="shared" si="0"/>
        <v>7.7739094444444463</v>
      </c>
      <c r="Q16">
        <f t="shared" si="0"/>
        <v>7.6997044444444462</v>
      </c>
      <c r="R16">
        <f t="shared" si="0"/>
        <v>7.6254994444444462</v>
      </c>
      <c r="S16">
        <f t="shared" si="0"/>
        <v>7.5512944444444461</v>
      </c>
      <c r="T16">
        <f t="shared" si="0"/>
        <v>7.477089444444446</v>
      </c>
      <c r="U16">
        <f t="shared" si="1"/>
        <v>7.4028844444444459</v>
      </c>
      <c r="V16">
        <f t="shared" si="1"/>
        <v>7.3286794444444459</v>
      </c>
      <c r="W16">
        <f t="shared" si="1"/>
        <v>7.2544744444444458</v>
      </c>
      <c r="X16">
        <f t="shared" si="1"/>
        <v>7.1802694444444457</v>
      </c>
      <c r="Y16">
        <f t="shared" si="1"/>
        <v>7.1060644444444456</v>
      </c>
      <c r="Z16">
        <f t="shared" si="1"/>
        <v>7.0318594444444456</v>
      </c>
      <c r="AA16">
        <f t="shared" si="1"/>
        <v>6.9576544444444455</v>
      </c>
      <c r="AB16">
        <f t="shared" si="1"/>
        <v>6.8834494444444454</v>
      </c>
      <c r="AC16">
        <f t="shared" si="1"/>
        <v>6.8092444444444453</v>
      </c>
      <c r="AD16">
        <f t="shared" si="1"/>
        <v>5.4735544444444466</v>
      </c>
    </row>
    <row r="17" spans="2:30" x14ac:dyDescent="0.2">
      <c r="B17" s="7">
        <v>44585</v>
      </c>
      <c r="C17" s="8">
        <v>4.9805555555555641</v>
      </c>
      <c r="D17">
        <f t="shared" si="2"/>
        <v>8.2567305555555635</v>
      </c>
      <c r="E17">
        <f t="shared" si="0"/>
        <v>8.1825255555555643</v>
      </c>
      <c r="F17">
        <f t="shared" si="0"/>
        <v>8.1083205555555651</v>
      </c>
      <c r="G17">
        <f t="shared" si="0"/>
        <v>8.0341155555555641</v>
      </c>
      <c r="H17">
        <f t="shared" si="0"/>
        <v>7.9599105555555649</v>
      </c>
      <c r="I17">
        <f t="shared" si="0"/>
        <v>7.885705555555564</v>
      </c>
      <c r="J17">
        <f t="shared" si="0"/>
        <v>7.8115005555555648</v>
      </c>
      <c r="K17">
        <f t="shared" si="0"/>
        <v>7.7372955555555638</v>
      </c>
      <c r="L17">
        <f t="shared" si="0"/>
        <v>7.6630905555555646</v>
      </c>
      <c r="M17">
        <f t="shared" si="0"/>
        <v>7.5888855555555637</v>
      </c>
      <c r="N17">
        <f t="shared" si="0"/>
        <v>7.5146805555555645</v>
      </c>
      <c r="O17">
        <f t="shared" si="0"/>
        <v>7.4404755555555644</v>
      </c>
      <c r="P17">
        <f t="shared" si="0"/>
        <v>7.3662705555555643</v>
      </c>
      <c r="Q17">
        <f t="shared" si="0"/>
        <v>7.2920655555555642</v>
      </c>
      <c r="R17">
        <f t="shared" si="0"/>
        <v>7.2178605555555642</v>
      </c>
      <c r="S17">
        <f t="shared" si="0"/>
        <v>7.1436555555555641</v>
      </c>
      <c r="T17">
        <f t="shared" si="0"/>
        <v>7.069450555555564</v>
      </c>
      <c r="U17">
        <f t="shared" si="1"/>
        <v>6.9952455555555639</v>
      </c>
      <c r="V17">
        <f t="shared" si="1"/>
        <v>6.9210405555555639</v>
      </c>
      <c r="W17">
        <f t="shared" si="1"/>
        <v>6.8468355555555638</v>
      </c>
      <c r="X17">
        <f t="shared" si="1"/>
        <v>6.7726305555555637</v>
      </c>
      <c r="Y17">
        <f t="shared" si="1"/>
        <v>6.6984255555555636</v>
      </c>
      <c r="Z17">
        <f t="shared" si="1"/>
        <v>6.6242205555555635</v>
      </c>
      <c r="AA17">
        <f t="shared" si="1"/>
        <v>6.5500155555555635</v>
      </c>
      <c r="AB17">
        <f t="shared" si="1"/>
        <v>6.4758105555555634</v>
      </c>
      <c r="AC17">
        <f t="shared" si="1"/>
        <v>6.4016055555555633</v>
      </c>
      <c r="AD17">
        <f t="shared" si="1"/>
        <v>5.0659155555555646</v>
      </c>
    </row>
    <row r="18" spans="2:30" x14ac:dyDescent="0.2">
      <c r="B18" s="7">
        <v>44586</v>
      </c>
      <c r="C18" s="8">
        <v>3.9881944444444395</v>
      </c>
      <c r="D18">
        <f t="shared" si="2"/>
        <v>7.2643694444444398</v>
      </c>
      <c r="E18">
        <f t="shared" si="0"/>
        <v>7.1901644444444397</v>
      </c>
      <c r="F18">
        <f t="shared" si="0"/>
        <v>7.1159594444444396</v>
      </c>
      <c r="G18">
        <f t="shared" si="0"/>
        <v>7.0417544444444395</v>
      </c>
      <c r="H18">
        <f t="shared" si="0"/>
        <v>6.9675494444444404</v>
      </c>
      <c r="I18">
        <f t="shared" si="0"/>
        <v>6.8933444444444394</v>
      </c>
      <c r="J18">
        <f t="shared" si="0"/>
        <v>6.8191394444444402</v>
      </c>
      <c r="K18">
        <f t="shared" si="0"/>
        <v>6.7449344444444392</v>
      </c>
      <c r="L18">
        <f t="shared" si="0"/>
        <v>6.67072944444444</v>
      </c>
      <c r="M18">
        <f t="shared" si="0"/>
        <v>6.5965244444444391</v>
      </c>
      <c r="N18">
        <f t="shared" si="0"/>
        <v>6.5223194444444399</v>
      </c>
      <c r="O18">
        <f t="shared" si="0"/>
        <v>6.4481144444444398</v>
      </c>
      <c r="P18">
        <f t="shared" si="0"/>
        <v>6.3739094444444397</v>
      </c>
      <c r="Q18">
        <f t="shared" si="0"/>
        <v>6.2997044444444397</v>
      </c>
      <c r="R18">
        <f t="shared" si="0"/>
        <v>6.2254994444444396</v>
      </c>
      <c r="S18">
        <f t="shared" si="0"/>
        <v>6.1512944444444395</v>
      </c>
      <c r="T18">
        <f t="shared" si="0"/>
        <v>6.0770894444444394</v>
      </c>
      <c r="U18">
        <f t="shared" si="1"/>
        <v>6.0028844444444394</v>
      </c>
      <c r="V18">
        <f t="shared" si="1"/>
        <v>5.9286794444444393</v>
      </c>
      <c r="W18">
        <f t="shared" si="1"/>
        <v>5.8544744444444392</v>
      </c>
      <c r="X18">
        <f t="shared" si="1"/>
        <v>5.7802694444444391</v>
      </c>
      <c r="Y18">
        <f t="shared" si="1"/>
        <v>5.7060644444444391</v>
      </c>
      <c r="Z18">
        <f t="shared" si="1"/>
        <v>5.631859444444439</v>
      </c>
      <c r="AA18">
        <f t="shared" si="1"/>
        <v>5.5576544444444389</v>
      </c>
      <c r="AB18">
        <f t="shared" si="1"/>
        <v>5.4834494444444388</v>
      </c>
      <c r="AC18">
        <f t="shared" si="1"/>
        <v>5.4092444444444387</v>
      </c>
      <c r="AD18">
        <f t="shared" si="1"/>
        <v>4.07355444444444</v>
      </c>
    </row>
    <row r="19" spans="2:30" x14ac:dyDescent="0.2">
      <c r="B19" s="7">
        <v>44587</v>
      </c>
      <c r="C19" s="8">
        <v>3.707638888888888</v>
      </c>
      <c r="D19">
        <f t="shared" si="2"/>
        <v>6.9838138888888883</v>
      </c>
      <c r="E19">
        <f t="shared" si="0"/>
        <v>6.9096088888888882</v>
      </c>
      <c r="F19">
        <f t="shared" si="0"/>
        <v>6.8354038888888882</v>
      </c>
      <c r="G19">
        <f t="shared" si="0"/>
        <v>6.7611988888888881</v>
      </c>
      <c r="H19">
        <f t="shared" si="0"/>
        <v>6.6869938888888889</v>
      </c>
      <c r="I19">
        <f t="shared" si="0"/>
        <v>6.6127888888888879</v>
      </c>
      <c r="J19">
        <f t="shared" si="0"/>
        <v>6.5385838888888888</v>
      </c>
      <c r="K19">
        <f t="shared" si="0"/>
        <v>6.4643788888888878</v>
      </c>
      <c r="L19">
        <f t="shared" si="0"/>
        <v>6.3901738888888886</v>
      </c>
      <c r="M19">
        <f t="shared" si="0"/>
        <v>6.3159688888888876</v>
      </c>
      <c r="N19">
        <f t="shared" si="0"/>
        <v>6.2417638888888884</v>
      </c>
      <c r="O19">
        <f t="shared" si="0"/>
        <v>6.1675588888888884</v>
      </c>
      <c r="P19">
        <f t="shared" si="0"/>
        <v>6.0933538888888883</v>
      </c>
      <c r="Q19">
        <f t="shared" si="0"/>
        <v>6.0191488888888882</v>
      </c>
      <c r="R19">
        <f t="shared" si="0"/>
        <v>5.9449438888888881</v>
      </c>
      <c r="S19">
        <f t="shared" si="0"/>
        <v>5.8707388888888881</v>
      </c>
      <c r="T19">
        <f t="shared" si="0"/>
        <v>5.796533888888888</v>
      </c>
      <c r="U19">
        <f t="shared" si="1"/>
        <v>5.7223288888888879</v>
      </c>
      <c r="V19">
        <f t="shared" si="1"/>
        <v>5.6481238888888878</v>
      </c>
      <c r="W19">
        <f t="shared" si="1"/>
        <v>5.5739188888888878</v>
      </c>
      <c r="X19">
        <f t="shared" si="1"/>
        <v>5.4997138888888877</v>
      </c>
      <c r="Y19">
        <f t="shared" si="1"/>
        <v>5.4255088888888876</v>
      </c>
      <c r="Z19">
        <f t="shared" si="1"/>
        <v>5.3513038888888875</v>
      </c>
      <c r="AA19">
        <f t="shared" si="1"/>
        <v>5.2770988888888875</v>
      </c>
      <c r="AB19">
        <f t="shared" si="1"/>
        <v>5.2028938888888874</v>
      </c>
      <c r="AC19">
        <f t="shared" si="1"/>
        <v>5.1286888888888873</v>
      </c>
      <c r="AD19">
        <f t="shared" si="1"/>
        <v>3.7929988888888886</v>
      </c>
    </row>
    <row r="20" spans="2:30" x14ac:dyDescent="0.2">
      <c r="B20" s="7">
        <v>44588</v>
      </c>
      <c r="C20" s="8">
        <v>5.3423611111111109</v>
      </c>
      <c r="D20">
        <f t="shared" si="2"/>
        <v>8.6185361111111121</v>
      </c>
      <c r="E20">
        <f t="shared" si="0"/>
        <v>8.5443311111111111</v>
      </c>
      <c r="F20">
        <f t="shared" si="0"/>
        <v>8.4701261111111101</v>
      </c>
      <c r="G20">
        <f t="shared" si="0"/>
        <v>8.3959211111111109</v>
      </c>
      <c r="H20">
        <f t="shared" si="0"/>
        <v>8.3217161111111118</v>
      </c>
      <c r="I20">
        <f t="shared" si="0"/>
        <v>8.2475111111111108</v>
      </c>
      <c r="J20">
        <f t="shared" si="0"/>
        <v>8.1733061111111116</v>
      </c>
      <c r="K20">
        <f t="shared" si="0"/>
        <v>8.0991011111111106</v>
      </c>
      <c r="L20">
        <f t="shared" si="0"/>
        <v>8.0248961111111115</v>
      </c>
      <c r="M20">
        <f t="shared" si="0"/>
        <v>7.9506911111111105</v>
      </c>
      <c r="N20">
        <f t="shared" si="0"/>
        <v>7.8764861111111113</v>
      </c>
      <c r="O20">
        <f t="shared" si="0"/>
        <v>7.8022811111111112</v>
      </c>
      <c r="P20">
        <f t="shared" si="0"/>
        <v>7.7280761111111111</v>
      </c>
      <c r="Q20">
        <f t="shared" si="0"/>
        <v>7.6538711111111111</v>
      </c>
      <c r="R20">
        <f t="shared" si="0"/>
        <v>7.579666111111111</v>
      </c>
      <c r="S20">
        <f t="shared" ref="G20:V38" si="3">(-1.4841*S$3+3.6472)+$C20</f>
        <v>7.5054611111111109</v>
      </c>
      <c r="T20">
        <f t="shared" si="3"/>
        <v>7.4312561111111108</v>
      </c>
      <c r="U20">
        <f t="shared" si="1"/>
        <v>7.3570511111111108</v>
      </c>
      <c r="V20">
        <f t="shared" si="1"/>
        <v>7.2828461111111107</v>
      </c>
      <c r="W20">
        <f t="shared" si="1"/>
        <v>7.2086411111111106</v>
      </c>
      <c r="X20">
        <f t="shared" si="1"/>
        <v>7.1344361111111105</v>
      </c>
      <c r="Y20">
        <f t="shared" si="1"/>
        <v>7.0602311111111105</v>
      </c>
      <c r="Z20">
        <f t="shared" si="1"/>
        <v>6.9860261111111104</v>
      </c>
      <c r="AA20">
        <f t="shared" si="1"/>
        <v>6.9118211111111103</v>
      </c>
      <c r="AB20">
        <f t="shared" si="1"/>
        <v>6.8376161111111102</v>
      </c>
      <c r="AC20">
        <f t="shared" si="1"/>
        <v>6.7634111111111102</v>
      </c>
      <c r="AD20">
        <f t="shared" si="1"/>
        <v>5.4277211111111114</v>
      </c>
    </row>
    <row r="21" spans="2:30" x14ac:dyDescent="0.2">
      <c r="B21" s="7">
        <v>44589</v>
      </c>
      <c r="C21" s="8">
        <v>4.5607638888888928</v>
      </c>
      <c r="D21">
        <f t="shared" si="2"/>
        <v>7.8369388888888931</v>
      </c>
      <c r="E21">
        <f t="shared" ref="E21:F84" si="4">(-1.4841*E$3+3.6472)+$C21</f>
        <v>7.762733888888893</v>
      </c>
      <c r="F21">
        <f t="shared" si="4"/>
        <v>7.688528888888893</v>
      </c>
      <c r="G21">
        <f t="shared" si="3"/>
        <v>7.6143238888888929</v>
      </c>
      <c r="H21">
        <f t="shared" si="3"/>
        <v>7.5401188888888928</v>
      </c>
      <c r="I21">
        <f t="shared" si="3"/>
        <v>7.4659138888888936</v>
      </c>
      <c r="J21">
        <f t="shared" si="3"/>
        <v>7.3917088888888927</v>
      </c>
      <c r="K21">
        <f t="shared" si="3"/>
        <v>7.3175038888888935</v>
      </c>
      <c r="L21">
        <f t="shared" si="3"/>
        <v>7.2432988888888925</v>
      </c>
      <c r="M21">
        <f t="shared" si="3"/>
        <v>7.1690938888888933</v>
      </c>
      <c r="N21">
        <f t="shared" si="3"/>
        <v>7.0948888888888932</v>
      </c>
      <c r="O21">
        <f t="shared" si="3"/>
        <v>7.0206838888888932</v>
      </c>
      <c r="P21">
        <f t="shared" si="3"/>
        <v>6.9464788888888931</v>
      </c>
      <c r="Q21">
        <f t="shared" si="3"/>
        <v>6.872273888888893</v>
      </c>
      <c r="R21">
        <f t="shared" si="3"/>
        <v>6.7980688888888929</v>
      </c>
      <c r="S21">
        <f t="shared" si="3"/>
        <v>6.7238638888888929</v>
      </c>
      <c r="T21">
        <f t="shared" si="3"/>
        <v>6.6496588888888928</v>
      </c>
      <c r="U21">
        <f t="shared" si="3"/>
        <v>6.5754538888888927</v>
      </c>
      <c r="V21">
        <f t="shared" si="3"/>
        <v>6.5012488888888926</v>
      </c>
      <c r="W21">
        <f t="shared" ref="U21:AC49" si="5">(-1.4841*W$3+3.6472)+$C21</f>
        <v>6.4270438888888926</v>
      </c>
      <c r="X21">
        <f t="shared" si="5"/>
        <v>6.3528388888888925</v>
      </c>
      <c r="Y21">
        <f t="shared" si="5"/>
        <v>6.2786338888888924</v>
      </c>
      <c r="Z21">
        <f t="shared" si="5"/>
        <v>6.2044288888888923</v>
      </c>
      <c r="AA21">
        <f t="shared" si="5"/>
        <v>6.1302238888888922</v>
      </c>
      <c r="AB21">
        <f t="shared" si="5"/>
        <v>6.0560188888888922</v>
      </c>
      <c r="AC21">
        <f t="shared" si="5"/>
        <v>5.9818138888888921</v>
      </c>
      <c r="AD21">
        <f t="shared" ref="AD21:AD84" si="6">(-1.4841*AD$3+3.6472)+$C21</f>
        <v>4.6461238888888934</v>
      </c>
    </row>
    <row r="22" spans="2:30" x14ac:dyDescent="0.2">
      <c r="B22" s="7">
        <v>44590</v>
      </c>
      <c r="C22" s="8">
        <v>6.9993055555555523</v>
      </c>
      <c r="D22">
        <f t="shared" si="2"/>
        <v>10.275480555555554</v>
      </c>
      <c r="E22">
        <f t="shared" si="4"/>
        <v>10.201275555555553</v>
      </c>
      <c r="F22">
        <f t="shared" si="4"/>
        <v>10.127070555555552</v>
      </c>
      <c r="G22">
        <f t="shared" si="3"/>
        <v>10.052865555555552</v>
      </c>
      <c r="H22">
        <f t="shared" si="3"/>
        <v>9.9786605555555532</v>
      </c>
      <c r="I22">
        <f t="shared" si="3"/>
        <v>9.9044555555555522</v>
      </c>
      <c r="J22">
        <f t="shared" si="3"/>
        <v>9.830250555555553</v>
      </c>
      <c r="K22">
        <f t="shared" si="3"/>
        <v>9.7560455555555521</v>
      </c>
      <c r="L22">
        <f t="shared" si="3"/>
        <v>9.6818405555555529</v>
      </c>
      <c r="M22">
        <f t="shared" si="3"/>
        <v>9.6076355555555519</v>
      </c>
      <c r="N22">
        <f t="shared" si="3"/>
        <v>9.5334305555555527</v>
      </c>
      <c r="O22">
        <f t="shared" si="3"/>
        <v>9.4592255555555518</v>
      </c>
      <c r="P22">
        <f t="shared" si="3"/>
        <v>9.3850205555555526</v>
      </c>
      <c r="Q22">
        <f t="shared" si="3"/>
        <v>9.3108155555555534</v>
      </c>
      <c r="R22">
        <f t="shared" si="3"/>
        <v>9.2366105555555524</v>
      </c>
      <c r="S22">
        <f t="shared" si="3"/>
        <v>9.1624055555555515</v>
      </c>
      <c r="T22">
        <f t="shared" si="3"/>
        <v>9.0882005555555523</v>
      </c>
      <c r="U22">
        <f t="shared" si="5"/>
        <v>9.0139955555555531</v>
      </c>
      <c r="V22">
        <f t="shared" si="5"/>
        <v>8.9397905555555521</v>
      </c>
      <c r="W22">
        <f t="shared" si="5"/>
        <v>8.8655855555555512</v>
      </c>
      <c r="X22">
        <f t="shared" si="5"/>
        <v>8.791380555555552</v>
      </c>
      <c r="Y22">
        <f t="shared" si="5"/>
        <v>8.7171755555555528</v>
      </c>
      <c r="Z22">
        <f t="shared" si="5"/>
        <v>8.6429705555555518</v>
      </c>
      <c r="AA22">
        <f t="shared" si="5"/>
        <v>8.5687655555555509</v>
      </c>
      <c r="AB22">
        <f t="shared" si="5"/>
        <v>8.4945605555555517</v>
      </c>
      <c r="AC22">
        <f t="shared" si="5"/>
        <v>8.4203555555555525</v>
      </c>
      <c r="AD22">
        <f t="shared" si="6"/>
        <v>7.0846655555555529</v>
      </c>
    </row>
    <row r="23" spans="2:30" x14ac:dyDescent="0.2">
      <c r="B23" s="7">
        <v>44591</v>
      </c>
      <c r="C23" s="8">
        <v>4.745486111111112</v>
      </c>
      <c r="D23">
        <f t="shared" si="2"/>
        <v>8.0216611111111114</v>
      </c>
      <c r="E23">
        <f t="shared" si="4"/>
        <v>7.9474561111111122</v>
      </c>
      <c r="F23">
        <f t="shared" si="4"/>
        <v>7.8732511111111121</v>
      </c>
      <c r="G23">
        <f t="shared" si="3"/>
        <v>7.799046111111112</v>
      </c>
      <c r="H23">
        <f t="shared" si="3"/>
        <v>7.7248411111111128</v>
      </c>
      <c r="I23">
        <f t="shared" si="3"/>
        <v>7.6506361111111119</v>
      </c>
      <c r="J23">
        <f t="shared" si="3"/>
        <v>7.5764311111111127</v>
      </c>
      <c r="K23">
        <f t="shared" si="3"/>
        <v>7.5022261111111117</v>
      </c>
      <c r="L23">
        <f t="shared" si="3"/>
        <v>7.4280211111111125</v>
      </c>
      <c r="M23">
        <f t="shared" si="3"/>
        <v>7.3538161111111116</v>
      </c>
      <c r="N23">
        <f t="shared" si="3"/>
        <v>7.2796111111111124</v>
      </c>
      <c r="O23">
        <f t="shared" si="3"/>
        <v>7.2054061111111123</v>
      </c>
      <c r="P23">
        <f t="shared" si="3"/>
        <v>7.1312011111111122</v>
      </c>
      <c r="Q23">
        <f t="shared" si="3"/>
        <v>7.0569961111111121</v>
      </c>
      <c r="R23">
        <f t="shared" si="3"/>
        <v>6.9827911111111121</v>
      </c>
      <c r="S23">
        <f t="shared" si="3"/>
        <v>6.908586111111112</v>
      </c>
      <c r="T23">
        <f t="shared" si="3"/>
        <v>6.8343811111111119</v>
      </c>
      <c r="U23">
        <f t="shared" si="5"/>
        <v>6.7601761111111118</v>
      </c>
      <c r="V23">
        <f t="shared" si="5"/>
        <v>6.6859711111111118</v>
      </c>
      <c r="W23">
        <f t="shared" si="5"/>
        <v>6.6117661111111117</v>
      </c>
      <c r="X23">
        <f t="shared" si="5"/>
        <v>6.5375611111111116</v>
      </c>
      <c r="Y23">
        <f t="shared" si="5"/>
        <v>6.4633561111111115</v>
      </c>
      <c r="Z23">
        <f t="shared" si="5"/>
        <v>6.3891511111111114</v>
      </c>
      <c r="AA23">
        <f t="shared" si="5"/>
        <v>6.3149461111111114</v>
      </c>
      <c r="AB23">
        <f t="shared" si="5"/>
        <v>6.2407411111111113</v>
      </c>
      <c r="AC23">
        <f t="shared" si="5"/>
        <v>6.1665361111111112</v>
      </c>
      <c r="AD23">
        <f t="shared" si="6"/>
        <v>4.8308461111111125</v>
      </c>
    </row>
    <row r="24" spans="2:30" x14ac:dyDescent="0.2">
      <c r="B24" s="7">
        <v>44592</v>
      </c>
      <c r="C24" s="8">
        <v>4.3722222222222227</v>
      </c>
      <c r="D24">
        <f t="shared" si="2"/>
        <v>7.648397222222223</v>
      </c>
      <c r="E24">
        <f t="shared" si="4"/>
        <v>7.5741922222222229</v>
      </c>
      <c r="F24">
        <f t="shared" si="4"/>
        <v>7.4999872222222228</v>
      </c>
      <c r="G24">
        <f t="shared" si="3"/>
        <v>7.4257822222222227</v>
      </c>
      <c r="H24">
        <f t="shared" si="3"/>
        <v>7.3515772222222235</v>
      </c>
      <c r="I24">
        <f t="shared" si="3"/>
        <v>7.2773722222222226</v>
      </c>
      <c r="J24">
        <f t="shared" si="3"/>
        <v>7.2031672222222234</v>
      </c>
      <c r="K24">
        <f t="shared" si="3"/>
        <v>7.1289622222222224</v>
      </c>
      <c r="L24">
        <f t="shared" si="3"/>
        <v>7.0547572222222232</v>
      </c>
      <c r="M24">
        <f t="shared" si="3"/>
        <v>6.9805522222222223</v>
      </c>
      <c r="N24">
        <f t="shared" si="3"/>
        <v>6.9063472222222231</v>
      </c>
      <c r="O24">
        <f t="shared" si="3"/>
        <v>6.832142222222223</v>
      </c>
      <c r="P24">
        <f t="shared" si="3"/>
        <v>6.7579372222222229</v>
      </c>
      <c r="Q24">
        <f t="shared" si="3"/>
        <v>6.6837322222222229</v>
      </c>
      <c r="R24">
        <f t="shared" si="3"/>
        <v>6.6095272222222228</v>
      </c>
      <c r="S24">
        <f t="shared" si="3"/>
        <v>6.5353222222222227</v>
      </c>
      <c r="T24">
        <f t="shared" si="3"/>
        <v>6.4611172222222226</v>
      </c>
      <c r="U24">
        <f t="shared" si="5"/>
        <v>6.3869122222222225</v>
      </c>
      <c r="V24">
        <f t="shared" si="5"/>
        <v>6.3127072222222225</v>
      </c>
      <c r="W24">
        <f t="shared" si="5"/>
        <v>6.2385022222222224</v>
      </c>
      <c r="X24">
        <f t="shared" si="5"/>
        <v>6.1642972222222223</v>
      </c>
      <c r="Y24">
        <f t="shared" si="5"/>
        <v>6.0900922222222222</v>
      </c>
      <c r="Z24">
        <f t="shared" si="5"/>
        <v>6.0158872222222222</v>
      </c>
      <c r="AA24">
        <f t="shared" si="5"/>
        <v>5.9416822222222221</v>
      </c>
      <c r="AB24">
        <f t="shared" si="5"/>
        <v>5.867477222222222</v>
      </c>
      <c r="AC24">
        <f t="shared" si="5"/>
        <v>5.7932722222222219</v>
      </c>
      <c r="AD24">
        <f t="shared" si="6"/>
        <v>4.4575822222222232</v>
      </c>
    </row>
    <row r="25" spans="2:30" x14ac:dyDescent="0.2">
      <c r="B25" s="7">
        <v>44593</v>
      </c>
      <c r="C25" s="8">
        <v>4.8284722222222207</v>
      </c>
      <c r="D25">
        <f t="shared" si="2"/>
        <v>8.104647222222221</v>
      </c>
      <c r="E25">
        <f t="shared" si="4"/>
        <v>8.03044222222222</v>
      </c>
      <c r="F25">
        <f t="shared" si="4"/>
        <v>7.9562372222222209</v>
      </c>
      <c r="G25">
        <f t="shared" si="3"/>
        <v>7.8820322222222208</v>
      </c>
      <c r="H25">
        <f t="shared" si="3"/>
        <v>7.8078272222222207</v>
      </c>
      <c r="I25">
        <f t="shared" si="3"/>
        <v>7.7336222222222215</v>
      </c>
      <c r="J25">
        <f t="shared" si="3"/>
        <v>7.6594172222222205</v>
      </c>
      <c r="K25">
        <f t="shared" si="3"/>
        <v>7.5852122222222214</v>
      </c>
      <c r="L25">
        <f t="shared" si="3"/>
        <v>7.5110072222222204</v>
      </c>
      <c r="M25">
        <f t="shared" si="3"/>
        <v>7.4368022222222212</v>
      </c>
      <c r="N25">
        <f t="shared" si="3"/>
        <v>7.3625972222222211</v>
      </c>
      <c r="O25">
        <f t="shared" si="3"/>
        <v>7.2883922222222211</v>
      </c>
      <c r="P25">
        <f t="shared" si="3"/>
        <v>7.214187222222221</v>
      </c>
      <c r="Q25">
        <f t="shared" si="3"/>
        <v>7.1399822222222209</v>
      </c>
      <c r="R25">
        <f t="shared" si="3"/>
        <v>7.0657772222222208</v>
      </c>
      <c r="S25">
        <f t="shared" si="3"/>
        <v>6.9915722222222207</v>
      </c>
      <c r="T25">
        <f t="shared" si="3"/>
        <v>6.9173672222222207</v>
      </c>
      <c r="U25">
        <f t="shared" si="5"/>
        <v>6.8431622222222206</v>
      </c>
      <c r="V25">
        <f t="shared" si="5"/>
        <v>6.7689572222222205</v>
      </c>
      <c r="W25">
        <f t="shared" si="5"/>
        <v>6.6947522222222204</v>
      </c>
      <c r="X25">
        <f t="shared" si="5"/>
        <v>6.6205472222222204</v>
      </c>
      <c r="Y25">
        <f t="shared" si="5"/>
        <v>6.5463422222222203</v>
      </c>
      <c r="Z25">
        <f t="shared" si="5"/>
        <v>6.4721372222222202</v>
      </c>
      <c r="AA25">
        <f t="shared" si="5"/>
        <v>6.3979322222222201</v>
      </c>
      <c r="AB25">
        <f t="shared" si="5"/>
        <v>6.3237272222222201</v>
      </c>
      <c r="AC25">
        <f t="shared" si="5"/>
        <v>6.24952222222222</v>
      </c>
      <c r="AD25">
        <f t="shared" si="6"/>
        <v>4.9138322222222213</v>
      </c>
    </row>
    <row r="26" spans="2:30" x14ac:dyDescent="0.2">
      <c r="B26" s="7">
        <v>44594</v>
      </c>
      <c r="C26" s="8">
        <v>6.6694444444444443</v>
      </c>
      <c r="D26">
        <f t="shared" si="2"/>
        <v>9.9456194444444446</v>
      </c>
      <c r="E26">
        <f t="shared" si="4"/>
        <v>9.8714144444444436</v>
      </c>
      <c r="F26">
        <f t="shared" si="4"/>
        <v>9.7972094444444444</v>
      </c>
      <c r="G26">
        <f t="shared" si="3"/>
        <v>9.7230044444444452</v>
      </c>
      <c r="H26">
        <f t="shared" si="3"/>
        <v>9.6487994444444443</v>
      </c>
      <c r="I26">
        <f t="shared" si="3"/>
        <v>9.5745944444444451</v>
      </c>
      <c r="J26">
        <f t="shared" si="3"/>
        <v>9.5003894444444441</v>
      </c>
      <c r="K26">
        <f t="shared" si="3"/>
        <v>9.4261844444444449</v>
      </c>
      <c r="L26">
        <f t="shared" si="3"/>
        <v>9.351979444444444</v>
      </c>
      <c r="M26">
        <f t="shared" si="3"/>
        <v>9.2777744444444448</v>
      </c>
      <c r="N26">
        <f t="shared" si="3"/>
        <v>9.2035694444444438</v>
      </c>
      <c r="O26">
        <f t="shared" si="3"/>
        <v>9.1293644444444446</v>
      </c>
      <c r="P26">
        <f t="shared" si="3"/>
        <v>9.0551594444444454</v>
      </c>
      <c r="Q26">
        <f t="shared" si="3"/>
        <v>8.9809544444444445</v>
      </c>
      <c r="R26">
        <f t="shared" si="3"/>
        <v>8.9067494444444435</v>
      </c>
      <c r="S26">
        <f t="shared" si="3"/>
        <v>8.8325444444444443</v>
      </c>
      <c r="T26">
        <f t="shared" si="3"/>
        <v>8.7583394444444451</v>
      </c>
      <c r="U26">
        <f t="shared" si="5"/>
        <v>8.6841344444444442</v>
      </c>
      <c r="V26">
        <f t="shared" si="5"/>
        <v>8.6099294444444432</v>
      </c>
      <c r="W26">
        <f t="shared" si="5"/>
        <v>8.535724444444444</v>
      </c>
      <c r="X26">
        <f t="shared" si="5"/>
        <v>8.4615194444444448</v>
      </c>
      <c r="Y26">
        <f t="shared" si="5"/>
        <v>8.3873144444444439</v>
      </c>
      <c r="Z26">
        <f t="shared" si="5"/>
        <v>8.3131094444444429</v>
      </c>
      <c r="AA26">
        <f t="shared" si="5"/>
        <v>8.2389044444444437</v>
      </c>
      <c r="AB26">
        <f t="shared" si="5"/>
        <v>8.1646994444444445</v>
      </c>
      <c r="AC26">
        <f t="shared" si="5"/>
        <v>8.0904944444444435</v>
      </c>
      <c r="AD26">
        <f t="shared" si="6"/>
        <v>6.7548044444444448</v>
      </c>
    </row>
    <row r="27" spans="2:30" x14ac:dyDescent="0.2">
      <c r="B27" s="7">
        <v>44595</v>
      </c>
      <c r="C27" s="8">
        <v>7.1055555555555516</v>
      </c>
      <c r="D27">
        <f t="shared" si="2"/>
        <v>10.381730555555553</v>
      </c>
      <c r="E27">
        <f t="shared" si="4"/>
        <v>10.307525555555552</v>
      </c>
      <c r="F27">
        <f t="shared" si="4"/>
        <v>10.233320555555551</v>
      </c>
      <c r="G27">
        <f t="shared" si="3"/>
        <v>10.159115555555552</v>
      </c>
      <c r="H27">
        <f t="shared" si="3"/>
        <v>10.084910555555552</v>
      </c>
      <c r="I27">
        <f t="shared" si="3"/>
        <v>10.010705555555552</v>
      </c>
      <c r="J27">
        <f t="shared" si="3"/>
        <v>9.9365005555555523</v>
      </c>
      <c r="K27">
        <f t="shared" si="3"/>
        <v>9.8622955555555514</v>
      </c>
      <c r="L27">
        <f t="shared" si="3"/>
        <v>9.7880905555555522</v>
      </c>
      <c r="M27">
        <f t="shared" si="3"/>
        <v>9.7138855555555512</v>
      </c>
      <c r="N27">
        <f t="shared" si="3"/>
        <v>9.639680555555552</v>
      </c>
      <c r="O27">
        <f t="shared" si="3"/>
        <v>9.5654755555555511</v>
      </c>
      <c r="P27">
        <f t="shared" si="3"/>
        <v>9.4912705555555519</v>
      </c>
      <c r="Q27">
        <f t="shared" si="3"/>
        <v>9.4170655555555527</v>
      </c>
      <c r="R27">
        <f t="shared" si="3"/>
        <v>9.3428605555555517</v>
      </c>
      <c r="S27">
        <f t="shared" si="3"/>
        <v>9.2686555555555508</v>
      </c>
      <c r="T27">
        <f t="shared" si="3"/>
        <v>9.1944505555555516</v>
      </c>
      <c r="U27">
        <f t="shared" si="5"/>
        <v>9.1202455555555524</v>
      </c>
      <c r="V27">
        <f t="shared" si="5"/>
        <v>9.0460405555555514</v>
      </c>
      <c r="W27">
        <f t="shared" si="5"/>
        <v>8.9718355555555505</v>
      </c>
      <c r="X27">
        <f t="shared" si="5"/>
        <v>8.8976305555555513</v>
      </c>
      <c r="Y27">
        <f t="shared" si="5"/>
        <v>8.8234255555555521</v>
      </c>
      <c r="Z27">
        <f t="shared" si="5"/>
        <v>8.7492205555555511</v>
      </c>
      <c r="AA27">
        <f t="shared" si="5"/>
        <v>8.6750155555555502</v>
      </c>
      <c r="AB27">
        <f t="shared" si="5"/>
        <v>8.600810555555551</v>
      </c>
      <c r="AC27">
        <f t="shared" si="5"/>
        <v>8.5266055555555518</v>
      </c>
      <c r="AD27">
        <f t="shared" si="6"/>
        <v>7.1909155555555522</v>
      </c>
    </row>
    <row r="28" spans="2:30" x14ac:dyDescent="0.2">
      <c r="B28" s="7">
        <v>44596</v>
      </c>
      <c r="C28" s="8">
        <v>5.9819444444444425</v>
      </c>
      <c r="D28">
        <f t="shared" si="2"/>
        <v>9.2581194444444428</v>
      </c>
      <c r="E28">
        <f t="shared" si="4"/>
        <v>9.1839144444444436</v>
      </c>
      <c r="F28">
        <f t="shared" si="4"/>
        <v>9.1097094444444426</v>
      </c>
      <c r="G28">
        <f t="shared" si="3"/>
        <v>9.0355044444444417</v>
      </c>
      <c r="H28">
        <f t="shared" si="3"/>
        <v>8.9612994444444425</v>
      </c>
      <c r="I28">
        <f t="shared" si="3"/>
        <v>8.8870944444444433</v>
      </c>
      <c r="J28">
        <f t="shared" si="3"/>
        <v>8.8128894444444423</v>
      </c>
      <c r="K28">
        <f t="shared" si="3"/>
        <v>8.7386844444444431</v>
      </c>
      <c r="L28">
        <f t="shared" si="3"/>
        <v>8.6644794444444422</v>
      </c>
      <c r="M28">
        <f t="shared" si="3"/>
        <v>8.590274444444443</v>
      </c>
      <c r="N28">
        <f t="shared" si="3"/>
        <v>8.5160694444444438</v>
      </c>
      <c r="O28">
        <f t="shared" si="3"/>
        <v>8.4418644444444428</v>
      </c>
      <c r="P28">
        <f t="shared" si="3"/>
        <v>8.3676594444444419</v>
      </c>
      <c r="Q28">
        <f t="shared" si="3"/>
        <v>8.2934544444444427</v>
      </c>
      <c r="R28">
        <f t="shared" si="3"/>
        <v>8.2192494444444435</v>
      </c>
      <c r="S28">
        <f t="shared" si="3"/>
        <v>8.1450444444444425</v>
      </c>
      <c r="T28">
        <f t="shared" si="3"/>
        <v>8.0708394444444416</v>
      </c>
      <c r="U28">
        <f t="shared" si="5"/>
        <v>7.9966344444444424</v>
      </c>
      <c r="V28">
        <f t="shared" si="5"/>
        <v>7.9224294444444423</v>
      </c>
      <c r="W28">
        <f t="shared" si="5"/>
        <v>7.8482244444444422</v>
      </c>
      <c r="X28">
        <f t="shared" si="5"/>
        <v>7.7740194444444422</v>
      </c>
      <c r="Y28">
        <f t="shared" si="5"/>
        <v>7.6998144444444421</v>
      </c>
      <c r="Z28">
        <f t="shared" si="5"/>
        <v>7.625609444444442</v>
      </c>
      <c r="AA28">
        <f t="shared" si="5"/>
        <v>7.5514044444444419</v>
      </c>
      <c r="AB28">
        <f t="shared" si="5"/>
        <v>7.4771994444444418</v>
      </c>
      <c r="AC28">
        <f t="shared" si="5"/>
        <v>7.4029944444444418</v>
      </c>
      <c r="AD28">
        <f t="shared" si="6"/>
        <v>6.0673044444444431</v>
      </c>
    </row>
    <row r="29" spans="2:30" x14ac:dyDescent="0.2">
      <c r="B29" s="7">
        <v>44597</v>
      </c>
      <c r="C29" s="8">
        <v>4.3874999999999993</v>
      </c>
      <c r="D29">
        <f t="shared" si="2"/>
        <v>7.6636749999999996</v>
      </c>
      <c r="E29">
        <f t="shared" si="4"/>
        <v>7.5894699999999995</v>
      </c>
      <c r="F29">
        <f t="shared" si="4"/>
        <v>7.5152649999999994</v>
      </c>
      <c r="G29">
        <f t="shared" si="3"/>
        <v>7.4410599999999993</v>
      </c>
      <c r="H29">
        <f t="shared" si="3"/>
        <v>7.3668549999999993</v>
      </c>
      <c r="I29">
        <f t="shared" si="3"/>
        <v>7.2926500000000001</v>
      </c>
      <c r="J29">
        <f t="shared" si="3"/>
        <v>7.2184449999999991</v>
      </c>
      <c r="K29">
        <f t="shared" si="3"/>
        <v>7.1442399999999999</v>
      </c>
      <c r="L29">
        <f t="shared" si="3"/>
        <v>7.070034999999999</v>
      </c>
      <c r="M29">
        <f t="shared" si="3"/>
        <v>6.9958299999999998</v>
      </c>
      <c r="N29">
        <f t="shared" si="3"/>
        <v>6.9216249999999997</v>
      </c>
      <c r="O29">
        <f t="shared" si="3"/>
        <v>6.8474199999999996</v>
      </c>
      <c r="P29">
        <f t="shared" si="3"/>
        <v>6.7732149999999995</v>
      </c>
      <c r="Q29">
        <f t="shared" si="3"/>
        <v>6.6990099999999995</v>
      </c>
      <c r="R29">
        <f t="shared" si="3"/>
        <v>6.6248049999999994</v>
      </c>
      <c r="S29">
        <f t="shared" si="3"/>
        <v>6.5505999999999993</v>
      </c>
      <c r="T29">
        <f t="shared" si="3"/>
        <v>6.4763949999999992</v>
      </c>
      <c r="U29">
        <f t="shared" si="5"/>
        <v>6.4021899999999992</v>
      </c>
      <c r="V29">
        <f t="shared" si="5"/>
        <v>6.3279849999999991</v>
      </c>
      <c r="W29">
        <f t="shared" si="5"/>
        <v>6.253779999999999</v>
      </c>
      <c r="X29">
        <f t="shared" si="5"/>
        <v>6.1795749999999989</v>
      </c>
      <c r="Y29">
        <f t="shared" si="5"/>
        <v>6.1053699999999989</v>
      </c>
      <c r="Z29">
        <f t="shared" si="5"/>
        <v>6.0311649999999988</v>
      </c>
      <c r="AA29">
        <f t="shared" si="5"/>
        <v>5.9569599999999987</v>
      </c>
      <c r="AB29">
        <f t="shared" si="5"/>
        <v>5.8827549999999986</v>
      </c>
      <c r="AC29">
        <f t="shared" si="5"/>
        <v>5.8085499999999985</v>
      </c>
      <c r="AD29">
        <f t="shared" si="6"/>
        <v>4.4728599999999998</v>
      </c>
    </row>
    <row r="30" spans="2:30" x14ac:dyDescent="0.2">
      <c r="B30" s="7">
        <v>44598</v>
      </c>
      <c r="C30" s="8">
        <v>6.6069444444444461</v>
      </c>
      <c r="D30">
        <f t="shared" si="2"/>
        <v>9.8831194444444463</v>
      </c>
      <c r="E30">
        <f t="shared" si="4"/>
        <v>9.8089144444444472</v>
      </c>
      <c r="F30">
        <f t="shared" si="4"/>
        <v>9.7347094444444462</v>
      </c>
      <c r="G30">
        <f t="shared" si="3"/>
        <v>9.6605044444444452</v>
      </c>
      <c r="H30">
        <f t="shared" si="3"/>
        <v>9.586299444444446</v>
      </c>
      <c r="I30">
        <f t="shared" si="3"/>
        <v>9.5120944444444469</v>
      </c>
      <c r="J30">
        <f t="shared" si="3"/>
        <v>9.4378894444444459</v>
      </c>
      <c r="K30">
        <f t="shared" si="3"/>
        <v>9.3636844444444467</v>
      </c>
      <c r="L30">
        <f t="shared" si="3"/>
        <v>9.2894794444444457</v>
      </c>
      <c r="M30">
        <f t="shared" si="3"/>
        <v>9.2152744444444465</v>
      </c>
      <c r="N30">
        <f t="shared" si="3"/>
        <v>9.1410694444444474</v>
      </c>
      <c r="O30">
        <f t="shared" si="3"/>
        <v>9.0668644444444464</v>
      </c>
      <c r="P30">
        <f t="shared" si="3"/>
        <v>8.9926594444444454</v>
      </c>
      <c r="Q30">
        <f t="shared" si="3"/>
        <v>8.9184544444444462</v>
      </c>
      <c r="R30">
        <f t="shared" si="3"/>
        <v>8.8442494444444471</v>
      </c>
      <c r="S30">
        <f t="shared" si="3"/>
        <v>8.7700444444444461</v>
      </c>
      <c r="T30">
        <f t="shared" si="3"/>
        <v>8.6958394444444451</v>
      </c>
      <c r="U30">
        <f t="shared" si="5"/>
        <v>8.6216344444444459</v>
      </c>
      <c r="V30">
        <f t="shared" si="5"/>
        <v>8.5474294444444467</v>
      </c>
      <c r="W30">
        <f t="shared" si="5"/>
        <v>8.4732244444444458</v>
      </c>
      <c r="X30">
        <f t="shared" si="5"/>
        <v>8.3990194444444448</v>
      </c>
      <c r="Y30">
        <f t="shared" si="5"/>
        <v>8.3248144444444456</v>
      </c>
      <c r="Z30">
        <f t="shared" si="5"/>
        <v>8.2506094444444464</v>
      </c>
      <c r="AA30">
        <f t="shared" si="5"/>
        <v>8.1764044444444455</v>
      </c>
      <c r="AB30">
        <f t="shared" si="5"/>
        <v>8.1021994444444445</v>
      </c>
      <c r="AC30">
        <f t="shared" si="5"/>
        <v>8.0279944444444453</v>
      </c>
      <c r="AD30">
        <f t="shared" si="6"/>
        <v>6.6923044444444466</v>
      </c>
    </row>
    <row r="31" spans="2:30" x14ac:dyDescent="0.2">
      <c r="B31" s="7">
        <v>44599</v>
      </c>
      <c r="C31" s="8">
        <v>4.8173611111111105</v>
      </c>
      <c r="D31">
        <f t="shared" si="2"/>
        <v>8.0935361111111099</v>
      </c>
      <c r="E31">
        <f t="shared" si="4"/>
        <v>8.0193311111111107</v>
      </c>
      <c r="F31">
        <f t="shared" si="4"/>
        <v>7.9451261111111107</v>
      </c>
      <c r="G31">
        <f t="shared" si="3"/>
        <v>7.8709211111111106</v>
      </c>
      <c r="H31">
        <f t="shared" si="3"/>
        <v>7.7967161111111114</v>
      </c>
      <c r="I31">
        <f t="shared" si="3"/>
        <v>7.7225111111111104</v>
      </c>
      <c r="J31">
        <f t="shared" si="3"/>
        <v>7.6483061111111112</v>
      </c>
      <c r="K31">
        <f t="shared" si="3"/>
        <v>7.5741011111111103</v>
      </c>
      <c r="L31">
        <f t="shared" si="3"/>
        <v>7.4998961111111111</v>
      </c>
      <c r="M31">
        <f t="shared" si="3"/>
        <v>7.4256911111111101</v>
      </c>
      <c r="N31">
        <f t="shared" si="3"/>
        <v>7.3514861111111109</v>
      </c>
      <c r="O31">
        <f t="shared" si="3"/>
        <v>7.2772811111111109</v>
      </c>
      <c r="P31">
        <f t="shared" si="3"/>
        <v>7.2030761111111108</v>
      </c>
      <c r="Q31">
        <f t="shared" si="3"/>
        <v>7.1288711111111107</v>
      </c>
      <c r="R31">
        <f t="shared" si="3"/>
        <v>7.0546661111111106</v>
      </c>
      <c r="S31">
        <f t="shared" si="3"/>
        <v>6.9804611111111106</v>
      </c>
      <c r="T31">
        <f t="shared" si="3"/>
        <v>6.9062561111111105</v>
      </c>
      <c r="U31">
        <f t="shared" si="5"/>
        <v>6.8320511111111104</v>
      </c>
      <c r="V31">
        <f t="shared" si="5"/>
        <v>6.7578461111111103</v>
      </c>
      <c r="W31">
        <f t="shared" si="5"/>
        <v>6.6836411111111103</v>
      </c>
      <c r="X31">
        <f t="shared" si="5"/>
        <v>6.6094361111111102</v>
      </c>
      <c r="Y31">
        <f t="shared" si="5"/>
        <v>6.5352311111111101</v>
      </c>
      <c r="Z31">
        <f t="shared" si="5"/>
        <v>6.46102611111111</v>
      </c>
      <c r="AA31">
        <f t="shared" si="5"/>
        <v>6.3868211111111099</v>
      </c>
      <c r="AB31">
        <f t="shared" si="5"/>
        <v>6.3126161111111099</v>
      </c>
      <c r="AC31">
        <f t="shared" si="5"/>
        <v>6.2384111111111098</v>
      </c>
      <c r="AD31">
        <f t="shared" si="6"/>
        <v>4.9027211111111111</v>
      </c>
    </row>
    <row r="32" spans="2:30" x14ac:dyDescent="0.2">
      <c r="B32" s="7">
        <v>44600</v>
      </c>
      <c r="C32" s="8">
        <v>7.3916666666666675</v>
      </c>
      <c r="D32">
        <f t="shared" si="2"/>
        <v>10.667841666666668</v>
      </c>
      <c r="E32">
        <f t="shared" si="4"/>
        <v>10.593636666666669</v>
      </c>
      <c r="F32">
        <f t="shared" si="4"/>
        <v>10.519431666666668</v>
      </c>
      <c r="G32">
        <f t="shared" si="3"/>
        <v>10.445226666666667</v>
      </c>
      <c r="H32">
        <f t="shared" si="3"/>
        <v>10.371021666666667</v>
      </c>
      <c r="I32">
        <f t="shared" si="3"/>
        <v>10.296816666666668</v>
      </c>
      <c r="J32">
        <f t="shared" si="3"/>
        <v>10.222611666666667</v>
      </c>
      <c r="K32">
        <f t="shared" si="3"/>
        <v>10.148406666666668</v>
      </c>
      <c r="L32">
        <f t="shared" si="3"/>
        <v>10.074201666666667</v>
      </c>
      <c r="M32">
        <f t="shared" si="3"/>
        <v>9.999996666666668</v>
      </c>
      <c r="N32">
        <f t="shared" si="3"/>
        <v>9.9257916666666688</v>
      </c>
      <c r="O32">
        <f t="shared" si="3"/>
        <v>9.8515866666666678</v>
      </c>
      <c r="P32">
        <f t="shared" si="3"/>
        <v>9.7773816666666669</v>
      </c>
      <c r="Q32">
        <f t="shared" si="3"/>
        <v>9.7031766666666677</v>
      </c>
      <c r="R32">
        <f t="shared" si="3"/>
        <v>9.6289716666666685</v>
      </c>
      <c r="S32">
        <f t="shared" si="3"/>
        <v>9.5547666666666675</v>
      </c>
      <c r="T32">
        <f t="shared" si="3"/>
        <v>9.4805616666666666</v>
      </c>
      <c r="U32">
        <f t="shared" si="5"/>
        <v>9.4063566666666674</v>
      </c>
      <c r="V32">
        <f t="shared" si="5"/>
        <v>9.3321516666666682</v>
      </c>
      <c r="W32">
        <f t="shared" si="5"/>
        <v>9.2579466666666672</v>
      </c>
      <c r="X32">
        <f t="shared" si="5"/>
        <v>9.1837416666666662</v>
      </c>
      <c r="Y32">
        <f t="shared" si="5"/>
        <v>9.1095366666666671</v>
      </c>
      <c r="Z32">
        <f t="shared" si="5"/>
        <v>9.0353316666666679</v>
      </c>
      <c r="AA32">
        <f t="shared" si="5"/>
        <v>8.9611266666666669</v>
      </c>
      <c r="AB32">
        <f t="shared" si="5"/>
        <v>8.8869216666666659</v>
      </c>
      <c r="AC32">
        <f t="shared" si="5"/>
        <v>8.8127166666666668</v>
      </c>
      <c r="AD32">
        <f t="shared" si="6"/>
        <v>7.477026666666668</v>
      </c>
    </row>
    <row r="33" spans="2:30" x14ac:dyDescent="0.2">
      <c r="B33" s="7">
        <v>44601</v>
      </c>
      <c r="C33" s="8">
        <v>8.25138888888889</v>
      </c>
      <c r="D33">
        <f t="shared" si="2"/>
        <v>11.52756388888889</v>
      </c>
      <c r="E33">
        <f t="shared" si="4"/>
        <v>11.453358888888889</v>
      </c>
      <c r="F33">
        <f t="shared" si="4"/>
        <v>11.37915388888889</v>
      </c>
      <c r="G33">
        <f t="shared" si="3"/>
        <v>11.304948888888891</v>
      </c>
      <c r="H33">
        <f t="shared" si="3"/>
        <v>11.23074388888889</v>
      </c>
      <c r="I33">
        <f t="shared" si="3"/>
        <v>11.156538888888891</v>
      </c>
      <c r="J33">
        <f t="shared" si="3"/>
        <v>11.08233388888889</v>
      </c>
      <c r="K33">
        <f t="shared" si="3"/>
        <v>11.008128888888891</v>
      </c>
      <c r="L33">
        <f t="shared" si="3"/>
        <v>10.93392388888889</v>
      </c>
      <c r="M33">
        <f t="shared" si="3"/>
        <v>10.85971888888889</v>
      </c>
      <c r="N33">
        <f t="shared" si="3"/>
        <v>10.78551388888889</v>
      </c>
      <c r="O33">
        <f t="shared" si="3"/>
        <v>10.71130888888889</v>
      </c>
      <c r="P33">
        <f t="shared" si="3"/>
        <v>10.637103888888891</v>
      </c>
      <c r="Q33">
        <f t="shared" si="3"/>
        <v>10.56289888888889</v>
      </c>
      <c r="R33">
        <f t="shared" si="3"/>
        <v>10.488693888888889</v>
      </c>
      <c r="S33">
        <f t="shared" si="3"/>
        <v>10.41448888888889</v>
      </c>
      <c r="T33">
        <f t="shared" si="3"/>
        <v>10.340283888888891</v>
      </c>
      <c r="U33">
        <f t="shared" si="5"/>
        <v>10.26607888888889</v>
      </c>
      <c r="V33">
        <f t="shared" si="5"/>
        <v>10.191873888888889</v>
      </c>
      <c r="W33">
        <f t="shared" si="5"/>
        <v>10.11766888888889</v>
      </c>
      <c r="X33">
        <f t="shared" si="5"/>
        <v>10.043463888888891</v>
      </c>
      <c r="Y33">
        <f t="shared" si="5"/>
        <v>9.9692588888888896</v>
      </c>
      <c r="Z33">
        <f t="shared" si="5"/>
        <v>9.8950538888888886</v>
      </c>
      <c r="AA33">
        <f t="shared" si="5"/>
        <v>9.8208488888888894</v>
      </c>
      <c r="AB33">
        <f t="shared" si="5"/>
        <v>9.7466438888888902</v>
      </c>
      <c r="AC33">
        <f t="shared" si="5"/>
        <v>9.6724388888888893</v>
      </c>
      <c r="AD33">
        <f t="shared" si="6"/>
        <v>8.3367488888888914</v>
      </c>
    </row>
    <row r="34" spans="2:30" x14ac:dyDescent="0.2">
      <c r="B34" s="7">
        <v>44602</v>
      </c>
      <c r="C34" s="8">
        <v>7.5305555555555497</v>
      </c>
      <c r="D34">
        <f t="shared" si="2"/>
        <v>10.80673055555555</v>
      </c>
      <c r="E34">
        <f t="shared" si="4"/>
        <v>10.732525555555551</v>
      </c>
      <c r="F34">
        <f t="shared" si="4"/>
        <v>10.65832055555555</v>
      </c>
      <c r="G34">
        <f t="shared" si="3"/>
        <v>10.584115555555549</v>
      </c>
      <c r="H34">
        <f t="shared" si="3"/>
        <v>10.50991055555555</v>
      </c>
      <c r="I34">
        <f t="shared" si="3"/>
        <v>10.43570555555555</v>
      </c>
      <c r="J34">
        <f t="shared" si="3"/>
        <v>10.361500555555549</v>
      </c>
      <c r="K34">
        <f t="shared" si="3"/>
        <v>10.28729555555555</v>
      </c>
      <c r="L34">
        <f t="shared" si="3"/>
        <v>10.213090555555549</v>
      </c>
      <c r="M34">
        <f t="shared" si="3"/>
        <v>10.13888555555555</v>
      </c>
      <c r="N34">
        <f t="shared" si="3"/>
        <v>10.064680555555551</v>
      </c>
      <c r="O34">
        <f t="shared" si="3"/>
        <v>9.99047555555555</v>
      </c>
      <c r="P34">
        <f t="shared" si="3"/>
        <v>9.916270555555549</v>
      </c>
      <c r="Q34">
        <f t="shared" si="3"/>
        <v>9.8420655555555498</v>
      </c>
      <c r="R34">
        <f t="shared" si="3"/>
        <v>9.7678605555555507</v>
      </c>
      <c r="S34">
        <f t="shared" si="3"/>
        <v>9.6936555555555497</v>
      </c>
      <c r="T34">
        <f t="shared" si="3"/>
        <v>9.6194505555555487</v>
      </c>
      <c r="U34">
        <f t="shared" si="5"/>
        <v>9.5452455555555495</v>
      </c>
      <c r="V34">
        <f t="shared" si="5"/>
        <v>9.4710405555555504</v>
      </c>
      <c r="W34">
        <f t="shared" si="5"/>
        <v>9.3968355555555494</v>
      </c>
      <c r="X34">
        <f t="shared" si="5"/>
        <v>9.3226305555555484</v>
      </c>
      <c r="Y34">
        <f t="shared" si="5"/>
        <v>9.2484255555555492</v>
      </c>
      <c r="Z34">
        <f t="shared" si="5"/>
        <v>9.17422055555555</v>
      </c>
      <c r="AA34">
        <f t="shared" si="5"/>
        <v>9.1000155555555491</v>
      </c>
      <c r="AB34">
        <f t="shared" si="5"/>
        <v>9.0258105555555481</v>
      </c>
      <c r="AC34">
        <f t="shared" si="5"/>
        <v>8.9516055555555489</v>
      </c>
      <c r="AD34">
        <f t="shared" si="6"/>
        <v>7.6159155555555502</v>
      </c>
    </row>
    <row r="35" spans="2:30" x14ac:dyDescent="0.2">
      <c r="B35" s="7">
        <v>44603</v>
      </c>
      <c r="C35" s="8">
        <v>4.9097222222222205</v>
      </c>
      <c r="D35">
        <f t="shared" si="2"/>
        <v>8.1858972222222199</v>
      </c>
      <c r="E35">
        <f t="shared" si="4"/>
        <v>8.1116922222222207</v>
      </c>
      <c r="F35">
        <f t="shared" si="4"/>
        <v>8.0374872222222216</v>
      </c>
      <c r="G35">
        <f t="shared" si="3"/>
        <v>7.9632822222222206</v>
      </c>
      <c r="H35">
        <f t="shared" si="3"/>
        <v>7.8890772222222214</v>
      </c>
      <c r="I35">
        <f t="shared" si="3"/>
        <v>7.8148722222222204</v>
      </c>
      <c r="J35">
        <f t="shared" si="3"/>
        <v>7.7406672222222213</v>
      </c>
      <c r="K35">
        <f t="shared" si="3"/>
        <v>7.6664622222222203</v>
      </c>
      <c r="L35">
        <f t="shared" si="3"/>
        <v>7.5922572222222211</v>
      </c>
      <c r="M35">
        <f t="shared" si="3"/>
        <v>7.5180522222222201</v>
      </c>
      <c r="N35">
        <f t="shared" si="3"/>
        <v>7.4438472222222209</v>
      </c>
      <c r="O35">
        <f t="shared" si="3"/>
        <v>7.3696422222222209</v>
      </c>
      <c r="P35">
        <f t="shared" si="3"/>
        <v>7.2954372222222208</v>
      </c>
      <c r="Q35">
        <f t="shared" si="3"/>
        <v>7.2212322222222207</v>
      </c>
      <c r="R35">
        <f t="shared" si="3"/>
        <v>7.1470272222222206</v>
      </c>
      <c r="S35">
        <f t="shared" si="3"/>
        <v>7.0728222222222206</v>
      </c>
      <c r="T35">
        <f t="shared" si="3"/>
        <v>6.9986172222222205</v>
      </c>
      <c r="U35">
        <f t="shared" si="5"/>
        <v>6.9244122222222204</v>
      </c>
      <c r="V35">
        <f t="shared" si="5"/>
        <v>6.8502072222222203</v>
      </c>
      <c r="W35">
        <f t="shared" si="5"/>
        <v>6.7760022222222203</v>
      </c>
      <c r="X35">
        <f t="shared" si="5"/>
        <v>6.7017972222222202</v>
      </c>
      <c r="Y35">
        <f t="shared" si="5"/>
        <v>6.6275922222222201</v>
      </c>
      <c r="Z35">
        <f t="shared" si="5"/>
        <v>6.55338722222222</v>
      </c>
      <c r="AA35">
        <f t="shared" si="5"/>
        <v>6.47918222222222</v>
      </c>
      <c r="AB35">
        <f t="shared" si="5"/>
        <v>6.4049772222222199</v>
      </c>
      <c r="AC35">
        <f t="shared" si="5"/>
        <v>6.3307722222222198</v>
      </c>
      <c r="AD35">
        <f t="shared" si="6"/>
        <v>4.9950822222222211</v>
      </c>
    </row>
    <row r="36" spans="2:30" x14ac:dyDescent="0.2">
      <c r="B36" s="7">
        <v>44604</v>
      </c>
      <c r="C36" s="8">
        <v>3.0520833333333339</v>
      </c>
      <c r="D36">
        <f t="shared" si="2"/>
        <v>6.3282583333333342</v>
      </c>
      <c r="E36">
        <f t="shared" si="4"/>
        <v>6.2540533333333341</v>
      </c>
      <c r="F36">
        <f t="shared" si="4"/>
        <v>6.1798483333333341</v>
      </c>
      <c r="G36">
        <f t="shared" si="3"/>
        <v>6.105643333333334</v>
      </c>
      <c r="H36">
        <f t="shared" si="3"/>
        <v>6.0314383333333339</v>
      </c>
      <c r="I36">
        <f t="shared" si="3"/>
        <v>5.9572333333333347</v>
      </c>
      <c r="J36">
        <f t="shared" si="3"/>
        <v>5.8830283333333337</v>
      </c>
      <c r="K36">
        <f t="shared" si="3"/>
        <v>5.8088233333333346</v>
      </c>
      <c r="L36">
        <f t="shared" si="3"/>
        <v>5.7346183333333336</v>
      </c>
      <c r="M36">
        <f t="shared" si="3"/>
        <v>5.6604133333333344</v>
      </c>
      <c r="N36">
        <f t="shared" si="3"/>
        <v>5.5862083333333343</v>
      </c>
      <c r="O36">
        <f t="shared" si="3"/>
        <v>5.5120033333333343</v>
      </c>
      <c r="P36">
        <f t="shared" si="3"/>
        <v>5.4377983333333342</v>
      </c>
      <c r="Q36">
        <f t="shared" si="3"/>
        <v>5.3635933333333341</v>
      </c>
      <c r="R36">
        <f t="shared" si="3"/>
        <v>5.289388333333334</v>
      </c>
      <c r="S36">
        <f t="shared" si="3"/>
        <v>5.2151833333333339</v>
      </c>
      <c r="T36">
        <f t="shared" si="3"/>
        <v>5.1409783333333339</v>
      </c>
      <c r="U36">
        <f t="shared" si="5"/>
        <v>5.0667733333333338</v>
      </c>
      <c r="V36">
        <f t="shared" si="5"/>
        <v>4.9925683333333337</v>
      </c>
      <c r="W36">
        <f t="shared" si="5"/>
        <v>4.9183633333333336</v>
      </c>
      <c r="X36">
        <f t="shared" si="5"/>
        <v>4.8441583333333336</v>
      </c>
      <c r="Y36">
        <f t="shared" si="5"/>
        <v>4.7699533333333335</v>
      </c>
      <c r="Z36">
        <f t="shared" si="5"/>
        <v>4.6957483333333334</v>
      </c>
      <c r="AA36">
        <f t="shared" si="5"/>
        <v>4.6215433333333333</v>
      </c>
      <c r="AB36">
        <f t="shared" si="5"/>
        <v>4.5473383333333333</v>
      </c>
      <c r="AC36">
        <f t="shared" si="5"/>
        <v>4.4731333333333332</v>
      </c>
      <c r="AD36">
        <f t="shared" si="6"/>
        <v>3.1374433333333345</v>
      </c>
    </row>
    <row r="37" spans="2:30" x14ac:dyDescent="0.2">
      <c r="B37" s="7">
        <v>44605</v>
      </c>
      <c r="C37" s="8">
        <v>3.0506944444444439</v>
      </c>
      <c r="D37">
        <f t="shared" si="2"/>
        <v>6.3268694444444442</v>
      </c>
      <c r="E37">
        <f t="shared" si="4"/>
        <v>6.2526644444444441</v>
      </c>
      <c r="F37">
        <f t="shared" si="4"/>
        <v>6.1784594444444441</v>
      </c>
      <c r="G37">
        <f t="shared" si="3"/>
        <v>6.104254444444444</v>
      </c>
      <c r="H37">
        <f t="shared" si="3"/>
        <v>6.0300494444444439</v>
      </c>
      <c r="I37">
        <f t="shared" si="3"/>
        <v>5.9558444444444447</v>
      </c>
      <c r="J37">
        <f t="shared" si="3"/>
        <v>5.8816394444444438</v>
      </c>
      <c r="K37">
        <f t="shared" si="3"/>
        <v>5.8074344444444446</v>
      </c>
      <c r="L37">
        <f t="shared" si="3"/>
        <v>5.7332294444444436</v>
      </c>
      <c r="M37">
        <f t="shared" si="3"/>
        <v>5.6590244444444444</v>
      </c>
      <c r="N37">
        <f t="shared" si="3"/>
        <v>5.5848194444444443</v>
      </c>
      <c r="O37">
        <f t="shared" si="3"/>
        <v>5.5106144444444443</v>
      </c>
      <c r="P37">
        <f t="shared" si="3"/>
        <v>5.4364094444444442</v>
      </c>
      <c r="Q37">
        <f t="shared" si="3"/>
        <v>5.3622044444444441</v>
      </c>
      <c r="R37">
        <f t="shared" si="3"/>
        <v>5.287999444444444</v>
      </c>
      <c r="S37">
        <f t="shared" si="3"/>
        <v>5.213794444444444</v>
      </c>
      <c r="T37">
        <f t="shared" si="3"/>
        <v>5.1395894444444439</v>
      </c>
      <c r="U37">
        <f t="shared" si="5"/>
        <v>5.0653844444444438</v>
      </c>
      <c r="V37">
        <f t="shared" si="5"/>
        <v>4.9911794444444437</v>
      </c>
      <c r="W37">
        <f t="shared" si="5"/>
        <v>4.9169744444444436</v>
      </c>
      <c r="X37">
        <f t="shared" si="5"/>
        <v>4.8427694444444436</v>
      </c>
      <c r="Y37">
        <f t="shared" si="5"/>
        <v>4.7685644444444435</v>
      </c>
      <c r="Z37">
        <f t="shared" si="5"/>
        <v>4.6943594444444434</v>
      </c>
      <c r="AA37">
        <f t="shared" si="5"/>
        <v>4.6201544444444433</v>
      </c>
      <c r="AB37">
        <f t="shared" si="5"/>
        <v>4.5459494444444433</v>
      </c>
      <c r="AC37">
        <f t="shared" si="5"/>
        <v>4.4717444444444432</v>
      </c>
      <c r="AD37">
        <f t="shared" si="6"/>
        <v>3.1360544444444445</v>
      </c>
    </row>
    <row r="38" spans="2:30" x14ac:dyDescent="0.2">
      <c r="B38" s="7">
        <v>44606</v>
      </c>
      <c r="C38" s="8">
        <v>7.3041666666666645</v>
      </c>
      <c r="D38">
        <f t="shared" si="2"/>
        <v>10.580341666666666</v>
      </c>
      <c r="E38">
        <f t="shared" si="4"/>
        <v>10.506136666666665</v>
      </c>
      <c r="F38">
        <f t="shared" si="4"/>
        <v>10.431931666666664</v>
      </c>
      <c r="G38">
        <f t="shared" si="3"/>
        <v>10.357726666666665</v>
      </c>
      <c r="H38">
        <f t="shared" si="3"/>
        <v>10.283521666666665</v>
      </c>
      <c r="I38">
        <f t="shared" si="3"/>
        <v>10.209316666666664</v>
      </c>
      <c r="J38">
        <f t="shared" si="3"/>
        <v>10.135111666666665</v>
      </c>
      <c r="K38">
        <f t="shared" si="3"/>
        <v>10.060906666666664</v>
      </c>
      <c r="L38">
        <f t="shared" si="3"/>
        <v>9.986701666666665</v>
      </c>
      <c r="M38">
        <f t="shared" si="3"/>
        <v>9.9124966666666641</v>
      </c>
      <c r="N38">
        <f t="shared" si="3"/>
        <v>9.8382916666666649</v>
      </c>
      <c r="O38">
        <f t="shared" si="3"/>
        <v>9.7640866666666639</v>
      </c>
      <c r="P38">
        <f t="shared" si="3"/>
        <v>9.6898816666666647</v>
      </c>
      <c r="Q38">
        <f t="shared" si="3"/>
        <v>9.6156766666666655</v>
      </c>
      <c r="R38">
        <f t="shared" si="3"/>
        <v>9.5414716666666646</v>
      </c>
      <c r="S38">
        <f t="shared" si="3"/>
        <v>9.4672666666666636</v>
      </c>
      <c r="T38">
        <f t="shared" ref="G38:T57" si="7">(-1.4841*T$3+3.6472)+$C38</f>
        <v>9.3930616666666644</v>
      </c>
      <c r="U38">
        <f t="shared" si="5"/>
        <v>9.3188566666666652</v>
      </c>
      <c r="V38">
        <f t="shared" si="5"/>
        <v>9.2446516666666643</v>
      </c>
      <c r="W38">
        <f t="shared" si="5"/>
        <v>9.1704466666666633</v>
      </c>
      <c r="X38">
        <f t="shared" si="5"/>
        <v>9.0962416666666641</v>
      </c>
      <c r="Y38">
        <f t="shared" si="5"/>
        <v>9.0220366666666649</v>
      </c>
      <c r="Z38">
        <f t="shared" si="5"/>
        <v>8.947831666666664</v>
      </c>
      <c r="AA38">
        <f t="shared" si="5"/>
        <v>8.873626666666663</v>
      </c>
      <c r="AB38">
        <f t="shared" si="5"/>
        <v>8.7994216666666638</v>
      </c>
      <c r="AC38">
        <f t="shared" si="5"/>
        <v>8.7252166666666646</v>
      </c>
      <c r="AD38">
        <f t="shared" si="6"/>
        <v>7.389526666666665</v>
      </c>
    </row>
    <row r="39" spans="2:30" x14ac:dyDescent="0.2">
      <c r="B39" s="7">
        <v>44607</v>
      </c>
      <c r="C39" s="8">
        <v>6.4652777777777795</v>
      </c>
      <c r="D39">
        <f t="shared" si="2"/>
        <v>9.7414527777777806</v>
      </c>
      <c r="E39">
        <f t="shared" si="4"/>
        <v>9.6672477777777797</v>
      </c>
      <c r="F39">
        <f t="shared" si="4"/>
        <v>9.5930427777777787</v>
      </c>
      <c r="G39">
        <f t="shared" si="7"/>
        <v>9.5188377777777795</v>
      </c>
      <c r="H39">
        <f t="shared" si="7"/>
        <v>9.4446327777777803</v>
      </c>
      <c r="I39">
        <f t="shared" si="7"/>
        <v>9.3704277777777794</v>
      </c>
      <c r="J39">
        <f t="shared" si="7"/>
        <v>9.2962227777777802</v>
      </c>
      <c r="K39">
        <f t="shared" si="7"/>
        <v>9.2220177777777792</v>
      </c>
      <c r="L39">
        <f t="shared" si="7"/>
        <v>9.14781277777778</v>
      </c>
      <c r="M39">
        <f t="shared" si="7"/>
        <v>9.073607777777779</v>
      </c>
      <c r="N39">
        <f t="shared" si="7"/>
        <v>8.9994027777777799</v>
      </c>
      <c r="O39">
        <f t="shared" si="7"/>
        <v>8.9251977777777789</v>
      </c>
      <c r="P39">
        <f t="shared" si="7"/>
        <v>8.8509927777777797</v>
      </c>
      <c r="Q39">
        <f t="shared" si="7"/>
        <v>8.7767877777777805</v>
      </c>
      <c r="R39">
        <f t="shared" si="7"/>
        <v>8.7025827777777796</v>
      </c>
      <c r="S39">
        <f t="shared" si="7"/>
        <v>8.6283777777777786</v>
      </c>
      <c r="T39">
        <f t="shared" si="7"/>
        <v>8.5541727777777794</v>
      </c>
      <c r="U39">
        <f t="shared" si="5"/>
        <v>8.4799677777777802</v>
      </c>
      <c r="V39">
        <f t="shared" si="5"/>
        <v>8.4057627777777792</v>
      </c>
      <c r="W39">
        <f t="shared" si="5"/>
        <v>8.3315577777777783</v>
      </c>
      <c r="X39">
        <f t="shared" si="5"/>
        <v>8.2573527777777791</v>
      </c>
      <c r="Y39">
        <f t="shared" si="5"/>
        <v>8.1831477777777799</v>
      </c>
      <c r="Z39">
        <f t="shared" si="5"/>
        <v>8.1089427777777789</v>
      </c>
      <c r="AA39">
        <f t="shared" si="5"/>
        <v>8.034737777777778</v>
      </c>
      <c r="AB39">
        <f t="shared" si="5"/>
        <v>7.9605327777777788</v>
      </c>
      <c r="AC39">
        <f t="shared" si="5"/>
        <v>7.8863277777777787</v>
      </c>
      <c r="AD39">
        <f t="shared" si="6"/>
        <v>6.55063777777778</v>
      </c>
    </row>
    <row r="40" spans="2:30" x14ac:dyDescent="0.2">
      <c r="B40" s="7">
        <v>44608</v>
      </c>
      <c r="C40" s="8">
        <v>8.5069444444444393</v>
      </c>
      <c r="D40">
        <f t="shared" si="2"/>
        <v>11.78311944444444</v>
      </c>
      <c r="E40">
        <f t="shared" si="4"/>
        <v>11.708914444444439</v>
      </c>
      <c r="F40">
        <f t="shared" si="4"/>
        <v>11.634709444444439</v>
      </c>
      <c r="G40">
        <f t="shared" si="7"/>
        <v>11.56050444444444</v>
      </c>
      <c r="H40">
        <f t="shared" si="7"/>
        <v>11.486299444444439</v>
      </c>
      <c r="I40">
        <f t="shared" si="7"/>
        <v>11.41209444444444</v>
      </c>
      <c r="J40">
        <f t="shared" si="7"/>
        <v>11.337889444444439</v>
      </c>
      <c r="K40">
        <f t="shared" si="7"/>
        <v>11.26368444444444</v>
      </c>
      <c r="L40">
        <f t="shared" si="7"/>
        <v>11.189479444444439</v>
      </c>
      <c r="M40">
        <f t="shared" si="7"/>
        <v>11.11527444444444</v>
      </c>
      <c r="N40">
        <f t="shared" si="7"/>
        <v>11.041069444444439</v>
      </c>
      <c r="O40">
        <f t="shared" si="7"/>
        <v>10.96686444444444</v>
      </c>
      <c r="P40">
        <f t="shared" si="7"/>
        <v>10.89265944444444</v>
      </c>
      <c r="Q40">
        <f t="shared" si="7"/>
        <v>10.818454444444439</v>
      </c>
      <c r="R40">
        <f t="shared" si="7"/>
        <v>10.744249444444439</v>
      </c>
      <c r="S40">
        <f t="shared" si="7"/>
        <v>10.670044444444439</v>
      </c>
      <c r="T40">
        <f t="shared" si="7"/>
        <v>10.59583944444444</v>
      </c>
      <c r="U40">
        <f t="shared" si="5"/>
        <v>10.521634444444439</v>
      </c>
      <c r="V40">
        <f t="shared" si="5"/>
        <v>10.447429444444438</v>
      </c>
      <c r="W40">
        <f t="shared" si="5"/>
        <v>10.373224444444439</v>
      </c>
      <c r="X40">
        <f t="shared" si="5"/>
        <v>10.29901944444444</v>
      </c>
      <c r="Y40">
        <f t="shared" si="5"/>
        <v>10.224814444444439</v>
      </c>
      <c r="Z40">
        <f t="shared" si="5"/>
        <v>10.150609444444438</v>
      </c>
      <c r="AA40">
        <f t="shared" si="5"/>
        <v>10.076404444444439</v>
      </c>
      <c r="AB40">
        <f t="shared" si="5"/>
        <v>10.00219944444444</v>
      </c>
      <c r="AC40">
        <f t="shared" si="5"/>
        <v>9.9279944444444386</v>
      </c>
      <c r="AD40">
        <f t="shared" si="6"/>
        <v>8.5923044444444407</v>
      </c>
    </row>
    <row r="41" spans="2:30" x14ac:dyDescent="0.2">
      <c r="B41" s="7">
        <v>44609</v>
      </c>
      <c r="C41" s="8">
        <v>7.6444444444444422</v>
      </c>
      <c r="D41">
        <f t="shared" si="2"/>
        <v>10.920619444444442</v>
      </c>
      <c r="E41">
        <f t="shared" si="4"/>
        <v>10.846414444444441</v>
      </c>
      <c r="F41">
        <f t="shared" si="4"/>
        <v>10.772209444444442</v>
      </c>
      <c r="G41">
        <f t="shared" si="7"/>
        <v>10.698004444444443</v>
      </c>
      <c r="H41">
        <f t="shared" si="7"/>
        <v>10.623799444444442</v>
      </c>
      <c r="I41">
        <f t="shared" si="7"/>
        <v>10.549594444444443</v>
      </c>
      <c r="J41">
        <f t="shared" si="7"/>
        <v>10.475389444444442</v>
      </c>
      <c r="K41">
        <f t="shared" si="7"/>
        <v>10.401184444444443</v>
      </c>
      <c r="L41">
        <f t="shared" si="7"/>
        <v>10.326979444444442</v>
      </c>
      <c r="M41">
        <f t="shared" si="7"/>
        <v>10.252774444444443</v>
      </c>
      <c r="N41">
        <f t="shared" si="7"/>
        <v>10.178569444444442</v>
      </c>
      <c r="O41">
        <f t="shared" si="7"/>
        <v>10.104364444444442</v>
      </c>
      <c r="P41">
        <f t="shared" si="7"/>
        <v>10.030159444444443</v>
      </c>
      <c r="Q41">
        <f t="shared" si="7"/>
        <v>9.9559544444444423</v>
      </c>
      <c r="R41">
        <f t="shared" si="7"/>
        <v>9.8817494444444414</v>
      </c>
      <c r="S41">
        <f t="shared" si="7"/>
        <v>9.8075444444444422</v>
      </c>
      <c r="T41">
        <f t="shared" si="7"/>
        <v>9.733339444444443</v>
      </c>
      <c r="U41">
        <f t="shared" si="5"/>
        <v>9.659134444444442</v>
      </c>
      <c r="V41">
        <f t="shared" si="5"/>
        <v>9.5849294444444411</v>
      </c>
      <c r="W41">
        <f t="shared" si="5"/>
        <v>9.5107244444444419</v>
      </c>
      <c r="X41">
        <f t="shared" si="5"/>
        <v>9.4365194444444427</v>
      </c>
      <c r="Y41">
        <f t="shared" si="5"/>
        <v>9.3623144444444417</v>
      </c>
      <c r="Z41">
        <f t="shared" si="5"/>
        <v>9.2881094444444408</v>
      </c>
      <c r="AA41">
        <f t="shared" si="5"/>
        <v>9.2139044444444416</v>
      </c>
      <c r="AB41">
        <f t="shared" si="5"/>
        <v>9.1396994444444424</v>
      </c>
      <c r="AC41">
        <f t="shared" si="5"/>
        <v>9.0654944444444414</v>
      </c>
      <c r="AD41">
        <f t="shared" si="6"/>
        <v>7.7298044444444427</v>
      </c>
    </row>
    <row r="42" spans="2:30" x14ac:dyDescent="0.2">
      <c r="B42" s="7">
        <v>44610</v>
      </c>
      <c r="C42" s="8">
        <v>6.236805555555553</v>
      </c>
      <c r="D42">
        <f t="shared" si="2"/>
        <v>9.5129805555555542</v>
      </c>
      <c r="E42">
        <f t="shared" si="4"/>
        <v>9.4387755555555533</v>
      </c>
      <c r="F42">
        <f t="shared" si="4"/>
        <v>9.3645705555555523</v>
      </c>
      <c r="G42">
        <f t="shared" si="7"/>
        <v>9.2903655555555531</v>
      </c>
      <c r="H42">
        <f t="shared" si="7"/>
        <v>9.2161605555555539</v>
      </c>
      <c r="I42">
        <f t="shared" si="7"/>
        <v>9.1419555555555529</v>
      </c>
      <c r="J42">
        <f t="shared" si="7"/>
        <v>9.0677505555555538</v>
      </c>
      <c r="K42">
        <f t="shared" si="7"/>
        <v>8.9935455555555528</v>
      </c>
      <c r="L42">
        <f t="shared" si="7"/>
        <v>8.9193405555555536</v>
      </c>
      <c r="M42">
        <f t="shared" si="7"/>
        <v>8.8451355555555526</v>
      </c>
      <c r="N42">
        <f t="shared" si="7"/>
        <v>8.7709305555555535</v>
      </c>
      <c r="O42">
        <f t="shared" si="7"/>
        <v>8.6967255555555525</v>
      </c>
      <c r="P42">
        <f t="shared" si="7"/>
        <v>8.6225205555555533</v>
      </c>
      <c r="Q42">
        <f t="shared" si="7"/>
        <v>8.5483155555555541</v>
      </c>
      <c r="R42">
        <f t="shared" si="7"/>
        <v>8.4741105555555531</v>
      </c>
      <c r="S42">
        <f t="shared" si="7"/>
        <v>8.3999055555555522</v>
      </c>
      <c r="T42">
        <f t="shared" si="7"/>
        <v>8.325700555555553</v>
      </c>
      <c r="U42">
        <f t="shared" si="5"/>
        <v>8.2514955555555538</v>
      </c>
      <c r="V42">
        <f t="shared" si="5"/>
        <v>8.1772905555555528</v>
      </c>
      <c r="W42">
        <f t="shared" si="5"/>
        <v>8.1030855555555519</v>
      </c>
      <c r="X42">
        <f t="shared" si="5"/>
        <v>8.0288805555555527</v>
      </c>
      <c r="Y42">
        <f t="shared" si="5"/>
        <v>7.9546755555555526</v>
      </c>
      <c r="Z42">
        <f t="shared" si="5"/>
        <v>7.8804705555555525</v>
      </c>
      <c r="AA42">
        <f t="shared" si="5"/>
        <v>7.8062655555555525</v>
      </c>
      <c r="AB42">
        <f t="shared" si="5"/>
        <v>7.7320605555555524</v>
      </c>
      <c r="AC42">
        <f t="shared" si="5"/>
        <v>7.6578555555555523</v>
      </c>
      <c r="AD42">
        <f t="shared" si="6"/>
        <v>6.3221655555555536</v>
      </c>
    </row>
    <row r="43" spans="2:30" x14ac:dyDescent="0.2">
      <c r="B43" s="7">
        <v>44611</v>
      </c>
      <c r="C43" s="8">
        <v>4.2375000000000007</v>
      </c>
      <c r="D43">
        <f t="shared" si="2"/>
        <v>7.513675000000001</v>
      </c>
      <c r="E43">
        <f t="shared" si="4"/>
        <v>7.4394700000000009</v>
      </c>
      <c r="F43">
        <f t="shared" si="4"/>
        <v>7.3652650000000008</v>
      </c>
      <c r="G43">
        <f t="shared" si="7"/>
        <v>7.2910600000000008</v>
      </c>
      <c r="H43">
        <f t="shared" si="7"/>
        <v>7.2168550000000007</v>
      </c>
      <c r="I43">
        <f t="shared" si="7"/>
        <v>7.1426500000000015</v>
      </c>
      <c r="J43">
        <f t="shared" si="7"/>
        <v>7.0684450000000005</v>
      </c>
      <c r="K43">
        <f t="shared" si="7"/>
        <v>6.9942400000000013</v>
      </c>
      <c r="L43">
        <f t="shared" si="7"/>
        <v>6.9200350000000004</v>
      </c>
      <c r="M43">
        <f t="shared" si="7"/>
        <v>6.8458300000000012</v>
      </c>
      <c r="N43">
        <f t="shared" si="7"/>
        <v>6.7716250000000011</v>
      </c>
      <c r="O43">
        <f t="shared" si="7"/>
        <v>6.697420000000001</v>
      </c>
      <c r="P43">
        <f t="shared" si="7"/>
        <v>6.623215000000001</v>
      </c>
      <c r="Q43">
        <f t="shared" si="7"/>
        <v>6.5490100000000009</v>
      </c>
      <c r="R43">
        <f t="shared" si="7"/>
        <v>6.4748050000000008</v>
      </c>
      <c r="S43">
        <f t="shared" si="7"/>
        <v>6.4006000000000007</v>
      </c>
      <c r="T43">
        <f t="shared" si="7"/>
        <v>6.3263950000000007</v>
      </c>
      <c r="U43">
        <f t="shared" si="5"/>
        <v>6.2521900000000006</v>
      </c>
      <c r="V43">
        <f t="shared" si="5"/>
        <v>6.1779850000000005</v>
      </c>
      <c r="W43">
        <f t="shared" si="5"/>
        <v>6.1037800000000004</v>
      </c>
      <c r="X43">
        <f t="shared" si="5"/>
        <v>6.0295750000000004</v>
      </c>
      <c r="Y43">
        <f t="shared" si="5"/>
        <v>5.9553700000000003</v>
      </c>
      <c r="Z43">
        <f t="shared" si="5"/>
        <v>5.8811650000000002</v>
      </c>
      <c r="AA43">
        <f t="shared" si="5"/>
        <v>5.8069600000000001</v>
      </c>
      <c r="AB43">
        <f t="shared" si="5"/>
        <v>5.732755</v>
      </c>
      <c r="AC43">
        <f t="shared" si="5"/>
        <v>5.65855</v>
      </c>
      <c r="AD43">
        <f t="shared" si="6"/>
        <v>4.3228600000000013</v>
      </c>
    </row>
    <row r="44" spans="2:30" x14ac:dyDescent="0.2">
      <c r="B44" s="7">
        <v>44612</v>
      </c>
      <c r="C44" s="8">
        <v>6.4159722222222175</v>
      </c>
      <c r="D44">
        <f t="shared" si="2"/>
        <v>9.6921472222222178</v>
      </c>
      <c r="E44">
        <f t="shared" si="4"/>
        <v>9.6179422222222186</v>
      </c>
      <c r="F44">
        <f t="shared" si="4"/>
        <v>9.5437372222222177</v>
      </c>
      <c r="G44">
        <f t="shared" si="7"/>
        <v>9.4695322222222167</v>
      </c>
      <c r="H44">
        <f t="shared" si="7"/>
        <v>9.3953272222222175</v>
      </c>
      <c r="I44">
        <f t="shared" si="7"/>
        <v>9.3211222222222183</v>
      </c>
      <c r="J44">
        <f t="shared" si="7"/>
        <v>9.2469172222222173</v>
      </c>
      <c r="K44">
        <f t="shared" si="7"/>
        <v>9.1727122222222182</v>
      </c>
      <c r="L44">
        <f t="shared" si="7"/>
        <v>9.0985072222222172</v>
      </c>
      <c r="M44">
        <f t="shared" si="7"/>
        <v>9.024302222222218</v>
      </c>
      <c r="N44">
        <f t="shared" si="7"/>
        <v>8.9500972222222188</v>
      </c>
      <c r="O44">
        <f t="shared" si="7"/>
        <v>8.8758922222222179</v>
      </c>
      <c r="P44">
        <f t="shared" si="7"/>
        <v>8.8016872222222169</v>
      </c>
      <c r="Q44">
        <f t="shared" si="7"/>
        <v>8.7274822222222177</v>
      </c>
      <c r="R44">
        <f t="shared" si="7"/>
        <v>8.6532772222222185</v>
      </c>
      <c r="S44">
        <f t="shared" si="7"/>
        <v>8.5790722222222175</v>
      </c>
      <c r="T44">
        <f t="shared" si="7"/>
        <v>8.5048672222222166</v>
      </c>
      <c r="U44">
        <f t="shared" si="5"/>
        <v>8.4306622222222174</v>
      </c>
      <c r="V44">
        <f t="shared" si="5"/>
        <v>8.3564572222222182</v>
      </c>
      <c r="W44">
        <f t="shared" si="5"/>
        <v>8.2822522222222172</v>
      </c>
      <c r="X44">
        <f t="shared" si="5"/>
        <v>8.2080472222222163</v>
      </c>
      <c r="Y44">
        <f t="shared" si="5"/>
        <v>8.1338422222222171</v>
      </c>
      <c r="Z44">
        <f t="shared" si="5"/>
        <v>8.0596372222222179</v>
      </c>
      <c r="AA44">
        <f t="shared" si="5"/>
        <v>7.9854322222222169</v>
      </c>
      <c r="AB44">
        <f t="shared" si="5"/>
        <v>7.9112272222222169</v>
      </c>
      <c r="AC44">
        <f t="shared" si="5"/>
        <v>7.8370222222222168</v>
      </c>
      <c r="AD44">
        <f t="shared" si="6"/>
        <v>6.5013322222222181</v>
      </c>
    </row>
    <row r="45" spans="2:30" x14ac:dyDescent="0.2">
      <c r="B45" s="7">
        <v>44613</v>
      </c>
      <c r="C45" s="8">
        <v>5.3493055555555555</v>
      </c>
      <c r="D45">
        <f t="shared" si="2"/>
        <v>8.6254805555555549</v>
      </c>
      <c r="E45">
        <f t="shared" si="4"/>
        <v>8.5512755555555557</v>
      </c>
      <c r="F45">
        <f t="shared" si="4"/>
        <v>8.4770705555555566</v>
      </c>
      <c r="G45">
        <f t="shared" si="7"/>
        <v>8.4028655555555556</v>
      </c>
      <c r="H45">
        <f t="shared" si="7"/>
        <v>8.3286605555555564</v>
      </c>
      <c r="I45">
        <f t="shared" si="7"/>
        <v>8.2544555555555554</v>
      </c>
      <c r="J45">
        <f t="shared" si="7"/>
        <v>8.1802505555555562</v>
      </c>
      <c r="K45">
        <f t="shared" si="7"/>
        <v>8.1060455555555553</v>
      </c>
      <c r="L45">
        <f t="shared" si="7"/>
        <v>8.0318405555555561</v>
      </c>
      <c r="M45">
        <f t="shared" si="7"/>
        <v>7.9576355555555551</v>
      </c>
      <c r="N45">
        <f t="shared" si="7"/>
        <v>7.8834305555555559</v>
      </c>
      <c r="O45">
        <f t="shared" si="7"/>
        <v>7.8092255555555559</v>
      </c>
      <c r="P45">
        <f t="shared" si="7"/>
        <v>7.7350205555555558</v>
      </c>
      <c r="Q45">
        <f t="shared" si="7"/>
        <v>7.6608155555555557</v>
      </c>
      <c r="R45">
        <f t="shared" si="7"/>
        <v>7.5866105555555556</v>
      </c>
      <c r="S45">
        <f t="shared" si="7"/>
        <v>7.5124055555555556</v>
      </c>
      <c r="T45">
        <f t="shared" si="7"/>
        <v>7.4382005555555555</v>
      </c>
      <c r="U45">
        <f t="shared" si="5"/>
        <v>7.3639955555555554</v>
      </c>
      <c r="V45">
        <f t="shared" si="5"/>
        <v>7.2897905555555553</v>
      </c>
      <c r="W45">
        <f t="shared" si="5"/>
        <v>7.2155855555555553</v>
      </c>
      <c r="X45">
        <f t="shared" si="5"/>
        <v>7.1413805555555552</v>
      </c>
      <c r="Y45">
        <f t="shared" si="5"/>
        <v>7.0671755555555551</v>
      </c>
      <c r="Z45">
        <f t="shared" si="5"/>
        <v>6.992970555555555</v>
      </c>
      <c r="AA45">
        <f t="shared" si="5"/>
        <v>6.9187655555555549</v>
      </c>
      <c r="AB45">
        <f t="shared" si="5"/>
        <v>6.8445605555555549</v>
      </c>
      <c r="AC45">
        <f t="shared" si="5"/>
        <v>6.7703555555555548</v>
      </c>
      <c r="AD45">
        <f t="shared" si="6"/>
        <v>5.4346655555555561</v>
      </c>
    </row>
    <row r="46" spans="2:30" x14ac:dyDescent="0.2">
      <c r="B46" s="7">
        <v>44614</v>
      </c>
      <c r="C46" s="8">
        <v>5.1569444444444423</v>
      </c>
      <c r="D46">
        <f t="shared" si="2"/>
        <v>8.4331194444444435</v>
      </c>
      <c r="E46">
        <f t="shared" si="4"/>
        <v>8.3589144444444425</v>
      </c>
      <c r="F46">
        <f t="shared" si="4"/>
        <v>8.2847094444444416</v>
      </c>
      <c r="G46">
        <f t="shared" si="7"/>
        <v>8.2105044444444424</v>
      </c>
      <c r="H46">
        <f t="shared" si="7"/>
        <v>8.1362994444444432</v>
      </c>
      <c r="I46">
        <f t="shared" si="7"/>
        <v>8.0620944444444422</v>
      </c>
      <c r="J46">
        <f t="shared" si="7"/>
        <v>7.987889444444443</v>
      </c>
      <c r="K46">
        <f t="shared" si="7"/>
        <v>7.9136844444444421</v>
      </c>
      <c r="L46">
        <f t="shared" si="7"/>
        <v>7.8394794444444429</v>
      </c>
      <c r="M46">
        <f t="shared" si="7"/>
        <v>7.7652744444444419</v>
      </c>
      <c r="N46">
        <f t="shared" si="7"/>
        <v>7.6910694444444427</v>
      </c>
      <c r="O46">
        <f t="shared" si="7"/>
        <v>7.6168644444444427</v>
      </c>
      <c r="P46">
        <f t="shared" si="7"/>
        <v>7.5426594444444426</v>
      </c>
      <c r="Q46">
        <f t="shared" si="7"/>
        <v>7.4684544444444425</v>
      </c>
      <c r="R46">
        <f t="shared" si="7"/>
        <v>7.3942494444444424</v>
      </c>
      <c r="S46">
        <f t="shared" si="7"/>
        <v>7.3200444444444424</v>
      </c>
      <c r="T46">
        <f t="shared" si="7"/>
        <v>7.2458394444444423</v>
      </c>
      <c r="U46">
        <f t="shared" si="5"/>
        <v>7.1716344444444422</v>
      </c>
      <c r="V46">
        <f t="shared" si="5"/>
        <v>7.0974294444444421</v>
      </c>
      <c r="W46">
        <f t="shared" si="5"/>
        <v>7.023224444444442</v>
      </c>
      <c r="X46">
        <f t="shared" si="5"/>
        <v>6.949019444444442</v>
      </c>
      <c r="Y46">
        <f t="shared" si="5"/>
        <v>6.8748144444444419</v>
      </c>
      <c r="Z46">
        <f t="shared" si="5"/>
        <v>6.8006094444444418</v>
      </c>
      <c r="AA46">
        <f t="shared" si="5"/>
        <v>6.7264044444444417</v>
      </c>
      <c r="AB46">
        <f t="shared" si="5"/>
        <v>6.6521994444444417</v>
      </c>
      <c r="AC46">
        <f t="shared" si="5"/>
        <v>6.5779944444444416</v>
      </c>
      <c r="AD46">
        <f t="shared" si="6"/>
        <v>5.2423044444444429</v>
      </c>
    </row>
    <row r="47" spans="2:30" x14ac:dyDescent="0.2">
      <c r="B47" s="7">
        <v>44615</v>
      </c>
      <c r="C47" s="8">
        <v>6.088888888888885</v>
      </c>
      <c r="D47">
        <f t="shared" si="2"/>
        <v>9.3650638888888853</v>
      </c>
      <c r="E47">
        <f t="shared" si="4"/>
        <v>9.2908588888888843</v>
      </c>
      <c r="F47">
        <f t="shared" si="4"/>
        <v>9.2166538888888851</v>
      </c>
      <c r="G47">
        <f t="shared" si="7"/>
        <v>9.142448888888886</v>
      </c>
      <c r="H47">
        <f t="shared" si="7"/>
        <v>9.068243888888885</v>
      </c>
      <c r="I47">
        <f t="shared" si="7"/>
        <v>8.9940388888888858</v>
      </c>
      <c r="J47">
        <f t="shared" si="7"/>
        <v>8.9198338888888848</v>
      </c>
      <c r="K47">
        <f t="shared" si="7"/>
        <v>8.8456288888888857</v>
      </c>
      <c r="L47">
        <f t="shared" si="7"/>
        <v>8.7714238888888847</v>
      </c>
      <c r="M47">
        <f t="shared" si="7"/>
        <v>8.6972188888888855</v>
      </c>
      <c r="N47">
        <f t="shared" si="7"/>
        <v>8.6230138888888845</v>
      </c>
      <c r="O47">
        <f t="shared" si="7"/>
        <v>8.5488088888888853</v>
      </c>
      <c r="P47">
        <f t="shared" si="7"/>
        <v>8.4746038888888862</v>
      </c>
      <c r="Q47">
        <f t="shared" si="7"/>
        <v>8.4003988888888852</v>
      </c>
      <c r="R47">
        <f t="shared" si="7"/>
        <v>8.3261938888888842</v>
      </c>
      <c r="S47">
        <f t="shared" si="7"/>
        <v>8.251988888888885</v>
      </c>
      <c r="T47">
        <f t="shared" si="7"/>
        <v>8.1777838888888859</v>
      </c>
      <c r="U47">
        <f t="shared" si="5"/>
        <v>8.1035788888888849</v>
      </c>
      <c r="V47">
        <f t="shared" si="5"/>
        <v>8.0293738888888839</v>
      </c>
      <c r="W47">
        <f t="shared" si="5"/>
        <v>7.9551688888888847</v>
      </c>
      <c r="X47">
        <f t="shared" si="5"/>
        <v>7.8809638888888847</v>
      </c>
      <c r="Y47">
        <f t="shared" si="5"/>
        <v>7.8067588888888846</v>
      </c>
      <c r="Z47">
        <f t="shared" si="5"/>
        <v>7.7325538888888845</v>
      </c>
      <c r="AA47">
        <f t="shared" si="5"/>
        <v>7.6583488888888844</v>
      </c>
      <c r="AB47">
        <f t="shared" si="5"/>
        <v>7.5841438888888844</v>
      </c>
      <c r="AC47">
        <f t="shared" si="5"/>
        <v>7.5099388888888843</v>
      </c>
      <c r="AD47">
        <f t="shared" si="6"/>
        <v>6.1742488888888856</v>
      </c>
    </row>
    <row r="48" spans="2:30" x14ac:dyDescent="0.2">
      <c r="B48" s="7">
        <v>44616</v>
      </c>
      <c r="C48" s="8">
        <v>5.6402777777777766</v>
      </c>
      <c r="D48">
        <f t="shared" si="2"/>
        <v>8.9164527777777778</v>
      </c>
      <c r="E48">
        <f t="shared" si="4"/>
        <v>8.8422477777777768</v>
      </c>
      <c r="F48">
        <f t="shared" si="4"/>
        <v>8.7680427777777759</v>
      </c>
      <c r="G48">
        <f t="shared" si="7"/>
        <v>8.6938377777777767</v>
      </c>
      <c r="H48">
        <f t="shared" si="7"/>
        <v>8.6196327777777775</v>
      </c>
      <c r="I48">
        <f t="shared" si="7"/>
        <v>8.5454277777777765</v>
      </c>
      <c r="J48">
        <f t="shared" si="7"/>
        <v>8.4712227777777773</v>
      </c>
      <c r="K48">
        <f t="shared" si="7"/>
        <v>8.3970177777777764</v>
      </c>
      <c r="L48">
        <f t="shared" si="7"/>
        <v>8.3228127777777772</v>
      </c>
      <c r="M48">
        <f t="shared" si="7"/>
        <v>8.2486077777777762</v>
      </c>
      <c r="N48">
        <f t="shared" si="7"/>
        <v>8.174402777777777</v>
      </c>
      <c r="O48">
        <f t="shared" si="7"/>
        <v>8.1001977777777761</v>
      </c>
      <c r="P48">
        <f t="shared" si="7"/>
        <v>8.0259927777777769</v>
      </c>
      <c r="Q48">
        <f t="shared" si="7"/>
        <v>7.9517877777777768</v>
      </c>
      <c r="R48">
        <f t="shared" si="7"/>
        <v>7.8775827777777767</v>
      </c>
      <c r="S48">
        <f t="shared" si="7"/>
        <v>7.8033777777777766</v>
      </c>
      <c r="T48">
        <f t="shared" si="7"/>
        <v>7.7291727777777766</v>
      </c>
      <c r="U48">
        <f t="shared" si="5"/>
        <v>7.6549677777777765</v>
      </c>
      <c r="V48">
        <f t="shared" si="5"/>
        <v>7.5807627777777764</v>
      </c>
      <c r="W48">
        <f t="shared" si="5"/>
        <v>7.5065577777777763</v>
      </c>
      <c r="X48">
        <f t="shared" si="5"/>
        <v>7.4323527777777763</v>
      </c>
      <c r="Y48">
        <f t="shared" si="5"/>
        <v>7.3581477777777762</v>
      </c>
      <c r="Z48">
        <f t="shared" si="5"/>
        <v>7.2839427777777761</v>
      </c>
      <c r="AA48">
        <f t="shared" si="5"/>
        <v>7.209737777777776</v>
      </c>
      <c r="AB48">
        <f t="shared" si="5"/>
        <v>7.1355327777777759</v>
      </c>
      <c r="AC48">
        <f t="shared" si="5"/>
        <v>7.0613277777777759</v>
      </c>
      <c r="AD48">
        <f t="shared" si="6"/>
        <v>5.7256377777777772</v>
      </c>
    </row>
    <row r="49" spans="2:30" x14ac:dyDescent="0.2">
      <c r="B49" s="7">
        <v>44617</v>
      </c>
      <c r="C49" s="8">
        <v>4.55</v>
      </c>
      <c r="D49">
        <f t="shared" si="2"/>
        <v>7.8261750000000001</v>
      </c>
      <c r="E49">
        <f t="shared" si="4"/>
        <v>7.75197</v>
      </c>
      <c r="F49">
        <f t="shared" si="4"/>
        <v>7.677765</v>
      </c>
      <c r="G49">
        <f t="shared" si="7"/>
        <v>7.6035599999999999</v>
      </c>
      <c r="H49">
        <f t="shared" si="7"/>
        <v>7.5293550000000007</v>
      </c>
      <c r="I49">
        <f t="shared" si="7"/>
        <v>7.4551499999999997</v>
      </c>
      <c r="J49">
        <f t="shared" si="7"/>
        <v>7.3809450000000005</v>
      </c>
      <c r="K49">
        <f t="shared" si="7"/>
        <v>7.3067399999999996</v>
      </c>
      <c r="L49">
        <f t="shared" si="7"/>
        <v>7.2325350000000004</v>
      </c>
      <c r="M49">
        <f t="shared" si="7"/>
        <v>7.1583299999999994</v>
      </c>
      <c r="N49">
        <f t="shared" si="7"/>
        <v>7.0841250000000002</v>
      </c>
      <c r="O49">
        <f t="shared" si="7"/>
        <v>7.0099200000000002</v>
      </c>
      <c r="P49">
        <f t="shared" si="7"/>
        <v>6.9357150000000001</v>
      </c>
      <c r="Q49">
        <f t="shared" si="7"/>
        <v>6.86151</v>
      </c>
      <c r="R49">
        <f t="shared" si="7"/>
        <v>6.7873049999999999</v>
      </c>
      <c r="S49">
        <f t="shared" si="7"/>
        <v>6.7130999999999998</v>
      </c>
      <c r="T49">
        <f t="shared" si="7"/>
        <v>6.6388949999999998</v>
      </c>
      <c r="U49">
        <f t="shared" si="5"/>
        <v>6.5646899999999997</v>
      </c>
      <c r="V49">
        <f t="shared" si="5"/>
        <v>6.4904849999999996</v>
      </c>
      <c r="W49">
        <f t="shared" si="5"/>
        <v>6.4162799999999995</v>
      </c>
      <c r="X49">
        <f t="shared" si="5"/>
        <v>6.3420749999999995</v>
      </c>
      <c r="Y49">
        <f t="shared" si="5"/>
        <v>6.2678699999999994</v>
      </c>
      <c r="Z49">
        <f t="shared" ref="U49:AC77" si="8">(-1.4841*Z$3+3.6472)+$C49</f>
        <v>6.1936649999999993</v>
      </c>
      <c r="AA49">
        <f t="shared" si="8"/>
        <v>6.1194599999999992</v>
      </c>
      <c r="AB49">
        <f t="shared" si="8"/>
        <v>6.0452549999999992</v>
      </c>
      <c r="AC49">
        <f t="shared" si="8"/>
        <v>5.9710499999999991</v>
      </c>
      <c r="AD49">
        <f t="shared" si="6"/>
        <v>4.6353600000000004</v>
      </c>
    </row>
    <row r="50" spans="2:30" x14ac:dyDescent="0.2">
      <c r="B50" s="7">
        <v>44618</v>
      </c>
      <c r="C50" s="8">
        <v>5.210416666666668</v>
      </c>
      <c r="D50">
        <f t="shared" si="2"/>
        <v>8.4865916666666692</v>
      </c>
      <c r="E50">
        <f t="shared" si="4"/>
        <v>8.4123866666666682</v>
      </c>
      <c r="F50">
        <f t="shared" si="4"/>
        <v>8.3381816666666673</v>
      </c>
      <c r="G50">
        <f t="shared" si="7"/>
        <v>8.2639766666666681</v>
      </c>
      <c r="H50">
        <f t="shared" si="7"/>
        <v>8.1897716666666689</v>
      </c>
      <c r="I50">
        <f t="shared" si="7"/>
        <v>8.1155666666666679</v>
      </c>
      <c r="J50">
        <f t="shared" si="7"/>
        <v>8.0413616666666687</v>
      </c>
      <c r="K50">
        <f t="shared" si="7"/>
        <v>7.9671566666666678</v>
      </c>
      <c r="L50">
        <f t="shared" si="7"/>
        <v>7.8929516666666686</v>
      </c>
      <c r="M50">
        <f t="shared" si="7"/>
        <v>7.8187466666666676</v>
      </c>
      <c r="N50">
        <f t="shared" si="7"/>
        <v>7.7445416666666684</v>
      </c>
      <c r="O50">
        <f t="shared" si="7"/>
        <v>7.6703366666666684</v>
      </c>
      <c r="P50">
        <f t="shared" si="7"/>
        <v>7.5961316666666683</v>
      </c>
      <c r="Q50">
        <f t="shared" si="7"/>
        <v>7.5219266666666682</v>
      </c>
      <c r="R50">
        <f t="shared" si="7"/>
        <v>7.4477216666666681</v>
      </c>
      <c r="S50">
        <f t="shared" si="7"/>
        <v>7.3735166666666681</v>
      </c>
      <c r="T50">
        <f t="shared" si="7"/>
        <v>7.299311666666668</v>
      </c>
      <c r="U50">
        <f t="shared" si="8"/>
        <v>7.2251066666666679</v>
      </c>
      <c r="V50">
        <f t="shared" si="8"/>
        <v>7.1509016666666678</v>
      </c>
      <c r="W50">
        <f t="shared" si="8"/>
        <v>7.0766966666666677</v>
      </c>
      <c r="X50">
        <f t="shared" si="8"/>
        <v>7.0024916666666677</v>
      </c>
      <c r="Y50">
        <f t="shared" si="8"/>
        <v>6.9282866666666676</v>
      </c>
      <c r="Z50">
        <f t="shared" si="8"/>
        <v>6.8540816666666675</v>
      </c>
      <c r="AA50">
        <f t="shared" si="8"/>
        <v>6.7798766666666674</v>
      </c>
      <c r="AB50">
        <f t="shared" si="8"/>
        <v>6.7056716666666674</v>
      </c>
      <c r="AC50">
        <f t="shared" si="8"/>
        <v>6.6314666666666673</v>
      </c>
      <c r="AD50">
        <f t="shared" si="6"/>
        <v>5.2957766666666686</v>
      </c>
    </row>
    <row r="51" spans="2:30" x14ac:dyDescent="0.2">
      <c r="B51" s="7">
        <v>44619</v>
      </c>
      <c r="C51" s="8">
        <v>4.5902777777777777</v>
      </c>
      <c r="D51">
        <f t="shared" si="2"/>
        <v>7.866452777777778</v>
      </c>
      <c r="E51">
        <f t="shared" si="4"/>
        <v>7.7922477777777779</v>
      </c>
      <c r="F51">
        <f t="shared" si="4"/>
        <v>7.7180427777777778</v>
      </c>
      <c r="G51">
        <f t="shared" si="7"/>
        <v>7.6438377777777777</v>
      </c>
      <c r="H51">
        <f t="shared" si="7"/>
        <v>7.5696327777777785</v>
      </c>
      <c r="I51">
        <f t="shared" si="7"/>
        <v>7.4954277777777776</v>
      </c>
      <c r="J51">
        <f t="shared" si="7"/>
        <v>7.4212227777777784</v>
      </c>
      <c r="K51">
        <f t="shared" si="7"/>
        <v>7.3470177777777774</v>
      </c>
      <c r="L51">
        <f t="shared" si="7"/>
        <v>7.2728127777777782</v>
      </c>
      <c r="M51">
        <f t="shared" si="7"/>
        <v>7.1986077777777773</v>
      </c>
      <c r="N51">
        <f t="shared" si="7"/>
        <v>7.1244027777777781</v>
      </c>
      <c r="O51">
        <f t="shared" si="7"/>
        <v>7.050197777777778</v>
      </c>
      <c r="P51">
        <f t="shared" si="7"/>
        <v>6.9759927777777779</v>
      </c>
      <c r="Q51">
        <f t="shared" si="7"/>
        <v>6.9017877777777779</v>
      </c>
      <c r="R51">
        <f t="shared" si="7"/>
        <v>6.8275827777777778</v>
      </c>
      <c r="S51">
        <f t="shared" si="7"/>
        <v>6.7533777777777777</v>
      </c>
      <c r="T51">
        <f t="shared" si="7"/>
        <v>6.6791727777777776</v>
      </c>
      <c r="U51">
        <f t="shared" si="8"/>
        <v>6.6049677777777775</v>
      </c>
      <c r="V51">
        <f t="shared" si="8"/>
        <v>6.5307627777777775</v>
      </c>
      <c r="W51">
        <f t="shared" si="8"/>
        <v>6.4565577777777774</v>
      </c>
      <c r="X51">
        <f t="shared" si="8"/>
        <v>6.3823527777777773</v>
      </c>
      <c r="Y51">
        <f t="shared" si="8"/>
        <v>6.3081477777777772</v>
      </c>
      <c r="Z51">
        <f t="shared" si="8"/>
        <v>6.2339427777777772</v>
      </c>
      <c r="AA51">
        <f t="shared" si="8"/>
        <v>6.1597377777777771</v>
      </c>
      <c r="AB51">
        <f t="shared" si="8"/>
        <v>6.085532777777777</v>
      </c>
      <c r="AC51">
        <f t="shared" si="8"/>
        <v>6.0113277777777769</v>
      </c>
      <c r="AD51">
        <f t="shared" si="6"/>
        <v>4.6756377777777782</v>
      </c>
    </row>
    <row r="52" spans="2:30" x14ac:dyDescent="0.2">
      <c r="B52" s="7">
        <v>44620</v>
      </c>
      <c r="C52" s="8">
        <v>4.5444444444444434</v>
      </c>
      <c r="D52">
        <f t="shared" si="2"/>
        <v>7.8206194444444437</v>
      </c>
      <c r="E52">
        <f t="shared" si="4"/>
        <v>7.7464144444444436</v>
      </c>
      <c r="F52">
        <f t="shared" si="4"/>
        <v>7.6722094444444435</v>
      </c>
      <c r="G52">
        <f t="shared" si="7"/>
        <v>7.5980044444444435</v>
      </c>
      <c r="H52">
        <f t="shared" si="7"/>
        <v>7.5237994444444443</v>
      </c>
      <c r="I52">
        <f t="shared" si="7"/>
        <v>7.4495944444444433</v>
      </c>
      <c r="J52">
        <f t="shared" si="7"/>
        <v>7.3753894444444441</v>
      </c>
      <c r="K52">
        <f t="shared" si="7"/>
        <v>7.3011844444444431</v>
      </c>
      <c r="L52">
        <f t="shared" si="7"/>
        <v>7.226979444444444</v>
      </c>
      <c r="M52">
        <f t="shared" si="7"/>
        <v>7.152774444444443</v>
      </c>
      <c r="N52">
        <f t="shared" si="7"/>
        <v>7.0785694444444438</v>
      </c>
      <c r="O52">
        <f t="shared" si="7"/>
        <v>7.0043644444444437</v>
      </c>
      <c r="P52">
        <f t="shared" si="7"/>
        <v>6.9301594444444437</v>
      </c>
      <c r="Q52">
        <f t="shared" si="7"/>
        <v>6.8559544444444436</v>
      </c>
      <c r="R52">
        <f t="shared" si="7"/>
        <v>6.7817494444444435</v>
      </c>
      <c r="S52">
        <f t="shared" si="7"/>
        <v>6.7075444444444434</v>
      </c>
      <c r="T52">
        <f t="shared" si="7"/>
        <v>6.6333394444444433</v>
      </c>
      <c r="U52">
        <f t="shared" si="8"/>
        <v>6.5591344444444433</v>
      </c>
      <c r="V52">
        <f t="shared" si="8"/>
        <v>6.4849294444444432</v>
      </c>
      <c r="W52">
        <f t="shared" si="8"/>
        <v>6.4107244444444431</v>
      </c>
      <c r="X52">
        <f t="shared" si="8"/>
        <v>6.336519444444443</v>
      </c>
      <c r="Y52">
        <f t="shared" si="8"/>
        <v>6.262314444444443</v>
      </c>
      <c r="Z52">
        <f t="shared" si="8"/>
        <v>6.1881094444444429</v>
      </c>
      <c r="AA52">
        <f t="shared" si="8"/>
        <v>6.1139044444444428</v>
      </c>
      <c r="AB52">
        <f t="shared" si="8"/>
        <v>6.0396994444444427</v>
      </c>
      <c r="AC52">
        <f t="shared" si="8"/>
        <v>5.9654944444444427</v>
      </c>
      <c r="AD52">
        <f t="shared" si="6"/>
        <v>4.6298044444444439</v>
      </c>
    </row>
    <row r="53" spans="2:30" x14ac:dyDescent="0.2">
      <c r="B53" s="7">
        <v>44621</v>
      </c>
      <c r="C53" s="8">
        <v>4.5430555555555632</v>
      </c>
      <c r="D53">
        <f t="shared" si="2"/>
        <v>7.8192305555555635</v>
      </c>
      <c r="E53">
        <f t="shared" si="4"/>
        <v>7.7450255555555634</v>
      </c>
      <c r="F53">
        <f t="shared" si="4"/>
        <v>7.6708205555555633</v>
      </c>
      <c r="G53">
        <f t="shared" si="7"/>
        <v>7.5966155555555632</v>
      </c>
      <c r="H53">
        <f t="shared" si="7"/>
        <v>7.5224105555555631</v>
      </c>
      <c r="I53">
        <f t="shared" si="7"/>
        <v>7.448205555555564</v>
      </c>
      <c r="J53">
        <f t="shared" si="7"/>
        <v>7.374000555555563</v>
      </c>
      <c r="K53">
        <f t="shared" si="7"/>
        <v>7.2997955555555638</v>
      </c>
      <c r="L53">
        <f t="shared" si="7"/>
        <v>7.2255905555555628</v>
      </c>
      <c r="M53">
        <f t="shared" si="7"/>
        <v>7.1513855555555637</v>
      </c>
      <c r="N53">
        <f t="shared" si="7"/>
        <v>7.0771805555555636</v>
      </c>
      <c r="O53">
        <f t="shared" si="7"/>
        <v>7.0029755555555635</v>
      </c>
      <c r="P53">
        <f t="shared" si="7"/>
        <v>6.9287705555555634</v>
      </c>
      <c r="Q53">
        <f t="shared" si="7"/>
        <v>6.8545655555555633</v>
      </c>
      <c r="R53">
        <f t="shared" si="7"/>
        <v>6.7803605555555633</v>
      </c>
      <c r="S53">
        <f t="shared" si="7"/>
        <v>6.7061555555555632</v>
      </c>
      <c r="T53">
        <f t="shared" si="7"/>
        <v>6.6319505555555631</v>
      </c>
      <c r="U53">
        <f t="shared" si="8"/>
        <v>6.557745555555563</v>
      </c>
      <c r="V53">
        <f t="shared" si="8"/>
        <v>6.483540555555563</v>
      </c>
      <c r="W53">
        <f t="shared" si="8"/>
        <v>6.4093355555555629</v>
      </c>
      <c r="X53">
        <f t="shared" si="8"/>
        <v>6.3351305555555628</v>
      </c>
      <c r="Y53">
        <f t="shared" si="8"/>
        <v>6.2609255555555627</v>
      </c>
      <c r="Z53">
        <f t="shared" si="8"/>
        <v>6.1867205555555627</v>
      </c>
      <c r="AA53">
        <f t="shared" si="8"/>
        <v>6.1125155555555626</v>
      </c>
      <c r="AB53">
        <f t="shared" si="8"/>
        <v>6.0383105555555625</v>
      </c>
      <c r="AC53">
        <f t="shared" si="8"/>
        <v>5.9641055555555624</v>
      </c>
      <c r="AD53">
        <f t="shared" si="6"/>
        <v>4.6284155555555637</v>
      </c>
    </row>
    <row r="54" spans="2:30" x14ac:dyDescent="0.2">
      <c r="B54" s="7">
        <v>44622</v>
      </c>
      <c r="C54" s="8">
        <v>6.9256944444444439</v>
      </c>
      <c r="D54">
        <f t="shared" si="2"/>
        <v>10.201869444444444</v>
      </c>
      <c r="E54">
        <f t="shared" si="4"/>
        <v>10.127664444444445</v>
      </c>
      <c r="F54">
        <f t="shared" si="4"/>
        <v>10.053459444444444</v>
      </c>
      <c r="G54">
        <f t="shared" si="7"/>
        <v>9.9792544444444431</v>
      </c>
      <c r="H54">
        <f t="shared" si="7"/>
        <v>9.9050494444444439</v>
      </c>
      <c r="I54">
        <f t="shared" si="7"/>
        <v>9.8308444444444447</v>
      </c>
      <c r="J54">
        <f t="shared" si="7"/>
        <v>9.7566394444444438</v>
      </c>
      <c r="K54">
        <f t="shared" si="7"/>
        <v>9.6824344444444446</v>
      </c>
      <c r="L54">
        <f t="shared" si="7"/>
        <v>9.6082294444444436</v>
      </c>
      <c r="M54">
        <f t="shared" si="7"/>
        <v>9.5340244444444444</v>
      </c>
      <c r="N54">
        <f t="shared" si="7"/>
        <v>9.4598194444444452</v>
      </c>
      <c r="O54">
        <f t="shared" si="7"/>
        <v>9.3856144444444443</v>
      </c>
      <c r="P54">
        <f t="shared" si="7"/>
        <v>9.3114094444444433</v>
      </c>
      <c r="Q54">
        <f t="shared" si="7"/>
        <v>9.2372044444444441</v>
      </c>
      <c r="R54">
        <f t="shared" si="7"/>
        <v>9.1629994444444449</v>
      </c>
      <c r="S54">
        <f t="shared" si="7"/>
        <v>9.088794444444444</v>
      </c>
      <c r="T54">
        <f t="shared" si="7"/>
        <v>9.014589444444443</v>
      </c>
      <c r="U54">
        <f t="shared" si="8"/>
        <v>8.9403844444444438</v>
      </c>
      <c r="V54">
        <f t="shared" si="8"/>
        <v>8.8661794444444446</v>
      </c>
      <c r="W54">
        <f t="shared" si="8"/>
        <v>8.7919744444444436</v>
      </c>
      <c r="X54">
        <f t="shared" si="8"/>
        <v>8.7177694444444427</v>
      </c>
      <c r="Y54">
        <f t="shared" si="8"/>
        <v>8.6435644444444435</v>
      </c>
      <c r="Z54">
        <f t="shared" si="8"/>
        <v>8.5693594444444443</v>
      </c>
      <c r="AA54">
        <f t="shared" si="8"/>
        <v>8.4951544444444433</v>
      </c>
      <c r="AB54">
        <f t="shared" si="8"/>
        <v>8.4209494444444424</v>
      </c>
      <c r="AC54">
        <f t="shared" si="8"/>
        <v>8.3467444444444432</v>
      </c>
      <c r="AD54">
        <f t="shared" si="6"/>
        <v>7.0110544444444445</v>
      </c>
    </row>
    <row r="55" spans="2:30" x14ac:dyDescent="0.2">
      <c r="B55" s="7">
        <v>44623</v>
      </c>
      <c r="C55" s="8">
        <v>6.0013888888888864</v>
      </c>
      <c r="D55">
        <f t="shared" si="2"/>
        <v>9.2775638888888867</v>
      </c>
      <c r="E55">
        <f t="shared" si="4"/>
        <v>9.2033588888888858</v>
      </c>
      <c r="F55">
        <f t="shared" si="4"/>
        <v>9.1291538888888866</v>
      </c>
      <c r="G55">
        <f t="shared" si="7"/>
        <v>9.0549488888888874</v>
      </c>
      <c r="H55">
        <f t="shared" si="7"/>
        <v>8.9807438888888864</v>
      </c>
      <c r="I55">
        <f t="shared" si="7"/>
        <v>8.9065388888888872</v>
      </c>
      <c r="J55">
        <f t="shared" si="7"/>
        <v>8.8323338888888863</v>
      </c>
      <c r="K55">
        <f t="shared" si="7"/>
        <v>8.7581288888888871</v>
      </c>
      <c r="L55">
        <f t="shared" si="7"/>
        <v>8.6839238888888861</v>
      </c>
      <c r="M55">
        <f t="shared" si="7"/>
        <v>8.6097188888888869</v>
      </c>
      <c r="N55">
        <f t="shared" si="7"/>
        <v>8.535513888888886</v>
      </c>
      <c r="O55">
        <f t="shared" si="7"/>
        <v>8.4613088888888868</v>
      </c>
      <c r="P55">
        <f t="shared" si="7"/>
        <v>8.3871038888888876</v>
      </c>
      <c r="Q55">
        <f t="shared" si="7"/>
        <v>8.3128988888888866</v>
      </c>
      <c r="R55">
        <f t="shared" si="7"/>
        <v>8.2386938888888857</v>
      </c>
      <c r="S55">
        <f t="shared" si="7"/>
        <v>8.1644888888888865</v>
      </c>
      <c r="T55">
        <f t="shared" si="7"/>
        <v>8.0902838888888873</v>
      </c>
      <c r="U55">
        <f t="shared" si="8"/>
        <v>8.0160788888888863</v>
      </c>
      <c r="V55">
        <f t="shared" si="8"/>
        <v>7.9418738888888862</v>
      </c>
      <c r="W55">
        <f t="shared" si="8"/>
        <v>7.8676688888888862</v>
      </c>
      <c r="X55">
        <f t="shared" si="8"/>
        <v>7.7934638888888861</v>
      </c>
      <c r="Y55">
        <f t="shared" si="8"/>
        <v>7.719258888888886</v>
      </c>
      <c r="Z55">
        <f t="shared" si="8"/>
        <v>7.6450538888888859</v>
      </c>
      <c r="AA55">
        <f t="shared" si="8"/>
        <v>7.5708488888888859</v>
      </c>
      <c r="AB55">
        <f t="shared" si="8"/>
        <v>7.4966438888888858</v>
      </c>
      <c r="AC55">
        <f t="shared" si="8"/>
        <v>7.4224388888888857</v>
      </c>
      <c r="AD55">
        <f t="shared" si="6"/>
        <v>6.086748888888887</v>
      </c>
    </row>
    <row r="56" spans="2:30" x14ac:dyDescent="0.2">
      <c r="B56" s="7">
        <v>44624</v>
      </c>
      <c r="C56" s="8">
        <v>5.2694444444444448</v>
      </c>
      <c r="D56">
        <f t="shared" si="2"/>
        <v>8.5456194444444442</v>
      </c>
      <c r="E56">
        <f t="shared" si="4"/>
        <v>8.471414444444445</v>
      </c>
      <c r="F56">
        <f t="shared" si="4"/>
        <v>8.3972094444444458</v>
      </c>
      <c r="G56">
        <f t="shared" si="7"/>
        <v>8.3230044444444449</v>
      </c>
      <c r="H56">
        <f t="shared" si="7"/>
        <v>8.2487994444444457</v>
      </c>
      <c r="I56">
        <f t="shared" si="7"/>
        <v>8.1745944444444447</v>
      </c>
      <c r="J56">
        <f t="shared" si="7"/>
        <v>8.1003894444444455</v>
      </c>
      <c r="K56">
        <f t="shared" si="7"/>
        <v>8.0261844444444446</v>
      </c>
      <c r="L56">
        <f t="shared" si="7"/>
        <v>7.9519794444444454</v>
      </c>
      <c r="M56">
        <f t="shared" si="7"/>
        <v>7.8777744444444444</v>
      </c>
      <c r="N56">
        <f t="shared" si="7"/>
        <v>7.8035694444444452</v>
      </c>
      <c r="O56">
        <f t="shared" si="7"/>
        <v>7.7293644444444451</v>
      </c>
      <c r="P56">
        <f t="shared" si="7"/>
        <v>7.6551594444444451</v>
      </c>
      <c r="Q56">
        <f t="shared" si="7"/>
        <v>7.580954444444445</v>
      </c>
      <c r="R56">
        <f t="shared" si="7"/>
        <v>7.5067494444444449</v>
      </c>
      <c r="S56">
        <f t="shared" si="7"/>
        <v>7.4325444444444448</v>
      </c>
      <c r="T56">
        <f t="shared" si="7"/>
        <v>7.3583394444444448</v>
      </c>
      <c r="U56">
        <f t="shared" si="8"/>
        <v>7.2841344444444447</v>
      </c>
      <c r="V56">
        <f t="shared" si="8"/>
        <v>7.2099294444444446</v>
      </c>
      <c r="W56">
        <f t="shared" si="8"/>
        <v>7.1357244444444445</v>
      </c>
      <c r="X56">
        <f t="shared" si="8"/>
        <v>7.0615194444444445</v>
      </c>
      <c r="Y56">
        <f t="shared" si="8"/>
        <v>6.9873144444444444</v>
      </c>
      <c r="Z56">
        <f t="shared" si="8"/>
        <v>6.9131094444444443</v>
      </c>
      <c r="AA56">
        <f t="shared" si="8"/>
        <v>6.8389044444444442</v>
      </c>
      <c r="AB56">
        <f t="shared" si="8"/>
        <v>6.7646994444444442</v>
      </c>
      <c r="AC56">
        <f t="shared" si="8"/>
        <v>6.6904944444444441</v>
      </c>
      <c r="AD56">
        <f t="shared" si="6"/>
        <v>5.3548044444444454</v>
      </c>
    </row>
    <row r="57" spans="2:30" x14ac:dyDescent="0.2">
      <c r="B57" s="7">
        <v>44625</v>
      </c>
      <c r="C57" s="8">
        <v>4.9277777777777771</v>
      </c>
      <c r="D57">
        <f t="shared" si="2"/>
        <v>8.2039527777777774</v>
      </c>
      <c r="E57">
        <f t="shared" si="4"/>
        <v>8.1297477777777765</v>
      </c>
      <c r="F57">
        <f t="shared" si="4"/>
        <v>8.0555427777777773</v>
      </c>
      <c r="G57">
        <f t="shared" si="7"/>
        <v>7.9813377777777772</v>
      </c>
      <c r="H57">
        <f t="shared" si="7"/>
        <v>7.9071327777777771</v>
      </c>
      <c r="I57">
        <f t="shared" ref="G57:T75" si="9">(-1.4841*I$3+3.6472)+$C57</f>
        <v>7.8329277777777779</v>
      </c>
      <c r="J57">
        <f t="shared" si="9"/>
        <v>7.758722777777777</v>
      </c>
      <c r="K57">
        <f t="shared" si="9"/>
        <v>7.6845177777777778</v>
      </c>
      <c r="L57">
        <f t="shared" si="9"/>
        <v>7.6103127777777768</v>
      </c>
      <c r="M57">
        <f t="shared" si="9"/>
        <v>7.5361077777777776</v>
      </c>
      <c r="N57">
        <f t="shared" si="9"/>
        <v>7.4619027777777776</v>
      </c>
      <c r="O57">
        <f t="shared" si="9"/>
        <v>7.3876977777777775</v>
      </c>
      <c r="P57">
        <f t="shared" si="9"/>
        <v>7.3134927777777774</v>
      </c>
      <c r="Q57">
        <f t="shared" si="9"/>
        <v>7.2392877777777773</v>
      </c>
      <c r="R57">
        <f t="shared" si="9"/>
        <v>7.1650827777777772</v>
      </c>
      <c r="S57">
        <f t="shared" si="9"/>
        <v>7.0908777777777772</v>
      </c>
      <c r="T57">
        <f t="shared" si="9"/>
        <v>7.0166727777777771</v>
      </c>
      <c r="U57">
        <f t="shared" si="8"/>
        <v>6.942467777777777</v>
      </c>
      <c r="V57">
        <f t="shared" si="8"/>
        <v>6.8682627777777769</v>
      </c>
      <c r="W57">
        <f t="shared" si="8"/>
        <v>6.7940577777777769</v>
      </c>
      <c r="X57">
        <f t="shared" si="8"/>
        <v>6.7198527777777768</v>
      </c>
      <c r="Y57">
        <f t="shared" si="8"/>
        <v>6.6456477777777767</v>
      </c>
      <c r="Z57">
        <f t="shared" si="8"/>
        <v>6.5714427777777766</v>
      </c>
      <c r="AA57">
        <f t="shared" si="8"/>
        <v>6.4972377777777766</v>
      </c>
      <c r="AB57">
        <f t="shared" si="8"/>
        <v>6.4230327777777765</v>
      </c>
      <c r="AC57">
        <f t="shared" si="8"/>
        <v>6.3488277777777764</v>
      </c>
      <c r="AD57">
        <f t="shared" si="6"/>
        <v>5.0131377777777777</v>
      </c>
    </row>
    <row r="58" spans="2:30" x14ac:dyDescent="0.2">
      <c r="B58" s="7">
        <v>44626</v>
      </c>
      <c r="C58" s="8">
        <v>4.8767361111111107</v>
      </c>
      <c r="D58">
        <f t="shared" si="2"/>
        <v>8.152911111111111</v>
      </c>
      <c r="E58">
        <f t="shared" si="4"/>
        <v>8.07870611111111</v>
      </c>
      <c r="F58">
        <f t="shared" si="4"/>
        <v>8.0045011111111108</v>
      </c>
      <c r="G58">
        <f t="shared" si="9"/>
        <v>7.9302961111111108</v>
      </c>
      <c r="H58">
        <f t="shared" si="9"/>
        <v>7.8560911111111107</v>
      </c>
      <c r="I58">
        <f t="shared" si="9"/>
        <v>7.7818861111111115</v>
      </c>
      <c r="J58">
        <f t="shared" si="9"/>
        <v>7.7076811111111105</v>
      </c>
      <c r="K58">
        <f t="shared" si="9"/>
        <v>7.6334761111111114</v>
      </c>
      <c r="L58">
        <f t="shared" si="9"/>
        <v>7.5592711111111104</v>
      </c>
      <c r="M58">
        <f t="shared" si="9"/>
        <v>7.4850661111111112</v>
      </c>
      <c r="N58">
        <f t="shared" si="9"/>
        <v>7.4108611111111111</v>
      </c>
      <c r="O58">
        <f t="shared" si="9"/>
        <v>7.336656111111111</v>
      </c>
      <c r="P58">
        <f t="shared" si="9"/>
        <v>7.262451111111111</v>
      </c>
      <c r="Q58">
        <f t="shared" si="9"/>
        <v>7.1882461111111109</v>
      </c>
      <c r="R58">
        <f t="shared" si="9"/>
        <v>7.1140411111111108</v>
      </c>
      <c r="S58">
        <f t="shared" si="9"/>
        <v>7.0398361111111107</v>
      </c>
      <c r="T58">
        <f t="shared" si="9"/>
        <v>6.9656311111111107</v>
      </c>
      <c r="U58">
        <f t="shared" si="8"/>
        <v>6.8914261111111106</v>
      </c>
      <c r="V58">
        <f t="shared" si="8"/>
        <v>6.8172211111111105</v>
      </c>
      <c r="W58">
        <f t="shared" si="8"/>
        <v>6.7430161111111104</v>
      </c>
      <c r="X58">
        <f t="shared" si="8"/>
        <v>6.6688111111111104</v>
      </c>
      <c r="Y58">
        <f t="shared" si="8"/>
        <v>6.5946061111111103</v>
      </c>
      <c r="Z58">
        <f t="shared" si="8"/>
        <v>6.5204011111111102</v>
      </c>
      <c r="AA58">
        <f t="shared" si="8"/>
        <v>6.4461961111111101</v>
      </c>
      <c r="AB58">
        <f t="shared" si="8"/>
        <v>6.3719911111111101</v>
      </c>
      <c r="AC58">
        <f t="shared" si="8"/>
        <v>6.29778611111111</v>
      </c>
      <c r="AD58">
        <f t="shared" si="6"/>
        <v>4.9620961111111113</v>
      </c>
    </row>
    <row r="59" spans="2:30" x14ac:dyDescent="0.2">
      <c r="B59" s="7">
        <v>44627</v>
      </c>
      <c r="C59" s="8">
        <v>5.6444444444444439</v>
      </c>
      <c r="D59">
        <f t="shared" si="2"/>
        <v>8.9206194444444442</v>
      </c>
      <c r="E59">
        <f t="shared" si="4"/>
        <v>8.846414444444445</v>
      </c>
      <c r="F59">
        <f t="shared" si="4"/>
        <v>8.7722094444444441</v>
      </c>
      <c r="G59">
        <f t="shared" si="9"/>
        <v>8.6980044444444431</v>
      </c>
      <c r="H59">
        <f t="shared" si="9"/>
        <v>8.6237994444444439</v>
      </c>
      <c r="I59">
        <f t="shared" si="9"/>
        <v>8.5495944444444447</v>
      </c>
      <c r="J59">
        <f t="shared" si="9"/>
        <v>8.4753894444444438</v>
      </c>
      <c r="K59">
        <f t="shared" si="9"/>
        <v>8.4011844444444446</v>
      </c>
      <c r="L59">
        <f t="shared" si="9"/>
        <v>8.3269794444444436</v>
      </c>
      <c r="M59">
        <f t="shared" si="9"/>
        <v>8.2527744444444444</v>
      </c>
      <c r="N59">
        <f t="shared" si="9"/>
        <v>8.1785694444444452</v>
      </c>
      <c r="O59">
        <f t="shared" si="9"/>
        <v>8.1043644444444443</v>
      </c>
      <c r="P59">
        <f t="shared" si="9"/>
        <v>8.0301594444444433</v>
      </c>
      <c r="Q59">
        <f t="shared" si="9"/>
        <v>7.9559544444444441</v>
      </c>
      <c r="R59">
        <f t="shared" si="9"/>
        <v>7.881749444444444</v>
      </c>
      <c r="S59">
        <f t="shared" si="9"/>
        <v>7.807544444444444</v>
      </c>
      <c r="T59">
        <f t="shared" si="9"/>
        <v>7.7333394444444439</v>
      </c>
      <c r="U59">
        <f t="shared" si="8"/>
        <v>7.6591344444444438</v>
      </c>
      <c r="V59">
        <f t="shared" si="8"/>
        <v>7.5849294444444437</v>
      </c>
      <c r="W59">
        <f t="shared" si="8"/>
        <v>7.5107244444444436</v>
      </c>
      <c r="X59">
        <f t="shared" si="8"/>
        <v>7.4365194444444436</v>
      </c>
      <c r="Y59">
        <f t="shared" si="8"/>
        <v>7.3623144444444435</v>
      </c>
      <c r="Z59">
        <f t="shared" si="8"/>
        <v>7.2881094444444434</v>
      </c>
      <c r="AA59">
        <f t="shared" si="8"/>
        <v>7.2139044444444433</v>
      </c>
      <c r="AB59">
        <f t="shared" si="8"/>
        <v>7.1396994444444433</v>
      </c>
      <c r="AC59">
        <f t="shared" si="8"/>
        <v>7.0654944444444432</v>
      </c>
      <c r="AD59">
        <f t="shared" si="6"/>
        <v>5.7298044444444445</v>
      </c>
    </row>
    <row r="60" spans="2:30" x14ac:dyDescent="0.2">
      <c r="B60" s="7">
        <v>44628</v>
      </c>
      <c r="C60" s="8">
        <v>4.5704861111111095</v>
      </c>
      <c r="D60">
        <f t="shared" si="2"/>
        <v>7.8466611111111098</v>
      </c>
      <c r="E60">
        <f t="shared" si="4"/>
        <v>7.7724561111111097</v>
      </c>
      <c r="F60">
        <f t="shared" si="4"/>
        <v>7.6982511111111096</v>
      </c>
      <c r="G60">
        <f t="shared" si="9"/>
        <v>7.6240461111111095</v>
      </c>
      <c r="H60">
        <f t="shared" si="9"/>
        <v>7.5498411111111103</v>
      </c>
      <c r="I60">
        <f t="shared" si="9"/>
        <v>7.4756361111111094</v>
      </c>
      <c r="J60">
        <f t="shared" si="9"/>
        <v>7.4014311111111102</v>
      </c>
      <c r="K60">
        <f t="shared" si="9"/>
        <v>7.3272261111111092</v>
      </c>
      <c r="L60">
        <f t="shared" si="9"/>
        <v>7.25302111111111</v>
      </c>
      <c r="M60">
        <f t="shared" si="9"/>
        <v>7.1788161111111091</v>
      </c>
      <c r="N60">
        <f t="shared" si="9"/>
        <v>7.1046111111111099</v>
      </c>
      <c r="O60">
        <f t="shared" si="9"/>
        <v>7.0304061111111098</v>
      </c>
      <c r="P60">
        <f t="shared" si="9"/>
        <v>6.9562011111111097</v>
      </c>
      <c r="Q60">
        <f t="shared" si="9"/>
        <v>6.8819961111111096</v>
      </c>
      <c r="R60">
        <f t="shared" si="9"/>
        <v>6.8077911111111096</v>
      </c>
      <c r="S60">
        <f t="shared" si="9"/>
        <v>6.7335861111111095</v>
      </c>
      <c r="T60">
        <f t="shared" si="9"/>
        <v>6.6593811111111094</v>
      </c>
      <c r="U60">
        <f t="shared" si="8"/>
        <v>6.5851761111111093</v>
      </c>
      <c r="V60">
        <f t="shared" si="8"/>
        <v>6.5109711111111093</v>
      </c>
      <c r="W60">
        <f t="shared" si="8"/>
        <v>6.4367661111111092</v>
      </c>
      <c r="X60">
        <f t="shared" si="8"/>
        <v>6.3625611111111091</v>
      </c>
      <c r="Y60">
        <f t="shared" si="8"/>
        <v>6.288356111111109</v>
      </c>
      <c r="Z60">
        <f t="shared" si="8"/>
        <v>6.214151111111109</v>
      </c>
      <c r="AA60">
        <f t="shared" si="8"/>
        <v>6.1399461111111089</v>
      </c>
      <c r="AB60">
        <f t="shared" si="8"/>
        <v>6.0657411111111088</v>
      </c>
      <c r="AC60">
        <f t="shared" si="8"/>
        <v>5.9915361111111087</v>
      </c>
      <c r="AD60">
        <f t="shared" si="6"/>
        <v>4.65584611111111</v>
      </c>
    </row>
    <row r="61" spans="2:30" x14ac:dyDescent="0.2">
      <c r="B61" s="7">
        <v>44629</v>
      </c>
      <c r="C61" s="8">
        <v>5.9659722222222236</v>
      </c>
      <c r="D61">
        <f t="shared" si="2"/>
        <v>9.2421472222222238</v>
      </c>
      <c r="E61">
        <f t="shared" si="4"/>
        <v>9.1679422222222229</v>
      </c>
      <c r="F61">
        <f t="shared" si="4"/>
        <v>9.0937372222222237</v>
      </c>
      <c r="G61">
        <f t="shared" si="9"/>
        <v>9.0195322222222245</v>
      </c>
      <c r="H61">
        <f t="shared" si="9"/>
        <v>8.9453272222222235</v>
      </c>
      <c r="I61">
        <f t="shared" si="9"/>
        <v>8.8711222222222244</v>
      </c>
      <c r="J61">
        <f t="shared" si="9"/>
        <v>8.7969172222222234</v>
      </c>
      <c r="K61">
        <f t="shared" si="9"/>
        <v>8.7227122222222242</v>
      </c>
      <c r="L61">
        <f t="shared" si="9"/>
        <v>8.6485072222222232</v>
      </c>
      <c r="M61">
        <f t="shared" si="9"/>
        <v>8.574302222222224</v>
      </c>
      <c r="N61">
        <f t="shared" si="9"/>
        <v>8.5000972222222231</v>
      </c>
      <c r="O61">
        <f t="shared" si="9"/>
        <v>8.4258922222222239</v>
      </c>
      <c r="P61">
        <f t="shared" si="9"/>
        <v>8.3516872222222247</v>
      </c>
      <c r="Q61">
        <f t="shared" si="9"/>
        <v>8.2774822222222237</v>
      </c>
      <c r="R61">
        <f t="shared" si="9"/>
        <v>8.2032772222222228</v>
      </c>
      <c r="S61">
        <f t="shared" si="9"/>
        <v>8.1290722222222236</v>
      </c>
      <c r="T61">
        <f t="shared" si="9"/>
        <v>8.0548672222222244</v>
      </c>
      <c r="U61">
        <f t="shared" si="8"/>
        <v>7.9806622222222234</v>
      </c>
      <c r="V61">
        <f t="shared" si="8"/>
        <v>7.9064572222222234</v>
      </c>
      <c r="W61">
        <f t="shared" si="8"/>
        <v>7.8322522222222233</v>
      </c>
      <c r="X61">
        <f t="shared" si="8"/>
        <v>7.7580472222222232</v>
      </c>
      <c r="Y61">
        <f t="shared" si="8"/>
        <v>7.6838422222222231</v>
      </c>
      <c r="Z61">
        <f t="shared" si="8"/>
        <v>7.6096372222222231</v>
      </c>
      <c r="AA61">
        <f t="shared" si="8"/>
        <v>7.535432222222223</v>
      </c>
      <c r="AB61">
        <f t="shared" si="8"/>
        <v>7.4612272222222229</v>
      </c>
      <c r="AC61">
        <f t="shared" si="8"/>
        <v>7.3870222222222228</v>
      </c>
      <c r="AD61">
        <f t="shared" si="6"/>
        <v>6.0513322222222241</v>
      </c>
    </row>
    <row r="62" spans="2:30" x14ac:dyDescent="0.2">
      <c r="B62" s="7">
        <v>44630</v>
      </c>
      <c r="C62" s="8">
        <v>7.680208333333332</v>
      </c>
      <c r="D62">
        <f t="shared" si="2"/>
        <v>10.956383333333331</v>
      </c>
      <c r="E62">
        <f t="shared" si="4"/>
        <v>10.882178333333332</v>
      </c>
      <c r="F62">
        <f t="shared" si="4"/>
        <v>10.807973333333333</v>
      </c>
      <c r="G62">
        <f t="shared" si="9"/>
        <v>10.733768333333332</v>
      </c>
      <c r="H62">
        <f t="shared" si="9"/>
        <v>10.659563333333333</v>
      </c>
      <c r="I62">
        <f t="shared" si="9"/>
        <v>10.585358333333332</v>
      </c>
      <c r="J62">
        <f t="shared" si="9"/>
        <v>10.511153333333333</v>
      </c>
      <c r="K62">
        <f t="shared" si="9"/>
        <v>10.436948333333332</v>
      </c>
      <c r="L62">
        <f t="shared" si="9"/>
        <v>10.362743333333333</v>
      </c>
      <c r="M62">
        <f t="shared" si="9"/>
        <v>10.288538333333332</v>
      </c>
      <c r="N62">
        <f t="shared" si="9"/>
        <v>10.214333333333332</v>
      </c>
      <c r="O62">
        <f t="shared" si="9"/>
        <v>10.140128333333333</v>
      </c>
      <c r="P62">
        <f t="shared" si="9"/>
        <v>10.065923333333332</v>
      </c>
      <c r="Q62">
        <f t="shared" si="9"/>
        <v>9.9917183333333313</v>
      </c>
      <c r="R62">
        <f t="shared" si="9"/>
        <v>9.9175133333333321</v>
      </c>
      <c r="S62">
        <f t="shared" si="9"/>
        <v>9.8433083333333329</v>
      </c>
      <c r="T62">
        <f t="shared" si="9"/>
        <v>9.7691033333333319</v>
      </c>
      <c r="U62">
        <f t="shared" si="8"/>
        <v>9.694898333333331</v>
      </c>
      <c r="V62">
        <f t="shared" si="8"/>
        <v>9.6206933333333318</v>
      </c>
      <c r="W62">
        <f t="shared" si="8"/>
        <v>9.5464883333333326</v>
      </c>
      <c r="X62">
        <f t="shared" si="8"/>
        <v>9.4722833333333316</v>
      </c>
      <c r="Y62">
        <f t="shared" si="8"/>
        <v>9.3980783333333306</v>
      </c>
      <c r="Z62">
        <f t="shared" si="8"/>
        <v>9.3238733333333315</v>
      </c>
      <c r="AA62">
        <f t="shared" si="8"/>
        <v>9.2496683333333323</v>
      </c>
      <c r="AB62">
        <f t="shared" si="8"/>
        <v>9.1754633333333313</v>
      </c>
      <c r="AC62">
        <f t="shared" si="8"/>
        <v>9.1012583333333303</v>
      </c>
      <c r="AD62">
        <f t="shared" si="6"/>
        <v>7.7655683333333325</v>
      </c>
    </row>
    <row r="63" spans="2:30" x14ac:dyDescent="0.2">
      <c r="B63" s="7">
        <v>44631</v>
      </c>
      <c r="C63" s="8">
        <v>7.486805555555553</v>
      </c>
      <c r="D63">
        <f t="shared" si="2"/>
        <v>10.762980555555554</v>
      </c>
      <c r="E63">
        <f t="shared" si="4"/>
        <v>10.688775555555553</v>
      </c>
      <c r="F63">
        <f t="shared" si="4"/>
        <v>10.614570555555552</v>
      </c>
      <c r="G63">
        <f t="shared" si="9"/>
        <v>10.540365555555553</v>
      </c>
      <c r="H63">
        <f t="shared" si="9"/>
        <v>10.466160555555554</v>
      </c>
      <c r="I63">
        <f t="shared" si="9"/>
        <v>10.391955555555553</v>
      </c>
      <c r="J63">
        <f t="shared" si="9"/>
        <v>10.317750555555554</v>
      </c>
      <c r="K63">
        <f t="shared" si="9"/>
        <v>10.243545555555553</v>
      </c>
      <c r="L63">
        <f t="shared" si="9"/>
        <v>10.169340555555554</v>
      </c>
      <c r="M63">
        <f t="shared" si="9"/>
        <v>10.095135555555553</v>
      </c>
      <c r="N63">
        <f t="shared" si="9"/>
        <v>10.020930555555553</v>
      </c>
      <c r="O63">
        <f t="shared" si="9"/>
        <v>9.9467255555555525</v>
      </c>
      <c r="P63">
        <f t="shared" si="9"/>
        <v>9.8725205555555533</v>
      </c>
      <c r="Q63">
        <f t="shared" si="9"/>
        <v>9.7983155555555541</v>
      </c>
      <c r="R63">
        <f t="shared" si="9"/>
        <v>9.7241105555555531</v>
      </c>
      <c r="S63">
        <f t="shared" si="9"/>
        <v>9.6499055555555522</v>
      </c>
      <c r="T63">
        <f t="shared" si="9"/>
        <v>9.575700555555553</v>
      </c>
      <c r="U63">
        <f t="shared" si="8"/>
        <v>9.5014955555555538</v>
      </c>
      <c r="V63">
        <f t="shared" si="8"/>
        <v>9.4272905555555528</v>
      </c>
      <c r="W63">
        <f t="shared" si="8"/>
        <v>9.3530855555555519</v>
      </c>
      <c r="X63">
        <f t="shared" si="8"/>
        <v>9.2788805555555527</v>
      </c>
      <c r="Y63">
        <f t="shared" si="8"/>
        <v>9.2046755555555535</v>
      </c>
      <c r="Z63">
        <f t="shared" si="8"/>
        <v>9.1304705555555525</v>
      </c>
      <c r="AA63">
        <f t="shared" si="8"/>
        <v>9.0562655555555516</v>
      </c>
      <c r="AB63">
        <f t="shared" si="8"/>
        <v>8.9820605555555524</v>
      </c>
      <c r="AC63">
        <f t="shared" si="8"/>
        <v>8.9078555555555532</v>
      </c>
      <c r="AD63">
        <f t="shared" si="6"/>
        <v>7.5721655555555536</v>
      </c>
    </row>
    <row r="64" spans="2:30" x14ac:dyDescent="0.2">
      <c r="B64" s="7">
        <v>44632</v>
      </c>
      <c r="C64" s="8">
        <v>8.9041666666666615</v>
      </c>
      <c r="D64">
        <f t="shared" si="2"/>
        <v>12.180341666666662</v>
      </c>
      <c r="E64">
        <f t="shared" si="4"/>
        <v>12.106136666666661</v>
      </c>
      <c r="F64">
        <f t="shared" si="4"/>
        <v>12.031931666666662</v>
      </c>
      <c r="G64">
        <f t="shared" si="9"/>
        <v>11.957726666666662</v>
      </c>
      <c r="H64">
        <f t="shared" si="9"/>
        <v>11.883521666666661</v>
      </c>
      <c r="I64">
        <f t="shared" si="9"/>
        <v>11.809316666666662</v>
      </c>
      <c r="J64">
        <f t="shared" si="9"/>
        <v>11.735111666666661</v>
      </c>
      <c r="K64">
        <f t="shared" si="9"/>
        <v>11.660906666666662</v>
      </c>
      <c r="L64">
        <f t="shared" si="9"/>
        <v>11.586701666666661</v>
      </c>
      <c r="M64">
        <f t="shared" si="9"/>
        <v>11.512496666666662</v>
      </c>
      <c r="N64">
        <f t="shared" si="9"/>
        <v>11.438291666666661</v>
      </c>
      <c r="O64">
        <f t="shared" si="9"/>
        <v>11.364086666666662</v>
      </c>
      <c r="P64">
        <f t="shared" si="9"/>
        <v>11.289881666666663</v>
      </c>
      <c r="Q64">
        <f t="shared" si="9"/>
        <v>11.215676666666662</v>
      </c>
      <c r="R64">
        <f t="shared" si="9"/>
        <v>11.141471666666661</v>
      </c>
      <c r="S64">
        <f t="shared" si="9"/>
        <v>11.067266666666661</v>
      </c>
      <c r="T64">
        <f t="shared" si="9"/>
        <v>10.993061666666662</v>
      </c>
      <c r="U64">
        <f t="shared" si="8"/>
        <v>10.918856666666661</v>
      </c>
      <c r="V64">
        <f t="shared" si="8"/>
        <v>10.84465166666666</v>
      </c>
      <c r="W64">
        <f t="shared" si="8"/>
        <v>10.770446666666661</v>
      </c>
      <c r="X64">
        <f t="shared" si="8"/>
        <v>10.696241666666662</v>
      </c>
      <c r="Y64">
        <f t="shared" si="8"/>
        <v>10.622036666666661</v>
      </c>
      <c r="Z64">
        <f t="shared" si="8"/>
        <v>10.54783166666666</v>
      </c>
      <c r="AA64">
        <f t="shared" si="8"/>
        <v>10.473626666666661</v>
      </c>
      <c r="AB64">
        <f t="shared" si="8"/>
        <v>10.399421666666662</v>
      </c>
      <c r="AC64">
        <f t="shared" si="8"/>
        <v>10.325216666666661</v>
      </c>
      <c r="AD64">
        <f t="shared" si="6"/>
        <v>8.9895266666666629</v>
      </c>
    </row>
    <row r="65" spans="2:30" x14ac:dyDescent="0.2">
      <c r="B65" s="7">
        <v>44633</v>
      </c>
      <c r="C65" s="8">
        <v>10.572916666666664</v>
      </c>
      <c r="D65">
        <f t="shared" si="2"/>
        <v>13.849091666666665</v>
      </c>
      <c r="E65">
        <f t="shared" si="4"/>
        <v>13.774886666666664</v>
      </c>
      <c r="F65">
        <f t="shared" si="4"/>
        <v>13.700681666666664</v>
      </c>
      <c r="G65">
        <f t="shared" si="9"/>
        <v>13.626476666666665</v>
      </c>
      <c r="H65">
        <f t="shared" si="9"/>
        <v>13.552271666666664</v>
      </c>
      <c r="I65">
        <f t="shared" si="9"/>
        <v>13.478066666666665</v>
      </c>
      <c r="J65">
        <f t="shared" si="9"/>
        <v>13.403861666666664</v>
      </c>
      <c r="K65">
        <f t="shared" si="9"/>
        <v>13.329656666666665</v>
      </c>
      <c r="L65">
        <f t="shared" si="9"/>
        <v>13.255451666666664</v>
      </c>
      <c r="M65">
        <f t="shared" si="9"/>
        <v>13.181246666666665</v>
      </c>
      <c r="N65">
        <f t="shared" si="9"/>
        <v>13.107041666666664</v>
      </c>
      <c r="O65">
        <f t="shared" si="9"/>
        <v>13.032836666666665</v>
      </c>
      <c r="P65">
        <f t="shared" si="9"/>
        <v>12.958631666666665</v>
      </c>
      <c r="Q65">
        <f t="shared" si="9"/>
        <v>12.884426666666664</v>
      </c>
      <c r="R65">
        <f t="shared" si="9"/>
        <v>12.810221666666664</v>
      </c>
      <c r="S65">
        <f t="shared" si="9"/>
        <v>12.736016666666664</v>
      </c>
      <c r="T65">
        <f t="shared" si="9"/>
        <v>12.661811666666665</v>
      </c>
      <c r="U65">
        <f t="shared" si="8"/>
        <v>12.587606666666664</v>
      </c>
      <c r="V65">
        <f t="shared" si="8"/>
        <v>12.513401666666663</v>
      </c>
      <c r="W65">
        <f t="shared" si="8"/>
        <v>12.439196666666664</v>
      </c>
      <c r="X65">
        <f t="shared" si="8"/>
        <v>12.364991666666665</v>
      </c>
      <c r="Y65">
        <f t="shared" si="8"/>
        <v>12.290786666666664</v>
      </c>
      <c r="Z65">
        <f t="shared" si="8"/>
        <v>12.216581666666663</v>
      </c>
      <c r="AA65">
        <f t="shared" si="8"/>
        <v>12.142376666666664</v>
      </c>
      <c r="AB65">
        <f t="shared" si="8"/>
        <v>12.068171666666665</v>
      </c>
      <c r="AC65">
        <f t="shared" si="8"/>
        <v>11.993966666666664</v>
      </c>
      <c r="AD65">
        <f t="shared" si="6"/>
        <v>10.658276666666666</v>
      </c>
    </row>
    <row r="66" spans="2:30" x14ac:dyDescent="0.2">
      <c r="B66" s="7">
        <v>44634</v>
      </c>
      <c r="C66" s="8">
        <v>10.977777777777776</v>
      </c>
      <c r="D66">
        <f t="shared" si="2"/>
        <v>14.253952777777776</v>
      </c>
      <c r="E66">
        <f t="shared" si="4"/>
        <v>14.179747777777777</v>
      </c>
      <c r="F66">
        <f t="shared" si="4"/>
        <v>14.105542777777776</v>
      </c>
      <c r="G66">
        <f t="shared" si="9"/>
        <v>14.031337777777775</v>
      </c>
      <c r="H66">
        <f t="shared" si="9"/>
        <v>13.957132777777776</v>
      </c>
      <c r="I66">
        <f t="shared" si="9"/>
        <v>13.882927777777777</v>
      </c>
      <c r="J66">
        <f t="shared" si="9"/>
        <v>13.808722777777776</v>
      </c>
      <c r="K66">
        <f t="shared" si="9"/>
        <v>13.734517777777777</v>
      </c>
      <c r="L66">
        <f t="shared" si="9"/>
        <v>13.660312777777776</v>
      </c>
      <c r="M66">
        <f t="shared" si="9"/>
        <v>13.586107777777777</v>
      </c>
      <c r="N66">
        <f t="shared" si="9"/>
        <v>13.511902777777777</v>
      </c>
      <c r="O66">
        <f t="shared" si="9"/>
        <v>13.437697777777776</v>
      </c>
      <c r="P66">
        <f t="shared" si="9"/>
        <v>13.363492777777775</v>
      </c>
      <c r="Q66">
        <f t="shared" si="9"/>
        <v>13.289287777777776</v>
      </c>
      <c r="R66">
        <f t="shared" si="9"/>
        <v>13.215082777777777</v>
      </c>
      <c r="S66">
        <f t="shared" si="9"/>
        <v>13.140877777777776</v>
      </c>
      <c r="T66">
        <f t="shared" si="9"/>
        <v>13.066672777777775</v>
      </c>
      <c r="U66">
        <f t="shared" si="8"/>
        <v>12.992467777777776</v>
      </c>
      <c r="V66">
        <f t="shared" si="8"/>
        <v>12.918262777777777</v>
      </c>
      <c r="W66">
        <f t="shared" si="8"/>
        <v>12.844057777777776</v>
      </c>
      <c r="X66">
        <f t="shared" si="8"/>
        <v>12.769852777777775</v>
      </c>
      <c r="Y66">
        <f t="shared" si="8"/>
        <v>12.695647777777776</v>
      </c>
      <c r="Z66">
        <f t="shared" si="8"/>
        <v>12.621442777777776</v>
      </c>
      <c r="AA66">
        <f t="shared" si="8"/>
        <v>12.547237777777775</v>
      </c>
      <c r="AB66">
        <f t="shared" si="8"/>
        <v>12.473032777777775</v>
      </c>
      <c r="AC66">
        <f t="shared" si="8"/>
        <v>12.398827777777775</v>
      </c>
      <c r="AD66">
        <f t="shared" si="6"/>
        <v>11.063137777777776</v>
      </c>
    </row>
    <row r="67" spans="2:30" x14ac:dyDescent="0.2">
      <c r="B67" s="7">
        <v>44635</v>
      </c>
      <c r="C67" s="8">
        <v>11.18541666666666</v>
      </c>
      <c r="D67">
        <f t="shared" si="2"/>
        <v>14.46159166666666</v>
      </c>
      <c r="E67">
        <f t="shared" si="4"/>
        <v>14.387386666666661</v>
      </c>
      <c r="F67">
        <f t="shared" si="4"/>
        <v>14.31318166666666</v>
      </c>
      <c r="G67">
        <f t="shared" si="9"/>
        <v>14.238976666666659</v>
      </c>
      <c r="H67">
        <f t="shared" si="9"/>
        <v>14.16477166666666</v>
      </c>
      <c r="I67">
        <f t="shared" si="9"/>
        <v>14.09056666666666</v>
      </c>
      <c r="J67">
        <f t="shared" si="9"/>
        <v>14.01636166666666</v>
      </c>
      <c r="K67">
        <f t="shared" si="9"/>
        <v>13.94215666666666</v>
      </c>
      <c r="L67">
        <f t="shared" si="9"/>
        <v>13.867951666666659</v>
      </c>
      <c r="M67">
        <f t="shared" si="9"/>
        <v>13.79374666666666</v>
      </c>
      <c r="N67">
        <f t="shared" si="9"/>
        <v>13.719541666666661</v>
      </c>
      <c r="O67">
        <f t="shared" si="9"/>
        <v>13.64533666666666</v>
      </c>
      <c r="P67">
        <f t="shared" si="9"/>
        <v>13.571131666666659</v>
      </c>
      <c r="Q67">
        <f t="shared" si="9"/>
        <v>13.49692666666666</v>
      </c>
      <c r="R67">
        <f t="shared" si="9"/>
        <v>13.422721666666661</v>
      </c>
      <c r="S67">
        <f t="shared" si="9"/>
        <v>13.34851666666666</v>
      </c>
      <c r="T67">
        <f t="shared" si="9"/>
        <v>13.274311666666659</v>
      </c>
      <c r="U67">
        <f t="shared" si="8"/>
        <v>13.20010666666666</v>
      </c>
      <c r="V67">
        <f t="shared" si="8"/>
        <v>13.12590166666666</v>
      </c>
      <c r="W67">
        <f t="shared" si="8"/>
        <v>13.051696666666659</v>
      </c>
      <c r="X67">
        <f t="shared" si="8"/>
        <v>12.977491666666658</v>
      </c>
      <c r="Y67">
        <f t="shared" si="8"/>
        <v>12.903286666666659</v>
      </c>
      <c r="Z67">
        <f t="shared" si="8"/>
        <v>12.82908166666666</v>
      </c>
      <c r="AA67">
        <f t="shared" si="8"/>
        <v>12.754876666666659</v>
      </c>
      <c r="AB67">
        <f t="shared" si="8"/>
        <v>12.680671666666658</v>
      </c>
      <c r="AC67">
        <f t="shared" si="8"/>
        <v>12.606466666666659</v>
      </c>
      <c r="AD67">
        <f t="shared" si="6"/>
        <v>11.270776666666659</v>
      </c>
    </row>
    <row r="68" spans="2:30" x14ac:dyDescent="0.2">
      <c r="B68" s="7">
        <v>44636</v>
      </c>
      <c r="C68" s="8">
        <v>9.8968749999999925</v>
      </c>
      <c r="D68">
        <f t="shared" si="2"/>
        <v>13.173049999999993</v>
      </c>
      <c r="E68">
        <f t="shared" si="4"/>
        <v>13.098844999999994</v>
      </c>
      <c r="F68">
        <f t="shared" si="4"/>
        <v>13.024639999999993</v>
      </c>
      <c r="G68">
        <f t="shared" si="9"/>
        <v>12.950434999999992</v>
      </c>
      <c r="H68">
        <f t="shared" si="9"/>
        <v>12.876229999999993</v>
      </c>
      <c r="I68">
        <f t="shared" si="9"/>
        <v>12.802024999999993</v>
      </c>
      <c r="J68">
        <f t="shared" si="9"/>
        <v>12.727819999999992</v>
      </c>
      <c r="K68">
        <f t="shared" si="9"/>
        <v>12.653614999999993</v>
      </c>
      <c r="L68">
        <f t="shared" si="9"/>
        <v>12.579409999999992</v>
      </c>
      <c r="M68">
        <f t="shared" si="9"/>
        <v>12.505204999999993</v>
      </c>
      <c r="N68">
        <f t="shared" si="9"/>
        <v>12.430999999999994</v>
      </c>
      <c r="O68">
        <f t="shared" si="9"/>
        <v>12.356794999999993</v>
      </c>
      <c r="P68">
        <f t="shared" si="9"/>
        <v>12.282589999999992</v>
      </c>
      <c r="Q68">
        <f t="shared" si="9"/>
        <v>12.208384999999993</v>
      </c>
      <c r="R68">
        <f t="shared" si="9"/>
        <v>12.134179999999994</v>
      </c>
      <c r="S68">
        <f t="shared" si="9"/>
        <v>12.059974999999993</v>
      </c>
      <c r="T68">
        <f t="shared" si="9"/>
        <v>11.985769999999992</v>
      </c>
      <c r="U68">
        <f t="shared" si="8"/>
        <v>11.911564999999992</v>
      </c>
      <c r="V68">
        <f t="shared" si="8"/>
        <v>11.837359999999993</v>
      </c>
      <c r="W68">
        <f t="shared" si="8"/>
        <v>11.763154999999992</v>
      </c>
      <c r="X68">
        <f t="shared" si="8"/>
        <v>11.688949999999991</v>
      </c>
      <c r="Y68">
        <f t="shared" si="8"/>
        <v>11.614744999999992</v>
      </c>
      <c r="Z68">
        <f t="shared" si="8"/>
        <v>11.540539999999993</v>
      </c>
      <c r="AA68">
        <f t="shared" si="8"/>
        <v>11.466334999999992</v>
      </c>
      <c r="AB68">
        <f t="shared" si="8"/>
        <v>11.392129999999991</v>
      </c>
      <c r="AC68">
        <f t="shared" si="8"/>
        <v>11.317924999999992</v>
      </c>
      <c r="AD68">
        <f t="shared" si="6"/>
        <v>9.9822349999999922</v>
      </c>
    </row>
    <row r="69" spans="2:30" x14ac:dyDescent="0.2">
      <c r="B69" s="7">
        <v>44637</v>
      </c>
      <c r="C69" s="8">
        <v>10.389583333333327</v>
      </c>
      <c r="D69">
        <f t="shared" si="2"/>
        <v>13.665758333333327</v>
      </c>
      <c r="E69">
        <f t="shared" si="4"/>
        <v>13.591553333333326</v>
      </c>
      <c r="F69">
        <f t="shared" si="4"/>
        <v>13.517348333333327</v>
      </c>
      <c r="G69">
        <f t="shared" si="9"/>
        <v>13.443143333333328</v>
      </c>
      <c r="H69">
        <f t="shared" si="9"/>
        <v>13.368938333333327</v>
      </c>
      <c r="I69">
        <f t="shared" si="9"/>
        <v>13.294733333333328</v>
      </c>
      <c r="J69">
        <f t="shared" si="9"/>
        <v>13.220528333333327</v>
      </c>
      <c r="K69">
        <f t="shared" si="9"/>
        <v>13.146323333333328</v>
      </c>
      <c r="L69">
        <f t="shared" si="9"/>
        <v>13.072118333333327</v>
      </c>
      <c r="M69">
        <f t="shared" si="9"/>
        <v>12.997913333333328</v>
      </c>
      <c r="N69">
        <f t="shared" si="9"/>
        <v>12.923708333333327</v>
      </c>
      <c r="O69">
        <f t="shared" si="9"/>
        <v>12.849503333333328</v>
      </c>
      <c r="P69">
        <f t="shared" si="9"/>
        <v>12.775298333333328</v>
      </c>
      <c r="Q69">
        <f t="shared" si="9"/>
        <v>12.701093333333327</v>
      </c>
      <c r="R69">
        <f t="shared" si="9"/>
        <v>12.626888333333326</v>
      </c>
      <c r="S69">
        <f t="shared" si="9"/>
        <v>12.552683333333327</v>
      </c>
      <c r="T69">
        <f t="shared" si="9"/>
        <v>12.478478333333328</v>
      </c>
      <c r="U69">
        <f t="shared" si="8"/>
        <v>12.404273333333327</v>
      </c>
      <c r="V69">
        <f t="shared" si="8"/>
        <v>12.330068333333326</v>
      </c>
      <c r="W69">
        <f t="shared" si="8"/>
        <v>12.255863333333327</v>
      </c>
      <c r="X69">
        <f t="shared" si="8"/>
        <v>12.181658333333328</v>
      </c>
      <c r="Y69">
        <f t="shared" si="8"/>
        <v>12.107453333333327</v>
      </c>
      <c r="Z69">
        <f t="shared" si="8"/>
        <v>12.033248333333326</v>
      </c>
      <c r="AA69">
        <f t="shared" si="8"/>
        <v>11.959043333333327</v>
      </c>
      <c r="AB69">
        <f t="shared" si="8"/>
        <v>11.884838333333327</v>
      </c>
      <c r="AC69">
        <f t="shared" si="8"/>
        <v>11.810633333333326</v>
      </c>
      <c r="AD69">
        <f t="shared" si="6"/>
        <v>10.474943333333329</v>
      </c>
    </row>
    <row r="70" spans="2:30" x14ac:dyDescent="0.2">
      <c r="B70" s="7">
        <v>44638</v>
      </c>
      <c r="C70" s="8">
        <v>10.647222222222222</v>
      </c>
      <c r="D70">
        <f t="shared" ref="D70:D133" si="10">(-1.4841*D$3+3.6472)+C70</f>
        <v>13.923397222222222</v>
      </c>
      <c r="E70">
        <f t="shared" si="4"/>
        <v>13.849192222222221</v>
      </c>
      <c r="F70">
        <f t="shared" si="4"/>
        <v>13.774987222222222</v>
      </c>
      <c r="G70">
        <f t="shared" si="9"/>
        <v>13.700782222222223</v>
      </c>
      <c r="H70">
        <f t="shared" si="9"/>
        <v>13.626577222222222</v>
      </c>
      <c r="I70">
        <f t="shared" si="9"/>
        <v>13.552372222222223</v>
      </c>
      <c r="J70">
        <f t="shared" si="9"/>
        <v>13.478167222222222</v>
      </c>
      <c r="K70">
        <f t="shared" si="9"/>
        <v>13.403962222222223</v>
      </c>
      <c r="L70">
        <f t="shared" si="9"/>
        <v>13.329757222222222</v>
      </c>
      <c r="M70">
        <f t="shared" si="9"/>
        <v>13.255552222222223</v>
      </c>
      <c r="N70">
        <f t="shared" si="9"/>
        <v>13.181347222222222</v>
      </c>
      <c r="O70">
        <f t="shared" si="9"/>
        <v>13.107142222222222</v>
      </c>
      <c r="P70">
        <f t="shared" si="9"/>
        <v>13.032937222222223</v>
      </c>
      <c r="Q70">
        <f t="shared" si="9"/>
        <v>12.958732222222222</v>
      </c>
      <c r="R70">
        <f t="shared" si="9"/>
        <v>12.884527222222221</v>
      </c>
      <c r="S70">
        <f t="shared" si="9"/>
        <v>12.810322222222222</v>
      </c>
      <c r="T70">
        <f t="shared" si="9"/>
        <v>12.736117222222223</v>
      </c>
      <c r="U70">
        <f t="shared" si="8"/>
        <v>12.661912222222222</v>
      </c>
      <c r="V70">
        <f t="shared" si="8"/>
        <v>12.587707222222221</v>
      </c>
      <c r="W70">
        <f t="shared" si="8"/>
        <v>12.513502222222222</v>
      </c>
      <c r="X70">
        <f t="shared" si="8"/>
        <v>12.439297222222223</v>
      </c>
      <c r="Y70">
        <f t="shared" si="8"/>
        <v>12.365092222222222</v>
      </c>
      <c r="Z70">
        <f t="shared" si="8"/>
        <v>12.290887222222221</v>
      </c>
      <c r="AA70">
        <f t="shared" si="8"/>
        <v>12.216682222222222</v>
      </c>
      <c r="AB70">
        <f t="shared" si="8"/>
        <v>12.142477222222222</v>
      </c>
      <c r="AC70">
        <f t="shared" si="8"/>
        <v>12.068272222222221</v>
      </c>
      <c r="AD70">
        <f t="shared" si="6"/>
        <v>10.732582222222224</v>
      </c>
    </row>
    <row r="71" spans="2:30" x14ac:dyDescent="0.2">
      <c r="B71" s="7">
        <v>44639</v>
      </c>
      <c r="C71" s="8">
        <v>9.3347222222222186</v>
      </c>
      <c r="D71">
        <f t="shared" si="10"/>
        <v>12.610897222222219</v>
      </c>
      <c r="E71">
        <f t="shared" si="4"/>
        <v>12.536692222222218</v>
      </c>
      <c r="F71">
        <f t="shared" si="4"/>
        <v>12.462487222222219</v>
      </c>
      <c r="G71">
        <f t="shared" si="9"/>
        <v>12.38828222222222</v>
      </c>
      <c r="H71">
        <f t="shared" si="9"/>
        <v>12.314077222222219</v>
      </c>
      <c r="I71">
        <f t="shared" si="9"/>
        <v>12.239872222222219</v>
      </c>
      <c r="J71">
        <f t="shared" si="9"/>
        <v>12.165667222222218</v>
      </c>
      <c r="K71">
        <f t="shared" si="9"/>
        <v>12.091462222222219</v>
      </c>
      <c r="L71">
        <f t="shared" si="9"/>
        <v>12.017257222222218</v>
      </c>
      <c r="M71">
        <f t="shared" si="9"/>
        <v>11.943052222222219</v>
      </c>
      <c r="N71">
        <f t="shared" si="9"/>
        <v>11.868847222222218</v>
      </c>
      <c r="O71">
        <f t="shared" si="9"/>
        <v>11.794642222222219</v>
      </c>
      <c r="P71">
        <f t="shared" si="9"/>
        <v>11.72043722222222</v>
      </c>
      <c r="Q71">
        <f t="shared" si="9"/>
        <v>11.646232222222219</v>
      </c>
      <c r="R71">
        <f t="shared" si="9"/>
        <v>11.572027222222218</v>
      </c>
      <c r="S71">
        <f t="shared" si="9"/>
        <v>11.497822222222219</v>
      </c>
      <c r="T71">
        <f t="shared" si="9"/>
        <v>11.423617222222219</v>
      </c>
      <c r="U71">
        <f t="shared" si="8"/>
        <v>11.349412222222218</v>
      </c>
      <c r="V71">
        <f t="shared" si="8"/>
        <v>11.275207222222217</v>
      </c>
      <c r="W71">
        <f t="shared" si="8"/>
        <v>11.201002222222218</v>
      </c>
      <c r="X71">
        <f t="shared" si="8"/>
        <v>11.126797222222219</v>
      </c>
      <c r="Y71">
        <f t="shared" si="8"/>
        <v>11.052592222222218</v>
      </c>
      <c r="Z71">
        <f t="shared" si="8"/>
        <v>10.978387222222217</v>
      </c>
      <c r="AA71">
        <f t="shared" si="8"/>
        <v>10.904182222222218</v>
      </c>
      <c r="AB71">
        <f t="shared" si="8"/>
        <v>10.829977222222219</v>
      </c>
      <c r="AC71">
        <f t="shared" si="8"/>
        <v>10.755772222222218</v>
      </c>
      <c r="AD71">
        <f t="shared" si="6"/>
        <v>9.42008222222222</v>
      </c>
    </row>
    <row r="72" spans="2:30" x14ac:dyDescent="0.2">
      <c r="B72" s="7">
        <v>44640</v>
      </c>
      <c r="C72" s="8">
        <v>5.486805555555553</v>
      </c>
      <c r="D72">
        <f t="shared" si="10"/>
        <v>8.7629805555555542</v>
      </c>
      <c r="E72">
        <f t="shared" si="4"/>
        <v>8.6887755555555533</v>
      </c>
      <c r="F72">
        <f t="shared" si="4"/>
        <v>8.6145705555555523</v>
      </c>
      <c r="G72">
        <f t="shared" si="9"/>
        <v>8.5403655555555531</v>
      </c>
      <c r="H72">
        <f t="shared" si="9"/>
        <v>8.4661605555555539</v>
      </c>
      <c r="I72">
        <f t="shared" si="9"/>
        <v>8.3919555555555529</v>
      </c>
      <c r="J72">
        <f t="shared" si="9"/>
        <v>8.3177505555555538</v>
      </c>
      <c r="K72">
        <f t="shared" si="9"/>
        <v>8.2435455555555528</v>
      </c>
      <c r="L72">
        <f t="shared" si="9"/>
        <v>8.1693405555555536</v>
      </c>
      <c r="M72">
        <f t="shared" si="9"/>
        <v>8.0951355555555526</v>
      </c>
      <c r="N72">
        <f t="shared" si="9"/>
        <v>8.0209305555555535</v>
      </c>
      <c r="O72">
        <f t="shared" si="9"/>
        <v>7.9467255555555534</v>
      </c>
      <c r="P72">
        <f t="shared" si="9"/>
        <v>7.8725205555555533</v>
      </c>
      <c r="Q72">
        <f t="shared" si="9"/>
        <v>7.7983155555555532</v>
      </c>
      <c r="R72">
        <f t="shared" si="9"/>
        <v>7.7241105555555531</v>
      </c>
      <c r="S72">
        <f t="shared" si="9"/>
        <v>7.6499055555555531</v>
      </c>
      <c r="T72">
        <f t="shared" si="9"/>
        <v>7.575700555555553</v>
      </c>
      <c r="U72">
        <f t="shared" si="8"/>
        <v>7.5014955555555529</v>
      </c>
      <c r="V72">
        <f t="shared" si="8"/>
        <v>7.4272905555555528</v>
      </c>
      <c r="W72">
        <f t="shared" si="8"/>
        <v>7.3530855555555528</v>
      </c>
      <c r="X72">
        <f t="shared" si="8"/>
        <v>7.2788805555555527</v>
      </c>
      <c r="Y72">
        <f t="shared" si="8"/>
        <v>7.2046755555555526</v>
      </c>
      <c r="Z72">
        <f t="shared" si="8"/>
        <v>7.1304705555555525</v>
      </c>
      <c r="AA72">
        <f t="shared" si="8"/>
        <v>7.0562655555555525</v>
      </c>
      <c r="AB72">
        <f t="shared" si="8"/>
        <v>6.9820605555555524</v>
      </c>
      <c r="AC72">
        <f t="shared" si="8"/>
        <v>6.9078555555555523</v>
      </c>
      <c r="AD72">
        <f t="shared" si="6"/>
        <v>5.5721655555555536</v>
      </c>
    </row>
    <row r="73" spans="2:30" x14ac:dyDescent="0.2">
      <c r="B73" s="7">
        <v>44641</v>
      </c>
      <c r="C73" s="8">
        <v>8.4222222222222207</v>
      </c>
      <c r="D73">
        <f t="shared" si="10"/>
        <v>11.698397222222221</v>
      </c>
      <c r="E73">
        <f t="shared" si="4"/>
        <v>11.62419222222222</v>
      </c>
      <c r="F73">
        <f t="shared" si="4"/>
        <v>11.549987222222221</v>
      </c>
      <c r="G73">
        <f t="shared" si="9"/>
        <v>11.475782222222222</v>
      </c>
      <c r="H73">
        <f t="shared" si="9"/>
        <v>11.401577222222221</v>
      </c>
      <c r="I73">
        <f t="shared" si="9"/>
        <v>11.327372222222222</v>
      </c>
      <c r="J73">
        <f t="shared" si="9"/>
        <v>11.253167222222221</v>
      </c>
      <c r="K73">
        <f t="shared" si="9"/>
        <v>11.178962222222221</v>
      </c>
      <c r="L73">
        <f t="shared" si="9"/>
        <v>11.10475722222222</v>
      </c>
      <c r="M73">
        <f t="shared" si="9"/>
        <v>11.030552222222221</v>
      </c>
      <c r="N73">
        <f t="shared" si="9"/>
        <v>10.95634722222222</v>
      </c>
      <c r="O73">
        <f t="shared" si="9"/>
        <v>10.882142222222221</v>
      </c>
      <c r="P73">
        <f t="shared" si="9"/>
        <v>10.807937222222222</v>
      </c>
      <c r="Q73">
        <f t="shared" si="9"/>
        <v>10.733732222222221</v>
      </c>
      <c r="R73">
        <f t="shared" si="9"/>
        <v>10.65952722222222</v>
      </c>
      <c r="S73">
        <f t="shared" si="9"/>
        <v>10.585322222222221</v>
      </c>
      <c r="T73">
        <f t="shared" si="9"/>
        <v>10.511117222222222</v>
      </c>
      <c r="U73">
        <f t="shared" si="8"/>
        <v>10.436912222222221</v>
      </c>
      <c r="V73">
        <f t="shared" si="8"/>
        <v>10.36270722222222</v>
      </c>
      <c r="W73">
        <f t="shared" si="8"/>
        <v>10.28850222222222</v>
      </c>
      <c r="X73">
        <f t="shared" si="8"/>
        <v>10.214297222222221</v>
      </c>
      <c r="Y73">
        <f t="shared" si="8"/>
        <v>10.14009222222222</v>
      </c>
      <c r="Z73">
        <f t="shared" si="8"/>
        <v>10.065887222222219</v>
      </c>
      <c r="AA73">
        <f t="shared" si="8"/>
        <v>9.9916822222222201</v>
      </c>
      <c r="AB73">
        <f t="shared" si="8"/>
        <v>9.9174772222222209</v>
      </c>
      <c r="AC73">
        <f t="shared" si="8"/>
        <v>9.84327222222222</v>
      </c>
      <c r="AD73">
        <f t="shared" si="6"/>
        <v>8.5075822222222222</v>
      </c>
    </row>
    <row r="74" spans="2:30" x14ac:dyDescent="0.2">
      <c r="B74" s="7">
        <v>44642</v>
      </c>
      <c r="C74" s="8">
        <v>10.93472222222222</v>
      </c>
      <c r="D74">
        <f t="shared" si="10"/>
        <v>14.21089722222222</v>
      </c>
      <c r="E74">
        <f t="shared" si="4"/>
        <v>14.136692222222219</v>
      </c>
      <c r="F74">
        <f t="shared" si="4"/>
        <v>14.06248722222222</v>
      </c>
      <c r="G74">
        <f t="shared" si="9"/>
        <v>13.988282222222221</v>
      </c>
      <c r="H74">
        <f t="shared" si="9"/>
        <v>13.91407722222222</v>
      </c>
      <c r="I74">
        <f t="shared" si="9"/>
        <v>13.839872222222221</v>
      </c>
      <c r="J74">
        <f t="shared" si="9"/>
        <v>13.76566722222222</v>
      </c>
      <c r="K74">
        <f t="shared" si="9"/>
        <v>13.691462222222221</v>
      </c>
      <c r="L74">
        <f t="shared" si="9"/>
        <v>13.61725722222222</v>
      </c>
      <c r="M74">
        <f t="shared" si="9"/>
        <v>13.54305222222222</v>
      </c>
      <c r="N74">
        <f t="shared" si="9"/>
        <v>13.46884722222222</v>
      </c>
      <c r="O74">
        <f t="shared" si="9"/>
        <v>13.39464222222222</v>
      </c>
      <c r="P74">
        <f t="shared" si="9"/>
        <v>13.320437222222221</v>
      </c>
      <c r="Q74">
        <f t="shared" si="9"/>
        <v>13.24623222222222</v>
      </c>
      <c r="R74">
        <f t="shared" si="9"/>
        <v>13.172027222222219</v>
      </c>
      <c r="S74">
        <f t="shared" si="9"/>
        <v>13.09782222222222</v>
      </c>
      <c r="T74">
        <f t="shared" si="9"/>
        <v>13.023617222222221</v>
      </c>
      <c r="U74">
        <f t="shared" si="8"/>
        <v>12.94941222222222</v>
      </c>
      <c r="V74">
        <f t="shared" si="8"/>
        <v>12.875207222222219</v>
      </c>
      <c r="W74">
        <f t="shared" si="8"/>
        <v>12.80100222222222</v>
      </c>
      <c r="X74">
        <f t="shared" si="8"/>
        <v>12.726797222222221</v>
      </c>
      <c r="Y74">
        <f t="shared" si="8"/>
        <v>12.65259222222222</v>
      </c>
      <c r="Z74">
        <f t="shared" si="8"/>
        <v>12.578387222222219</v>
      </c>
      <c r="AA74">
        <f t="shared" si="8"/>
        <v>12.504182222222219</v>
      </c>
      <c r="AB74">
        <f t="shared" si="8"/>
        <v>12.42997722222222</v>
      </c>
      <c r="AC74">
        <f t="shared" si="8"/>
        <v>12.355772222222219</v>
      </c>
      <c r="AD74">
        <f t="shared" si="6"/>
        <v>11.020082222222221</v>
      </c>
    </row>
    <row r="75" spans="2:30" x14ac:dyDescent="0.2">
      <c r="B75" s="7">
        <v>44643</v>
      </c>
      <c r="C75" s="8">
        <v>12.156944444444438</v>
      </c>
      <c r="D75">
        <f t="shared" si="10"/>
        <v>15.433119444444438</v>
      </c>
      <c r="E75">
        <f t="shared" si="4"/>
        <v>15.358914444444437</v>
      </c>
      <c r="F75">
        <f t="shared" si="4"/>
        <v>15.284709444444438</v>
      </c>
      <c r="G75">
        <f t="shared" si="9"/>
        <v>15.210504444444439</v>
      </c>
      <c r="H75">
        <f t="shared" si="9"/>
        <v>15.136299444444438</v>
      </c>
      <c r="I75">
        <f t="shared" si="9"/>
        <v>15.062094444444439</v>
      </c>
      <c r="J75">
        <f t="shared" si="9"/>
        <v>14.987889444444438</v>
      </c>
      <c r="K75">
        <f t="shared" si="9"/>
        <v>14.913684444444439</v>
      </c>
      <c r="L75">
        <f t="shared" ref="G75:T93" si="11">(-1.4841*L$3+3.6472)+$C75</f>
        <v>14.839479444444438</v>
      </c>
      <c r="M75">
        <f t="shared" si="11"/>
        <v>14.765274444444438</v>
      </c>
      <c r="N75">
        <f t="shared" si="11"/>
        <v>14.691069444444437</v>
      </c>
      <c r="O75">
        <f t="shared" si="11"/>
        <v>14.616864444444438</v>
      </c>
      <c r="P75">
        <f t="shared" si="11"/>
        <v>14.542659444444439</v>
      </c>
      <c r="Q75">
        <f t="shared" si="11"/>
        <v>14.468454444444438</v>
      </c>
      <c r="R75">
        <f t="shared" si="11"/>
        <v>14.394249444444437</v>
      </c>
      <c r="S75">
        <f t="shared" si="11"/>
        <v>14.320044444444438</v>
      </c>
      <c r="T75">
        <f t="shared" si="11"/>
        <v>14.245839444444439</v>
      </c>
      <c r="U75">
        <f t="shared" si="8"/>
        <v>14.171634444444438</v>
      </c>
      <c r="V75">
        <f t="shared" si="8"/>
        <v>14.097429444444437</v>
      </c>
      <c r="W75">
        <f t="shared" si="8"/>
        <v>14.023224444444438</v>
      </c>
      <c r="X75">
        <f t="shared" si="8"/>
        <v>13.949019444444438</v>
      </c>
      <c r="Y75">
        <f t="shared" si="8"/>
        <v>13.874814444444437</v>
      </c>
      <c r="Z75">
        <f t="shared" si="8"/>
        <v>13.800609444444436</v>
      </c>
      <c r="AA75">
        <f t="shared" si="8"/>
        <v>13.726404444444437</v>
      </c>
      <c r="AB75">
        <f t="shared" si="8"/>
        <v>13.652199444444438</v>
      </c>
      <c r="AC75">
        <f t="shared" si="8"/>
        <v>13.577994444444437</v>
      </c>
      <c r="AD75">
        <f t="shared" si="6"/>
        <v>12.242304444444439</v>
      </c>
    </row>
    <row r="76" spans="2:30" x14ac:dyDescent="0.2">
      <c r="B76" s="7">
        <v>44644</v>
      </c>
      <c r="C76" s="8">
        <v>12.12569444444444</v>
      </c>
      <c r="D76">
        <f t="shared" si="10"/>
        <v>15.40186944444444</v>
      </c>
      <c r="E76">
        <f t="shared" si="4"/>
        <v>15.327664444444441</v>
      </c>
      <c r="F76">
        <f t="shared" si="4"/>
        <v>15.25345944444444</v>
      </c>
      <c r="G76">
        <f t="shared" si="11"/>
        <v>15.179254444444439</v>
      </c>
      <c r="H76">
        <f t="shared" si="11"/>
        <v>15.10504944444444</v>
      </c>
      <c r="I76">
        <f t="shared" si="11"/>
        <v>15.03084444444444</v>
      </c>
      <c r="J76">
        <f t="shared" si="11"/>
        <v>14.956639444444439</v>
      </c>
      <c r="K76">
        <f t="shared" si="11"/>
        <v>14.88243444444444</v>
      </c>
      <c r="L76">
        <f t="shared" si="11"/>
        <v>14.808229444444439</v>
      </c>
      <c r="M76">
        <f t="shared" si="11"/>
        <v>14.73402444444444</v>
      </c>
      <c r="N76">
        <f t="shared" si="11"/>
        <v>14.659819444444441</v>
      </c>
      <c r="O76">
        <f t="shared" si="11"/>
        <v>14.58561444444444</v>
      </c>
      <c r="P76">
        <f t="shared" si="11"/>
        <v>14.511409444444439</v>
      </c>
      <c r="Q76">
        <f t="shared" si="11"/>
        <v>14.43720444444444</v>
      </c>
      <c r="R76">
        <f t="shared" si="11"/>
        <v>14.362999444444441</v>
      </c>
      <c r="S76">
        <f t="shared" si="11"/>
        <v>14.28879444444444</v>
      </c>
      <c r="T76">
        <f t="shared" si="11"/>
        <v>14.214589444444439</v>
      </c>
      <c r="U76">
        <f t="shared" si="8"/>
        <v>14.14038444444444</v>
      </c>
      <c r="V76">
        <f t="shared" si="8"/>
        <v>14.06617944444444</v>
      </c>
      <c r="W76">
        <f t="shared" si="8"/>
        <v>13.991974444444439</v>
      </c>
      <c r="X76">
        <f t="shared" si="8"/>
        <v>13.917769444444438</v>
      </c>
      <c r="Y76">
        <f t="shared" si="8"/>
        <v>13.843564444444439</v>
      </c>
      <c r="Z76">
        <f t="shared" si="8"/>
        <v>13.76935944444444</v>
      </c>
      <c r="AA76">
        <f t="shared" si="8"/>
        <v>13.695154444444439</v>
      </c>
      <c r="AB76">
        <f t="shared" si="8"/>
        <v>13.620949444444438</v>
      </c>
      <c r="AC76">
        <f t="shared" si="8"/>
        <v>13.546744444444439</v>
      </c>
      <c r="AD76">
        <f t="shared" si="6"/>
        <v>12.211054444444439</v>
      </c>
    </row>
    <row r="77" spans="2:30" x14ac:dyDescent="0.2">
      <c r="B77" s="7">
        <v>44645</v>
      </c>
      <c r="C77" s="8">
        <v>11.730555555555553</v>
      </c>
      <c r="D77">
        <f t="shared" si="10"/>
        <v>15.006730555555553</v>
      </c>
      <c r="E77">
        <f t="shared" si="4"/>
        <v>14.932525555555554</v>
      </c>
      <c r="F77">
        <f t="shared" si="4"/>
        <v>14.858320555555553</v>
      </c>
      <c r="G77">
        <f t="shared" si="11"/>
        <v>14.784115555555552</v>
      </c>
      <c r="H77">
        <f t="shared" si="11"/>
        <v>14.709910555555552</v>
      </c>
      <c r="I77">
        <f t="shared" si="11"/>
        <v>14.635705555555553</v>
      </c>
      <c r="J77">
        <f t="shared" si="11"/>
        <v>14.561500555555552</v>
      </c>
      <c r="K77">
        <f t="shared" si="11"/>
        <v>14.487295555555553</v>
      </c>
      <c r="L77">
        <f t="shared" si="11"/>
        <v>14.413090555555552</v>
      </c>
      <c r="M77">
        <f t="shared" si="11"/>
        <v>14.338885555555553</v>
      </c>
      <c r="N77">
        <f t="shared" si="11"/>
        <v>14.264680555555554</v>
      </c>
      <c r="O77">
        <f t="shared" si="11"/>
        <v>14.190475555555553</v>
      </c>
      <c r="P77">
        <f t="shared" si="11"/>
        <v>14.116270555555552</v>
      </c>
      <c r="Q77">
        <f t="shared" si="11"/>
        <v>14.042065555555553</v>
      </c>
      <c r="R77">
        <f t="shared" si="11"/>
        <v>13.967860555555554</v>
      </c>
      <c r="S77">
        <f t="shared" si="11"/>
        <v>13.893655555555553</v>
      </c>
      <c r="T77">
        <f t="shared" si="11"/>
        <v>13.819450555555552</v>
      </c>
      <c r="U77">
        <f t="shared" si="8"/>
        <v>13.745245555555552</v>
      </c>
      <c r="V77">
        <f t="shared" si="8"/>
        <v>13.671040555555553</v>
      </c>
      <c r="W77">
        <f t="shared" si="8"/>
        <v>13.596835555555552</v>
      </c>
      <c r="X77">
        <f t="shared" si="8"/>
        <v>13.522630555555551</v>
      </c>
      <c r="Y77">
        <f t="shared" si="8"/>
        <v>13.448425555555552</v>
      </c>
      <c r="Z77">
        <f t="shared" si="8"/>
        <v>13.374220555555553</v>
      </c>
      <c r="AA77">
        <f t="shared" si="8"/>
        <v>13.300015555555552</v>
      </c>
      <c r="AB77">
        <f t="shared" si="8"/>
        <v>13.225810555555551</v>
      </c>
      <c r="AC77">
        <f t="shared" ref="U77:AC106" si="12">(-1.4841*AC$3+3.6472)+$C77</f>
        <v>13.151605555555552</v>
      </c>
      <c r="AD77">
        <f t="shared" si="6"/>
        <v>11.815915555555552</v>
      </c>
    </row>
    <row r="78" spans="2:30" x14ac:dyDescent="0.2">
      <c r="B78" s="7">
        <v>44646</v>
      </c>
      <c r="C78" s="8">
        <v>11.661111111111108</v>
      </c>
      <c r="D78">
        <f t="shared" si="10"/>
        <v>14.937286111111108</v>
      </c>
      <c r="E78">
        <f t="shared" si="4"/>
        <v>14.863081111111107</v>
      </c>
      <c r="F78">
        <f t="shared" si="4"/>
        <v>14.788876111111108</v>
      </c>
      <c r="G78">
        <f t="shared" si="11"/>
        <v>14.714671111111109</v>
      </c>
      <c r="H78">
        <f t="shared" si="11"/>
        <v>14.640466111111108</v>
      </c>
      <c r="I78">
        <f t="shared" si="11"/>
        <v>14.566261111111109</v>
      </c>
      <c r="J78">
        <f t="shared" si="11"/>
        <v>14.492056111111108</v>
      </c>
      <c r="K78">
        <f t="shared" si="11"/>
        <v>14.417851111111109</v>
      </c>
      <c r="L78">
        <f t="shared" si="11"/>
        <v>14.343646111111108</v>
      </c>
      <c r="M78">
        <f t="shared" si="11"/>
        <v>14.269441111111108</v>
      </c>
      <c r="N78">
        <f t="shared" si="11"/>
        <v>14.195236111111107</v>
      </c>
      <c r="O78">
        <f t="shared" si="11"/>
        <v>14.121031111111108</v>
      </c>
      <c r="P78">
        <f t="shared" si="11"/>
        <v>14.046826111111109</v>
      </c>
      <c r="Q78">
        <f t="shared" si="11"/>
        <v>13.972621111111108</v>
      </c>
      <c r="R78">
        <f t="shared" si="11"/>
        <v>13.898416111111107</v>
      </c>
      <c r="S78">
        <f t="shared" si="11"/>
        <v>13.824211111111108</v>
      </c>
      <c r="T78">
        <f t="shared" si="11"/>
        <v>13.750006111111109</v>
      </c>
      <c r="U78">
        <f t="shared" si="12"/>
        <v>13.675801111111108</v>
      </c>
      <c r="V78">
        <f t="shared" si="12"/>
        <v>13.601596111111107</v>
      </c>
      <c r="W78">
        <f t="shared" si="12"/>
        <v>13.527391111111108</v>
      </c>
      <c r="X78">
        <f t="shared" si="12"/>
        <v>13.453186111111108</v>
      </c>
      <c r="Y78">
        <f t="shared" si="12"/>
        <v>13.378981111111107</v>
      </c>
      <c r="Z78">
        <f t="shared" si="12"/>
        <v>13.304776111111106</v>
      </c>
      <c r="AA78">
        <f t="shared" si="12"/>
        <v>13.230571111111107</v>
      </c>
      <c r="AB78">
        <f t="shared" si="12"/>
        <v>13.156366111111108</v>
      </c>
      <c r="AC78">
        <f t="shared" si="12"/>
        <v>13.082161111111107</v>
      </c>
      <c r="AD78">
        <f t="shared" si="6"/>
        <v>11.746471111111109</v>
      </c>
    </row>
    <row r="79" spans="2:30" x14ac:dyDescent="0.2">
      <c r="B79" s="7">
        <v>44647</v>
      </c>
      <c r="C79" s="8">
        <v>13.157638888888885</v>
      </c>
      <c r="D79">
        <f t="shared" si="10"/>
        <v>16.433813888888885</v>
      </c>
      <c r="E79">
        <f t="shared" si="4"/>
        <v>16.359608888888886</v>
      </c>
      <c r="F79">
        <f t="shared" si="4"/>
        <v>16.285403888888887</v>
      </c>
      <c r="G79">
        <f t="shared" si="11"/>
        <v>16.211198888888884</v>
      </c>
      <c r="H79">
        <f t="shared" si="11"/>
        <v>16.136993888888885</v>
      </c>
      <c r="I79">
        <f t="shared" si="11"/>
        <v>16.062788888888885</v>
      </c>
      <c r="J79">
        <f t="shared" si="11"/>
        <v>15.988583888888884</v>
      </c>
      <c r="K79">
        <f t="shared" si="11"/>
        <v>15.914378888888885</v>
      </c>
      <c r="L79">
        <f t="shared" si="11"/>
        <v>15.840173888888884</v>
      </c>
      <c r="M79">
        <f t="shared" si="11"/>
        <v>15.765968888888885</v>
      </c>
      <c r="N79">
        <f t="shared" si="11"/>
        <v>15.691763888888886</v>
      </c>
      <c r="O79">
        <f t="shared" si="11"/>
        <v>15.617558888888885</v>
      </c>
      <c r="P79">
        <f t="shared" si="11"/>
        <v>15.543353888888884</v>
      </c>
      <c r="Q79">
        <f t="shared" si="11"/>
        <v>15.469148888888885</v>
      </c>
      <c r="R79">
        <f t="shared" si="11"/>
        <v>15.394943888888886</v>
      </c>
      <c r="S79">
        <f t="shared" si="11"/>
        <v>15.320738888888885</v>
      </c>
      <c r="T79">
        <f t="shared" si="11"/>
        <v>15.246533888888884</v>
      </c>
      <c r="U79">
        <f t="shared" si="12"/>
        <v>15.172328888888885</v>
      </c>
      <c r="V79">
        <f t="shared" si="12"/>
        <v>15.098123888888885</v>
      </c>
      <c r="W79">
        <f t="shared" si="12"/>
        <v>15.023918888888884</v>
      </c>
      <c r="X79">
        <f t="shared" si="12"/>
        <v>14.949713888888883</v>
      </c>
      <c r="Y79">
        <f t="shared" si="12"/>
        <v>14.875508888888884</v>
      </c>
      <c r="Z79">
        <f t="shared" si="12"/>
        <v>14.801303888888885</v>
      </c>
      <c r="AA79">
        <f t="shared" si="12"/>
        <v>14.727098888888884</v>
      </c>
      <c r="AB79">
        <f t="shared" si="12"/>
        <v>14.652893888888883</v>
      </c>
      <c r="AC79">
        <f t="shared" si="12"/>
        <v>14.578688888888884</v>
      </c>
      <c r="AD79">
        <f t="shared" si="6"/>
        <v>13.242998888888884</v>
      </c>
    </row>
    <row r="80" spans="2:30" x14ac:dyDescent="0.2">
      <c r="B80" s="7">
        <v>44648</v>
      </c>
      <c r="C80" s="8">
        <v>12.603472222222216</v>
      </c>
      <c r="D80">
        <f t="shared" si="10"/>
        <v>15.879647222222216</v>
      </c>
      <c r="E80">
        <f t="shared" si="4"/>
        <v>15.805442222222215</v>
      </c>
      <c r="F80">
        <f t="shared" si="4"/>
        <v>15.731237222222216</v>
      </c>
      <c r="G80">
        <f t="shared" si="11"/>
        <v>15.657032222222217</v>
      </c>
      <c r="H80">
        <f t="shared" si="11"/>
        <v>15.582827222222216</v>
      </c>
      <c r="I80">
        <f t="shared" si="11"/>
        <v>15.508622222222217</v>
      </c>
      <c r="J80">
        <f t="shared" si="11"/>
        <v>15.434417222222216</v>
      </c>
      <c r="K80">
        <f t="shared" si="11"/>
        <v>15.360212222222216</v>
      </c>
      <c r="L80">
        <f t="shared" si="11"/>
        <v>15.286007222222215</v>
      </c>
      <c r="M80">
        <f t="shared" si="11"/>
        <v>15.211802222222216</v>
      </c>
      <c r="N80">
        <f t="shared" si="11"/>
        <v>15.137597222222215</v>
      </c>
      <c r="O80">
        <f t="shared" si="11"/>
        <v>15.063392222222216</v>
      </c>
      <c r="P80">
        <f t="shared" si="11"/>
        <v>14.989187222222217</v>
      </c>
      <c r="Q80">
        <f t="shared" si="11"/>
        <v>14.914982222222216</v>
      </c>
      <c r="R80">
        <f t="shared" si="11"/>
        <v>14.840777222222215</v>
      </c>
      <c r="S80">
        <f t="shared" si="11"/>
        <v>14.766572222222216</v>
      </c>
      <c r="T80">
        <f t="shared" si="11"/>
        <v>14.692367222222217</v>
      </c>
      <c r="U80">
        <f t="shared" si="12"/>
        <v>14.618162222222216</v>
      </c>
      <c r="V80">
        <f t="shared" si="12"/>
        <v>14.543957222222215</v>
      </c>
      <c r="W80">
        <f t="shared" si="12"/>
        <v>14.469752222222215</v>
      </c>
      <c r="X80">
        <f t="shared" si="12"/>
        <v>14.395547222222216</v>
      </c>
      <c r="Y80">
        <f t="shared" si="12"/>
        <v>14.321342222222215</v>
      </c>
      <c r="Z80">
        <f t="shared" si="12"/>
        <v>14.247137222222214</v>
      </c>
      <c r="AA80">
        <f t="shared" si="12"/>
        <v>14.172932222222215</v>
      </c>
      <c r="AB80">
        <f t="shared" si="12"/>
        <v>14.098727222222216</v>
      </c>
      <c r="AC80">
        <f t="shared" si="12"/>
        <v>14.024522222222215</v>
      </c>
      <c r="AD80">
        <f t="shared" si="6"/>
        <v>12.688832222222217</v>
      </c>
    </row>
    <row r="81" spans="2:30" x14ac:dyDescent="0.2">
      <c r="B81" s="7">
        <v>44649</v>
      </c>
      <c r="C81" s="8">
        <v>12.525694444444436</v>
      </c>
      <c r="D81">
        <f t="shared" si="10"/>
        <v>15.801869444444437</v>
      </c>
      <c r="E81">
        <f t="shared" si="4"/>
        <v>15.727664444444436</v>
      </c>
      <c r="F81">
        <f t="shared" si="4"/>
        <v>15.653459444444437</v>
      </c>
      <c r="G81">
        <f t="shared" si="11"/>
        <v>15.579254444444437</v>
      </c>
      <c r="H81">
        <f t="shared" si="11"/>
        <v>15.505049444444436</v>
      </c>
      <c r="I81">
        <f t="shared" si="11"/>
        <v>15.430844444444437</v>
      </c>
      <c r="J81">
        <f t="shared" si="11"/>
        <v>15.356639444444436</v>
      </c>
      <c r="K81">
        <f t="shared" si="11"/>
        <v>15.282434444444437</v>
      </c>
      <c r="L81">
        <f t="shared" si="11"/>
        <v>15.208229444444436</v>
      </c>
      <c r="M81">
        <f t="shared" si="11"/>
        <v>15.134024444444437</v>
      </c>
      <c r="N81">
        <f t="shared" si="11"/>
        <v>15.059819444444436</v>
      </c>
      <c r="O81">
        <f t="shared" si="11"/>
        <v>14.985614444444437</v>
      </c>
      <c r="P81">
        <f t="shared" si="11"/>
        <v>14.911409444444438</v>
      </c>
      <c r="Q81">
        <f t="shared" si="11"/>
        <v>14.837204444444437</v>
      </c>
      <c r="R81">
        <f t="shared" si="11"/>
        <v>14.762999444444436</v>
      </c>
      <c r="S81">
        <f t="shared" si="11"/>
        <v>14.688794444444436</v>
      </c>
      <c r="T81">
        <f t="shared" si="11"/>
        <v>14.614589444444437</v>
      </c>
      <c r="U81">
        <f t="shared" si="12"/>
        <v>14.540384444444436</v>
      </c>
      <c r="V81">
        <f t="shared" si="12"/>
        <v>14.466179444444435</v>
      </c>
      <c r="W81">
        <f t="shared" si="12"/>
        <v>14.391974444444436</v>
      </c>
      <c r="X81">
        <f t="shared" si="12"/>
        <v>14.317769444444437</v>
      </c>
      <c r="Y81">
        <f t="shared" si="12"/>
        <v>14.243564444444436</v>
      </c>
      <c r="Z81">
        <f t="shared" si="12"/>
        <v>14.169359444444435</v>
      </c>
      <c r="AA81">
        <f t="shared" si="12"/>
        <v>14.095154444444436</v>
      </c>
      <c r="AB81">
        <f t="shared" si="12"/>
        <v>14.020949444444437</v>
      </c>
      <c r="AC81">
        <f t="shared" si="12"/>
        <v>13.946744444444436</v>
      </c>
      <c r="AD81">
        <f t="shared" si="6"/>
        <v>12.611054444444438</v>
      </c>
    </row>
    <row r="82" spans="2:30" x14ac:dyDescent="0.2">
      <c r="B82" s="7">
        <v>44650</v>
      </c>
      <c r="C82" s="8">
        <v>10.720138888888881</v>
      </c>
      <c r="D82">
        <f t="shared" si="10"/>
        <v>13.996313888888881</v>
      </c>
      <c r="E82">
        <f t="shared" si="4"/>
        <v>13.922108888888882</v>
      </c>
      <c r="F82">
        <f t="shared" si="4"/>
        <v>13.847903888888881</v>
      </c>
      <c r="G82">
        <f t="shared" si="11"/>
        <v>13.77369888888888</v>
      </c>
      <c r="H82">
        <f t="shared" si="11"/>
        <v>13.699493888888881</v>
      </c>
      <c r="I82">
        <f t="shared" si="11"/>
        <v>13.625288888888882</v>
      </c>
      <c r="J82">
        <f t="shared" si="11"/>
        <v>13.551083888888881</v>
      </c>
      <c r="K82">
        <f t="shared" si="11"/>
        <v>13.476878888888882</v>
      </c>
      <c r="L82">
        <f t="shared" si="11"/>
        <v>13.402673888888881</v>
      </c>
      <c r="M82">
        <f t="shared" si="11"/>
        <v>13.328468888888882</v>
      </c>
      <c r="N82">
        <f t="shared" si="11"/>
        <v>13.254263888888882</v>
      </c>
      <c r="O82">
        <f t="shared" si="11"/>
        <v>13.180058888888881</v>
      </c>
      <c r="P82">
        <f t="shared" si="11"/>
        <v>13.10585388888888</v>
      </c>
      <c r="Q82">
        <f t="shared" si="11"/>
        <v>13.031648888888881</v>
      </c>
      <c r="R82">
        <f t="shared" si="11"/>
        <v>12.957443888888882</v>
      </c>
      <c r="S82">
        <f t="shared" si="11"/>
        <v>12.883238888888881</v>
      </c>
      <c r="T82">
        <f t="shared" si="11"/>
        <v>12.80903388888888</v>
      </c>
      <c r="U82">
        <f t="shared" si="12"/>
        <v>12.734828888888881</v>
      </c>
      <c r="V82">
        <f t="shared" si="12"/>
        <v>12.660623888888882</v>
      </c>
      <c r="W82">
        <f t="shared" si="12"/>
        <v>12.586418888888881</v>
      </c>
      <c r="X82">
        <f t="shared" si="12"/>
        <v>12.51221388888888</v>
      </c>
      <c r="Y82">
        <f t="shared" si="12"/>
        <v>12.438008888888881</v>
      </c>
      <c r="Z82">
        <f t="shared" si="12"/>
        <v>12.363803888888881</v>
      </c>
      <c r="AA82">
        <f t="shared" si="12"/>
        <v>12.289598888888881</v>
      </c>
      <c r="AB82">
        <f t="shared" si="12"/>
        <v>12.21539388888888</v>
      </c>
      <c r="AC82">
        <f t="shared" si="12"/>
        <v>12.14118888888888</v>
      </c>
      <c r="AD82">
        <f t="shared" si="6"/>
        <v>10.805498888888881</v>
      </c>
    </row>
    <row r="83" spans="2:30" x14ac:dyDescent="0.2">
      <c r="B83" s="7">
        <v>44651</v>
      </c>
      <c r="C83" s="8">
        <v>6.2402777777777754</v>
      </c>
      <c r="D83">
        <f t="shared" si="10"/>
        <v>9.5164527777777757</v>
      </c>
      <c r="E83">
        <f t="shared" si="4"/>
        <v>9.4422477777777765</v>
      </c>
      <c r="F83">
        <f t="shared" si="4"/>
        <v>9.3680427777777755</v>
      </c>
      <c r="G83">
        <f t="shared" si="11"/>
        <v>9.2938377777777745</v>
      </c>
      <c r="H83">
        <f t="shared" si="11"/>
        <v>9.2196327777777753</v>
      </c>
      <c r="I83">
        <f t="shared" si="11"/>
        <v>9.1454277777777762</v>
      </c>
      <c r="J83">
        <f t="shared" si="11"/>
        <v>9.0712227777777752</v>
      </c>
      <c r="K83">
        <f t="shared" si="11"/>
        <v>8.997017777777776</v>
      </c>
      <c r="L83">
        <f t="shared" si="11"/>
        <v>8.922812777777775</v>
      </c>
      <c r="M83">
        <f t="shared" si="11"/>
        <v>8.8486077777777759</v>
      </c>
      <c r="N83">
        <f t="shared" si="11"/>
        <v>8.7744027777777767</v>
      </c>
      <c r="O83">
        <f t="shared" si="11"/>
        <v>8.7001977777777757</v>
      </c>
      <c r="P83">
        <f t="shared" si="11"/>
        <v>8.6259927777777747</v>
      </c>
      <c r="Q83">
        <f t="shared" si="11"/>
        <v>8.5517877777777755</v>
      </c>
      <c r="R83">
        <f t="shared" si="11"/>
        <v>8.4775827777777764</v>
      </c>
      <c r="S83">
        <f t="shared" si="11"/>
        <v>8.4033777777777754</v>
      </c>
      <c r="T83">
        <f t="shared" si="11"/>
        <v>8.3291727777777744</v>
      </c>
      <c r="U83">
        <f t="shared" si="12"/>
        <v>8.2549677777777752</v>
      </c>
      <c r="V83">
        <f t="shared" si="12"/>
        <v>8.1807627777777761</v>
      </c>
      <c r="W83">
        <f t="shared" si="12"/>
        <v>8.1065577777777751</v>
      </c>
      <c r="X83">
        <f t="shared" si="12"/>
        <v>8.0323527777777741</v>
      </c>
      <c r="Y83">
        <f t="shared" si="12"/>
        <v>7.9581477777777749</v>
      </c>
      <c r="Z83">
        <f t="shared" si="12"/>
        <v>7.8839427777777749</v>
      </c>
      <c r="AA83">
        <f t="shared" si="12"/>
        <v>7.8097377777777748</v>
      </c>
      <c r="AB83">
        <f t="shared" si="12"/>
        <v>7.7355327777777747</v>
      </c>
      <c r="AC83">
        <f t="shared" si="12"/>
        <v>7.6613277777777746</v>
      </c>
      <c r="AD83">
        <f t="shared" si="6"/>
        <v>6.3256377777777759</v>
      </c>
    </row>
    <row r="84" spans="2:30" x14ac:dyDescent="0.2">
      <c r="B84" s="7">
        <v>44652</v>
      </c>
      <c r="C84" s="8">
        <v>3.3201388888888896</v>
      </c>
      <c r="D84">
        <f t="shared" si="10"/>
        <v>6.5963138888888899</v>
      </c>
      <c r="E84">
        <f t="shared" si="4"/>
        <v>6.5221088888888898</v>
      </c>
      <c r="F84">
        <f t="shared" si="4"/>
        <v>6.4479038888888898</v>
      </c>
      <c r="G84">
        <f t="shared" si="11"/>
        <v>6.3736988888888897</v>
      </c>
      <c r="H84">
        <f t="shared" si="11"/>
        <v>6.2994938888888896</v>
      </c>
      <c r="I84">
        <f t="shared" si="11"/>
        <v>6.2252888888888904</v>
      </c>
      <c r="J84">
        <f t="shared" si="11"/>
        <v>6.1510838888888895</v>
      </c>
      <c r="K84">
        <f t="shared" si="11"/>
        <v>6.0768788888888903</v>
      </c>
      <c r="L84">
        <f t="shared" si="11"/>
        <v>6.0026738888888893</v>
      </c>
      <c r="M84">
        <f t="shared" si="11"/>
        <v>5.9284688888888901</v>
      </c>
      <c r="N84">
        <f t="shared" si="11"/>
        <v>5.85426388888889</v>
      </c>
      <c r="O84">
        <f t="shared" si="11"/>
        <v>5.78005888888889</v>
      </c>
      <c r="P84">
        <f t="shared" si="11"/>
        <v>5.7058538888888899</v>
      </c>
      <c r="Q84">
        <f t="shared" si="11"/>
        <v>5.6316488888888898</v>
      </c>
      <c r="R84">
        <f t="shared" si="11"/>
        <v>5.5574438888888897</v>
      </c>
      <c r="S84">
        <f t="shared" si="11"/>
        <v>5.4832388888888897</v>
      </c>
      <c r="T84">
        <f t="shared" si="11"/>
        <v>5.4090338888888896</v>
      </c>
      <c r="U84">
        <f t="shared" si="12"/>
        <v>5.3348288888888895</v>
      </c>
      <c r="V84">
        <f t="shared" si="12"/>
        <v>5.2606238888888894</v>
      </c>
      <c r="W84">
        <f t="shared" si="12"/>
        <v>5.1864188888888894</v>
      </c>
      <c r="X84">
        <f t="shared" si="12"/>
        <v>5.1122138888888893</v>
      </c>
      <c r="Y84">
        <f t="shared" si="12"/>
        <v>5.0380088888888892</v>
      </c>
      <c r="Z84">
        <f t="shared" si="12"/>
        <v>4.9638038888888891</v>
      </c>
      <c r="AA84">
        <f t="shared" si="12"/>
        <v>4.8895988888888891</v>
      </c>
      <c r="AB84">
        <f t="shared" si="12"/>
        <v>4.815393888888889</v>
      </c>
      <c r="AC84">
        <f t="shared" si="12"/>
        <v>4.7411888888888889</v>
      </c>
      <c r="AD84">
        <f t="shared" si="6"/>
        <v>3.4054988888888902</v>
      </c>
    </row>
    <row r="85" spans="2:30" x14ac:dyDescent="0.2">
      <c r="B85" s="7">
        <v>44653</v>
      </c>
      <c r="C85" s="8">
        <v>5.1805555555555545</v>
      </c>
      <c r="D85">
        <f t="shared" si="10"/>
        <v>8.4567305555555556</v>
      </c>
      <c r="E85">
        <f t="shared" ref="E85:T148" si="13">(-1.4841*E$3+3.6472)+$C85</f>
        <v>8.3825255555555547</v>
      </c>
      <c r="F85">
        <f t="shared" si="13"/>
        <v>8.3083205555555537</v>
      </c>
      <c r="G85">
        <f t="shared" si="11"/>
        <v>8.2341155555555545</v>
      </c>
      <c r="H85">
        <f t="shared" si="11"/>
        <v>8.1599105555555553</v>
      </c>
      <c r="I85">
        <f t="shared" si="11"/>
        <v>8.0857055555555544</v>
      </c>
      <c r="J85">
        <f t="shared" si="11"/>
        <v>8.0115005555555552</v>
      </c>
      <c r="K85">
        <f t="shared" si="11"/>
        <v>7.9372955555555542</v>
      </c>
      <c r="L85">
        <f t="shared" si="11"/>
        <v>7.863090555555555</v>
      </c>
      <c r="M85">
        <f t="shared" si="11"/>
        <v>7.7888855555555541</v>
      </c>
      <c r="N85">
        <f t="shared" si="11"/>
        <v>7.7146805555555549</v>
      </c>
      <c r="O85">
        <f t="shared" si="11"/>
        <v>7.6404755555555548</v>
      </c>
      <c r="P85">
        <f t="shared" si="11"/>
        <v>7.5662705555555547</v>
      </c>
      <c r="Q85">
        <f t="shared" si="11"/>
        <v>7.4920655555555546</v>
      </c>
      <c r="R85">
        <f t="shared" si="11"/>
        <v>7.4178605555555546</v>
      </c>
      <c r="S85">
        <f t="shared" si="11"/>
        <v>7.3436555555555545</v>
      </c>
      <c r="T85">
        <f t="shared" si="11"/>
        <v>7.2694505555555544</v>
      </c>
      <c r="U85">
        <f t="shared" si="12"/>
        <v>7.1952455555555543</v>
      </c>
      <c r="V85">
        <f t="shared" si="12"/>
        <v>7.1210405555555543</v>
      </c>
      <c r="W85">
        <f t="shared" si="12"/>
        <v>7.0468355555555542</v>
      </c>
      <c r="X85">
        <f t="shared" si="12"/>
        <v>6.9726305555555541</v>
      </c>
      <c r="Y85">
        <f t="shared" si="12"/>
        <v>6.898425555555554</v>
      </c>
      <c r="Z85">
        <f t="shared" si="12"/>
        <v>6.824220555555554</v>
      </c>
      <c r="AA85">
        <f t="shared" si="12"/>
        <v>6.7500155555555539</v>
      </c>
      <c r="AB85">
        <f t="shared" si="12"/>
        <v>6.6758105555555538</v>
      </c>
      <c r="AC85">
        <f t="shared" si="12"/>
        <v>6.6016055555555537</v>
      </c>
      <c r="AD85">
        <f t="shared" ref="AD85:AD148" si="14">(-1.4841*AD$3+3.6472)+$C85</f>
        <v>5.265915555555555</v>
      </c>
    </row>
    <row r="86" spans="2:30" x14ac:dyDescent="0.2">
      <c r="B86" s="7">
        <v>44654</v>
      </c>
      <c r="C86" s="8">
        <v>6.6159722222222221</v>
      </c>
      <c r="D86">
        <f t="shared" si="10"/>
        <v>9.8921472222222224</v>
      </c>
      <c r="E86">
        <f t="shared" si="13"/>
        <v>9.8179422222222215</v>
      </c>
      <c r="F86">
        <f t="shared" si="13"/>
        <v>9.7437372222222223</v>
      </c>
      <c r="G86">
        <f t="shared" si="11"/>
        <v>9.6695322222222231</v>
      </c>
      <c r="H86">
        <f t="shared" si="11"/>
        <v>9.5953272222222221</v>
      </c>
      <c r="I86">
        <f t="shared" si="11"/>
        <v>9.5211222222222229</v>
      </c>
      <c r="J86">
        <f t="shared" si="11"/>
        <v>9.446917222222222</v>
      </c>
      <c r="K86">
        <f t="shared" si="11"/>
        <v>9.3727122222222228</v>
      </c>
      <c r="L86">
        <f t="shared" si="11"/>
        <v>9.2985072222222218</v>
      </c>
      <c r="M86">
        <f t="shared" si="11"/>
        <v>9.2243022222222226</v>
      </c>
      <c r="N86">
        <f t="shared" si="11"/>
        <v>9.1500972222222217</v>
      </c>
      <c r="O86">
        <f t="shared" si="11"/>
        <v>9.0758922222222225</v>
      </c>
      <c r="P86">
        <f t="shared" si="11"/>
        <v>9.0016872222222233</v>
      </c>
      <c r="Q86">
        <f t="shared" si="11"/>
        <v>8.9274822222222223</v>
      </c>
      <c r="R86">
        <f t="shared" si="11"/>
        <v>8.8532772222222214</v>
      </c>
      <c r="S86">
        <f t="shared" si="11"/>
        <v>8.7790722222222222</v>
      </c>
      <c r="T86">
        <f t="shared" si="11"/>
        <v>8.704867222222223</v>
      </c>
      <c r="U86">
        <f t="shared" si="12"/>
        <v>8.630662222222222</v>
      </c>
      <c r="V86">
        <f t="shared" si="12"/>
        <v>8.556457222222221</v>
      </c>
      <c r="W86">
        <f t="shared" si="12"/>
        <v>8.4822522222222219</v>
      </c>
      <c r="X86">
        <f t="shared" si="12"/>
        <v>8.4080472222222227</v>
      </c>
      <c r="Y86">
        <f t="shared" si="12"/>
        <v>8.3338422222222217</v>
      </c>
      <c r="Z86">
        <f t="shared" si="12"/>
        <v>8.2596372222222207</v>
      </c>
      <c r="AA86">
        <f t="shared" si="12"/>
        <v>8.1854322222222216</v>
      </c>
      <c r="AB86">
        <f t="shared" si="12"/>
        <v>8.1112272222222224</v>
      </c>
      <c r="AC86">
        <f t="shared" si="12"/>
        <v>8.0370222222222214</v>
      </c>
      <c r="AD86">
        <f t="shared" si="14"/>
        <v>6.7013322222222227</v>
      </c>
    </row>
    <row r="87" spans="2:30" x14ac:dyDescent="0.2">
      <c r="B87" s="7">
        <v>44655</v>
      </c>
      <c r="C87" s="8">
        <v>6.3555555555555525</v>
      </c>
      <c r="D87">
        <f t="shared" si="10"/>
        <v>9.6317305555555528</v>
      </c>
      <c r="E87">
        <f t="shared" si="13"/>
        <v>9.5575255555555536</v>
      </c>
      <c r="F87">
        <f t="shared" si="13"/>
        <v>9.4833205555555526</v>
      </c>
      <c r="G87">
        <f t="shared" si="11"/>
        <v>9.4091155555555517</v>
      </c>
      <c r="H87">
        <f t="shared" si="11"/>
        <v>9.3349105555555525</v>
      </c>
      <c r="I87">
        <f t="shared" si="11"/>
        <v>9.2607055555555533</v>
      </c>
      <c r="J87">
        <f t="shared" si="11"/>
        <v>9.1865005555555523</v>
      </c>
      <c r="K87">
        <f t="shared" si="11"/>
        <v>9.1122955555555532</v>
      </c>
      <c r="L87">
        <f t="shared" si="11"/>
        <v>9.0380905555555522</v>
      </c>
      <c r="M87">
        <f t="shared" si="11"/>
        <v>8.963885555555553</v>
      </c>
      <c r="N87">
        <f t="shared" si="11"/>
        <v>8.8896805555555538</v>
      </c>
      <c r="O87">
        <f t="shared" si="11"/>
        <v>8.8154755555555528</v>
      </c>
      <c r="P87">
        <f t="shared" si="11"/>
        <v>8.7412705555555519</v>
      </c>
      <c r="Q87">
        <f t="shared" si="11"/>
        <v>8.6670655555555527</v>
      </c>
      <c r="R87">
        <f t="shared" si="11"/>
        <v>8.5928605555555535</v>
      </c>
      <c r="S87">
        <f t="shared" si="11"/>
        <v>8.5186555555555525</v>
      </c>
      <c r="T87">
        <f t="shared" si="11"/>
        <v>8.4444505555555516</v>
      </c>
      <c r="U87">
        <f t="shared" si="12"/>
        <v>8.3702455555555524</v>
      </c>
      <c r="V87">
        <f t="shared" si="12"/>
        <v>8.2960405555555532</v>
      </c>
      <c r="W87">
        <f t="shared" si="12"/>
        <v>8.2218355555555522</v>
      </c>
      <c r="X87">
        <f t="shared" si="12"/>
        <v>8.1476305555555513</v>
      </c>
      <c r="Y87">
        <f t="shared" si="12"/>
        <v>8.0734255555555521</v>
      </c>
      <c r="Z87">
        <f t="shared" si="12"/>
        <v>7.999220555555552</v>
      </c>
      <c r="AA87">
        <f t="shared" si="12"/>
        <v>7.9250155555555519</v>
      </c>
      <c r="AB87">
        <f t="shared" si="12"/>
        <v>7.8508105555555519</v>
      </c>
      <c r="AC87">
        <f t="shared" si="12"/>
        <v>7.7766055555555518</v>
      </c>
      <c r="AD87">
        <f t="shared" si="14"/>
        <v>6.4409155555555531</v>
      </c>
    </row>
    <row r="88" spans="2:30" x14ac:dyDescent="0.2">
      <c r="B88" s="7">
        <v>44656</v>
      </c>
      <c r="C88" s="8">
        <v>9.2819444444444414</v>
      </c>
      <c r="D88">
        <f t="shared" si="10"/>
        <v>12.558119444444442</v>
      </c>
      <c r="E88">
        <f t="shared" si="13"/>
        <v>12.483914444444441</v>
      </c>
      <c r="F88">
        <f t="shared" si="13"/>
        <v>12.409709444444442</v>
      </c>
      <c r="G88">
        <f t="shared" si="11"/>
        <v>12.335504444444442</v>
      </c>
      <c r="H88">
        <f t="shared" si="11"/>
        <v>12.261299444444441</v>
      </c>
      <c r="I88">
        <f t="shared" si="11"/>
        <v>12.187094444444442</v>
      </c>
      <c r="J88">
        <f t="shared" si="11"/>
        <v>12.112889444444441</v>
      </c>
      <c r="K88">
        <f t="shared" si="11"/>
        <v>12.038684444444442</v>
      </c>
      <c r="L88">
        <f t="shared" si="11"/>
        <v>11.964479444444441</v>
      </c>
      <c r="M88">
        <f t="shared" si="11"/>
        <v>11.890274444444442</v>
      </c>
      <c r="N88">
        <f t="shared" si="11"/>
        <v>11.816069444444441</v>
      </c>
      <c r="O88">
        <f t="shared" si="11"/>
        <v>11.741864444444442</v>
      </c>
      <c r="P88">
        <f t="shared" si="11"/>
        <v>11.667659444444443</v>
      </c>
      <c r="Q88">
        <f t="shared" si="11"/>
        <v>11.593454444444442</v>
      </c>
      <c r="R88">
        <f t="shared" si="11"/>
        <v>11.519249444444441</v>
      </c>
      <c r="S88">
        <f t="shared" si="11"/>
        <v>11.445044444444441</v>
      </c>
      <c r="T88">
        <f t="shared" si="11"/>
        <v>11.370839444444442</v>
      </c>
      <c r="U88">
        <f t="shared" si="12"/>
        <v>11.296634444444441</v>
      </c>
      <c r="V88">
        <f t="shared" si="12"/>
        <v>11.22242944444444</v>
      </c>
      <c r="W88">
        <f t="shared" si="12"/>
        <v>11.148224444444441</v>
      </c>
      <c r="X88">
        <f t="shared" si="12"/>
        <v>11.074019444444442</v>
      </c>
      <c r="Y88">
        <f t="shared" si="12"/>
        <v>10.999814444444441</v>
      </c>
      <c r="Z88">
        <f t="shared" si="12"/>
        <v>10.92560944444444</v>
      </c>
      <c r="AA88">
        <f t="shared" si="12"/>
        <v>10.851404444444441</v>
      </c>
      <c r="AB88">
        <f t="shared" si="12"/>
        <v>10.777199444444442</v>
      </c>
      <c r="AC88">
        <f t="shared" si="12"/>
        <v>10.702994444444441</v>
      </c>
      <c r="AD88">
        <f t="shared" si="14"/>
        <v>9.3673044444444429</v>
      </c>
    </row>
    <row r="89" spans="2:30" x14ac:dyDescent="0.2">
      <c r="B89" s="7">
        <v>44657</v>
      </c>
      <c r="C89" s="8">
        <v>9.4673611111111047</v>
      </c>
      <c r="D89">
        <f t="shared" si="10"/>
        <v>12.743536111111105</v>
      </c>
      <c r="E89">
        <f t="shared" si="13"/>
        <v>12.669331111111106</v>
      </c>
      <c r="F89">
        <f t="shared" si="13"/>
        <v>12.595126111111105</v>
      </c>
      <c r="G89">
        <f t="shared" si="11"/>
        <v>12.520921111111104</v>
      </c>
      <c r="H89">
        <f t="shared" si="11"/>
        <v>12.446716111111105</v>
      </c>
      <c r="I89">
        <f t="shared" si="11"/>
        <v>12.372511111111105</v>
      </c>
      <c r="J89">
        <f t="shared" si="11"/>
        <v>12.298306111111104</v>
      </c>
      <c r="K89">
        <f t="shared" si="11"/>
        <v>12.224101111111105</v>
      </c>
      <c r="L89">
        <f t="shared" si="11"/>
        <v>12.149896111111104</v>
      </c>
      <c r="M89">
        <f t="shared" si="11"/>
        <v>12.075691111111105</v>
      </c>
      <c r="N89">
        <f t="shared" si="11"/>
        <v>12.001486111111106</v>
      </c>
      <c r="O89">
        <f t="shared" si="11"/>
        <v>11.927281111111105</v>
      </c>
      <c r="P89">
        <f t="shared" si="11"/>
        <v>11.853076111111104</v>
      </c>
      <c r="Q89">
        <f t="shared" si="11"/>
        <v>11.778871111111105</v>
      </c>
      <c r="R89">
        <f t="shared" si="11"/>
        <v>11.704666111111106</v>
      </c>
      <c r="S89">
        <f t="shared" si="11"/>
        <v>11.630461111111105</v>
      </c>
      <c r="T89">
        <f t="shared" si="11"/>
        <v>11.556256111111104</v>
      </c>
      <c r="U89">
        <f t="shared" si="12"/>
        <v>11.482051111111105</v>
      </c>
      <c r="V89">
        <f t="shared" si="12"/>
        <v>11.407846111111105</v>
      </c>
      <c r="W89">
        <f t="shared" si="12"/>
        <v>11.333641111111104</v>
      </c>
      <c r="X89">
        <f t="shared" si="12"/>
        <v>11.259436111111103</v>
      </c>
      <c r="Y89">
        <f t="shared" si="12"/>
        <v>11.185231111111104</v>
      </c>
      <c r="Z89">
        <f t="shared" si="12"/>
        <v>11.111026111111105</v>
      </c>
      <c r="AA89">
        <f t="shared" si="12"/>
        <v>11.036821111111104</v>
      </c>
      <c r="AB89">
        <f t="shared" si="12"/>
        <v>10.962616111111103</v>
      </c>
      <c r="AC89">
        <f t="shared" si="12"/>
        <v>10.888411111111104</v>
      </c>
      <c r="AD89">
        <f t="shared" si="14"/>
        <v>9.5527211111111043</v>
      </c>
    </row>
    <row r="90" spans="2:30" x14ac:dyDescent="0.2">
      <c r="B90" s="7">
        <v>44658</v>
      </c>
      <c r="C90" s="8">
        <v>9.0534722222222186</v>
      </c>
      <c r="D90">
        <f t="shared" si="10"/>
        <v>12.329647222222219</v>
      </c>
      <c r="E90">
        <f t="shared" si="13"/>
        <v>12.255442222222218</v>
      </c>
      <c r="F90">
        <f t="shared" si="13"/>
        <v>12.181237222222219</v>
      </c>
      <c r="G90">
        <f t="shared" si="11"/>
        <v>12.10703222222222</v>
      </c>
      <c r="H90">
        <f t="shared" si="11"/>
        <v>12.032827222222219</v>
      </c>
      <c r="I90">
        <f t="shared" si="11"/>
        <v>11.958622222222219</v>
      </c>
      <c r="J90">
        <f t="shared" si="11"/>
        <v>11.884417222222218</v>
      </c>
      <c r="K90">
        <f t="shared" si="11"/>
        <v>11.810212222222219</v>
      </c>
      <c r="L90">
        <f t="shared" si="11"/>
        <v>11.736007222222218</v>
      </c>
      <c r="M90">
        <f t="shared" si="11"/>
        <v>11.661802222222219</v>
      </c>
      <c r="N90">
        <f t="shared" si="11"/>
        <v>11.587597222222218</v>
      </c>
      <c r="O90">
        <f t="shared" si="11"/>
        <v>11.513392222222219</v>
      </c>
      <c r="P90">
        <f t="shared" si="11"/>
        <v>11.43918722222222</v>
      </c>
      <c r="Q90">
        <f t="shared" si="11"/>
        <v>11.364982222222219</v>
      </c>
      <c r="R90">
        <f t="shared" si="11"/>
        <v>11.290777222222218</v>
      </c>
      <c r="S90">
        <f t="shared" si="11"/>
        <v>11.216572222222219</v>
      </c>
      <c r="T90">
        <f t="shared" si="11"/>
        <v>11.142367222222219</v>
      </c>
      <c r="U90">
        <f t="shared" si="12"/>
        <v>11.068162222222218</v>
      </c>
      <c r="V90">
        <f t="shared" si="12"/>
        <v>10.993957222222217</v>
      </c>
      <c r="W90">
        <f t="shared" si="12"/>
        <v>10.919752222222218</v>
      </c>
      <c r="X90">
        <f t="shared" si="12"/>
        <v>10.845547222222219</v>
      </c>
      <c r="Y90">
        <f t="shared" si="12"/>
        <v>10.771342222222218</v>
      </c>
      <c r="Z90">
        <f t="shared" si="12"/>
        <v>10.697137222222217</v>
      </c>
      <c r="AA90">
        <f t="shared" si="12"/>
        <v>10.622932222222218</v>
      </c>
      <c r="AB90">
        <f t="shared" si="12"/>
        <v>10.548727222222219</v>
      </c>
      <c r="AC90">
        <f t="shared" si="12"/>
        <v>10.474522222222218</v>
      </c>
      <c r="AD90">
        <f t="shared" si="14"/>
        <v>9.13883222222222</v>
      </c>
    </row>
    <row r="91" spans="2:30" x14ac:dyDescent="0.2">
      <c r="B91" s="7">
        <v>44659</v>
      </c>
      <c r="C91" s="8">
        <v>7.7354166666666693</v>
      </c>
      <c r="D91">
        <f t="shared" si="10"/>
        <v>11.01159166666667</v>
      </c>
      <c r="E91">
        <f t="shared" si="13"/>
        <v>10.937386666666669</v>
      </c>
      <c r="F91">
        <f t="shared" si="13"/>
        <v>10.863181666666669</v>
      </c>
      <c r="G91">
        <f t="shared" si="11"/>
        <v>10.78897666666667</v>
      </c>
      <c r="H91">
        <f t="shared" si="11"/>
        <v>10.714771666666669</v>
      </c>
      <c r="I91">
        <f t="shared" si="11"/>
        <v>10.64056666666667</v>
      </c>
      <c r="J91">
        <f t="shared" si="11"/>
        <v>10.566361666666669</v>
      </c>
      <c r="K91">
        <f t="shared" si="11"/>
        <v>10.49215666666667</v>
      </c>
      <c r="L91">
        <f t="shared" si="11"/>
        <v>10.417951666666669</v>
      </c>
      <c r="M91">
        <f t="shared" si="11"/>
        <v>10.34374666666667</v>
      </c>
      <c r="N91">
        <f t="shared" si="11"/>
        <v>10.269541666666669</v>
      </c>
      <c r="O91">
        <f t="shared" si="11"/>
        <v>10.19533666666667</v>
      </c>
      <c r="P91">
        <f t="shared" si="11"/>
        <v>10.12113166666667</v>
      </c>
      <c r="Q91">
        <f t="shared" si="11"/>
        <v>10.046926666666669</v>
      </c>
      <c r="R91">
        <f t="shared" si="11"/>
        <v>9.9727216666666685</v>
      </c>
      <c r="S91">
        <f t="shared" si="11"/>
        <v>9.8985166666666693</v>
      </c>
      <c r="T91">
        <f t="shared" si="11"/>
        <v>9.8243116666666701</v>
      </c>
      <c r="U91">
        <f t="shared" si="12"/>
        <v>9.7501066666666691</v>
      </c>
      <c r="V91">
        <f t="shared" si="12"/>
        <v>9.6759016666666682</v>
      </c>
      <c r="W91">
        <f t="shared" si="12"/>
        <v>9.601696666666669</v>
      </c>
      <c r="X91">
        <f t="shared" si="12"/>
        <v>9.5274916666666698</v>
      </c>
      <c r="Y91">
        <f t="shared" si="12"/>
        <v>9.4532866666666688</v>
      </c>
      <c r="Z91">
        <f t="shared" si="12"/>
        <v>9.3790816666666679</v>
      </c>
      <c r="AA91">
        <f t="shared" si="12"/>
        <v>9.3048766666666687</v>
      </c>
      <c r="AB91">
        <f t="shared" si="12"/>
        <v>9.2306716666666695</v>
      </c>
      <c r="AC91">
        <f t="shared" si="12"/>
        <v>9.1564666666666685</v>
      </c>
      <c r="AD91">
        <f t="shared" si="14"/>
        <v>7.8207766666666698</v>
      </c>
    </row>
    <row r="92" spans="2:30" x14ac:dyDescent="0.2">
      <c r="B92" s="7">
        <v>44660</v>
      </c>
      <c r="C92" s="8">
        <v>7.6013888888888834</v>
      </c>
      <c r="D92">
        <f t="shared" si="10"/>
        <v>10.877563888888883</v>
      </c>
      <c r="E92">
        <f t="shared" si="13"/>
        <v>10.803358888888884</v>
      </c>
      <c r="F92">
        <f t="shared" si="13"/>
        <v>10.729153888888884</v>
      </c>
      <c r="G92">
        <f t="shared" si="11"/>
        <v>10.654948888888883</v>
      </c>
      <c r="H92">
        <f t="shared" si="11"/>
        <v>10.580743888888884</v>
      </c>
      <c r="I92">
        <f t="shared" si="11"/>
        <v>10.506538888888883</v>
      </c>
      <c r="J92">
        <f t="shared" si="11"/>
        <v>10.432333888888884</v>
      </c>
      <c r="K92">
        <f t="shared" si="11"/>
        <v>10.358128888888883</v>
      </c>
      <c r="L92">
        <f t="shared" si="11"/>
        <v>10.283923888888884</v>
      </c>
      <c r="M92">
        <f t="shared" si="11"/>
        <v>10.209718888888883</v>
      </c>
      <c r="N92">
        <f t="shared" si="11"/>
        <v>10.135513888888884</v>
      </c>
      <c r="O92">
        <f t="shared" si="11"/>
        <v>10.061308888888885</v>
      </c>
      <c r="P92">
        <f t="shared" si="11"/>
        <v>9.9871038888888837</v>
      </c>
      <c r="Q92">
        <f t="shared" si="11"/>
        <v>9.9128988888888827</v>
      </c>
      <c r="R92">
        <f t="shared" si="11"/>
        <v>9.8386938888888835</v>
      </c>
      <c r="S92">
        <f t="shared" si="11"/>
        <v>9.7644888888888843</v>
      </c>
      <c r="T92">
        <f t="shared" si="11"/>
        <v>9.6902838888888834</v>
      </c>
      <c r="U92">
        <f t="shared" si="12"/>
        <v>9.6160788888888824</v>
      </c>
      <c r="V92">
        <f t="shared" si="12"/>
        <v>9.5418738888888832</v>
      </c>
      <c r="W92">
        <f t="shared" si="12"/>
        <v>9.467668888888884</v>
      </c>
      <c r="X92">
        <f t="shared" si="12"/>
        <v>9.3934638888888831</v>
      </c>
      <c r="Y92">
        <f t="shared" si="12"/>
        <v>9.3192588888888821</v>
      </c>
      <c r="Z92">
        <f t="shared" si="12"/>
        <v>9.2450538888888829</v>
      </c>
      <c r="AA92">
        <f t="shared" si="12"/>
        <v>9.1708488888888837</v>
      </c>
      <c r="AB92">
        <f t="shared" si="12"/>
        <v>9.0966438888888828</v>
      </c>
      <c r="AC92">
        <f t="shared" si="12"/>
        <v>9.0224388888888818</v>
      </c>
      <c r="AD92">
        <f t="shared" si="14"/>
        <v>7.686748888888884</v>
      </c>
    </row>
    <row r="93" spans="2:30" x14ac:dyDescent="0.2">
      <c r="B93" s="7">
        <v>44661</v>
      </c>
      <c r="C93" s="8">
        <v>9.4430555555555529</v>
      </c>
      <c r="D93">
        <f t="shared" si="10"/>
        <v>12.719230555555553</v>
      </c>
      <c r="E93">
        <f t="shared" si="13"/>
        <v>12.645025555555552</v>
      </c>
      <c r="F93">
        <f t="shared" si="13"/>
        <v>12.570820555555553</v>
      </c>
      <c r="G93">
        <f t="shared" si="11"/>
        <v>12.496615555555554</v>
      </c>
      <c r="H93">
        <f t="shared" si="11"/>
        <v>12.422410555555553</v>
      </c>
      <c r="I93">
        <f t="shared" si="11"/>
        <v>12.348205555555554</v>
      </c>
      <c r="J93">
        <f t="shared" si="11"/>
        <v>12.274000555555553</v>
      </c>
      <c r="K93">
        <f t="shared" si="11"/>
        <v>12.199795555555554</v>
      </c>
      <c r="L93">
        <f t="shared" si="11"/>
        <v>12.125590555555553</v>
      </c>
      <c r="M93">
        <f t="shared" si="11"/>
        <v>12.051385555555553</v>
      </c>
      <c r="N93">
        <f t="shared" si="11"/>
        <v>11.977180555555552</v>
      </c>
      <c r="O93">
        <f t="shared" ref="G93:T111" si="15">(-1.4841*O$3+3.6472)+$C93</f>
        <v>11.902975555555553</v>
      </c>
      <c r="P93">
        <f t="shared" si="15"/>
        <v>11.828770555555554</v>
      </c>
      <c r="Q93">
        <f t="shared" si="15"/>
        <v>11.754565555555553</v>
      </c>
      <c r="R93">
        <f t="shared" si="15"/>
        <v>11.680360555555552</v>
      </c>
      <c r="S93">
        <f t="shared" si="15"/>
        <v>11.606155555555553</v>
      </c>
      <c r="T93">
        <f t="shared" si="15"/>
        <v>11.531950555555554</v>
      </c>
      <c r="U93">
        <f t="shared" si="12"/>
        <v>11.457745555555553</v>
      </c>
      <c r="V93">
        <f t="shared" si="12"/>
        <v>11.383540555555552</v>
      </c>
      <c r="W93">
        <f t="shared" si="12"/>
        <v>11.309335555555553</v>
      </c>
      <c r="X93">
        <f t="shared" si="12"/>
        <v>11.235130555555553</v>
      </c>
      <c r="Y93">
        <f t="shared" si="12"/>
        <v>11.160925555555552</v>
      </c>
      <c r="Z93">
        <f t="shared" si="12"/>
        <v>11.086720555555551</v>
      </c>
      <c r="AA93">
        <f t="shared" si="12"/>
        <v>11.012515555555552</v>
      </c>
      <c r="AB93">
        <f t="shared" si="12"/>
        <v>10.938310555555553</v>
      </c>
      <c r="AC93">
        <f t="shared" si="12"/>
        <v>10.864105555555552</v>
      </c>
      <c r="AD93">
        <f t="shared" si="14"/>
        <v>9.5284155555555543</v>
      </c>
    </row>
    <row r="94" spans="2:30" x14ac:dyDescent="0.2">
      <c r="B94" s="7">
        <v>44662</v>
      </c>
      <c r="C94" s="8">
        <v>11.643055555555547</v>
      </c>
      <c r="D94">
        <f t="shared" si="10"/>
        <v>14.919230555555547</v>
      </c>
      <c r="E94">
        <f t="shared" si="13"/>
        <v>14.845025555555548</v>
      </c>
      <c r="F94">
        <f t="shared" si="13"/>
        <v>14.770820555555547</v>
      </c>
      <c r="G94">
        <f t="shared" si="15"/>
        <v>14.696615555555546</v>
      </c>
      <c r="H94">
        <f t="shared" si="15"/>
        <v>14.622410555555547</v>
      </c>
      <c r="I94">
        <f t="shared" si="15"/>
        <v>14.548205555555548</v>
      </c>
      <c r="J94">
        <f t="shared" si="15"/>
        <v>14.474000555555547</v>
      </c>
      <c r="K94">
        <f t="shared" si="15"/>
        <v>14.399795555555547</v>
      </c>
      <c r="L94">
        <f t="shared" si="15"/>
        <v>14.325590555555547</v>
      </c>
      <c r="M94">
        <f t="shared" si="15"/>
        <v>14.251385555555547</v>
      </c>
      <c r="N94">
        <f t="shared" si="15"/>
        <v>14.177180555555548</v>
      </c>
      <c r="O94">
        <f t="shared" si="15"/>
        <v>14.102975555555547</v>
      </c>
      <c r="P94">
        <f t="shared" si="15"/>
        <v>14.028770555555546</v>
      </c>
      <c r="Q94">
        <f t="shared" si="15"/>
        <v>13.954565555555547</v>
      </c>
      <c r="R94">
        <f t="shared" si="15"/>
        <v>13.880360555555548</v>
      </c>
      <c r="S94">
        <f t="shared" si="15"/>
        <v>13.806155555555547</v>
      </c>
      <c r="T94">
        <f t="shared" si="15"/>
        <v>13.731950555555546</v>
      </c>
      <c r="U94">
        <f t="shared" si="12"/>
        <v>13.657745555555547</v>
      </c>
      <c r="V94">
        <f t="shared" si="12"/>
        <v>13.583540555555548</v>
      </c>
      <c r="W94">
        <f t="shared" si="12"/>
        <v>13.509335555555547</v>
      </c>
      <c r="X94">
        <f t="shared" si="12"/>
        <v>13.435130555555546</v>
      </c>
      <c r="Y94">
        <f t="shared" si="12"/>
        <v>13.360925555555546</v>
      </c>
      <c r="Z94">
        <f t="shared" si="12"/>
        <v>13.286720555555547</v>
      </c>
      <c r="AA94">
        <f t="shared" si="12"/>
        <v>13.212515555555546</v>
      </c>
      <c r="AB94">
        <f t="shared" si="12"/>
        <v>13.138310555555545</v>
      </c>
      <c r="AC94">
        <f t="shared" si="12"/>
        <v>13.064105555555546</v>
      </c>
      <c r="AD94">
        <f t="shared" si="14"/>
        <v>11.728415555555546</v>
      </c>
    </row>
    <row r="95" spans="2:30" x14ac:dyDescent="0.2">
      <c r="B95" s="7">
        <v>44663</v>
      </c>
      <c r="C95" s="8">
        <v>12.64374999999999</v>
      </c>
      <c r="D95">
        <f t="shared" si="10"/>
        <v>15.91992499999999</v>
      </c>
      <c r="E95">
        <f t="shared" si="13"/>
        <v>15.845719999999989</v>
      </c>
      <c r="F95">
        <f t="shared" si="13"/>
        <v>15.77151499999999</v>
      </c>
      <c r="G95">
        <f t="shared" si="15"/>
        <v>15.697309999999991</v>
      </c>
      <c r="H95">
        <f t="shared" si="15"/>
        <v>15.62310499999999</v>
      </c>
      <c r="I95">
        <f t="shared" si="15"/>
        <v>15.548899999999991</v>
      </c>
      <c r="J95">
        <f t="shared" si="15"/>
        <v>15.47469499999999</v>
      </c>
      <c r="K95">
        <f t="shared" si="15"/>
        <v>15.400489999999991</v>
      </c>
      <c r="L95">
        <f t="shared" si="15"/>
        <v>15.32628499999999</v>
      </c>
      <c r="M95">
        <f t="shared" si="15"/>
        <v>15.252079999999991</v>
      </c>
      <c r="N95">
        <f t="shared" si="15"/>
        <v>15.17787499999999</v>
      </c>
      <c r="O95">
        <f t="shared" si="15"/>
        <v>15.10366999999999</v>
      </c>
      <c r="P95">
        <f t="shared" si="15"/>
        <v>15.029464999999991</v>
      </c>
      <c r="Q95">
        <f t="shared" si="15"/>
        <v>14.95525999999999</v>
      </c>
      <c r="R95">
        <f t="shared" si="15"/>
        <v>14.881054999999989</v>
      </c>
      <c r="S95">
        <f t="shared" si="15"/>
        <v>14.80684999999999</v>
      </c>
      <c r="T95">
        <f t="shared" si="15"/>
        <v>14.732644999999991</v>
      </c>
      <c r="U95">
        <f t="shared" si="12"/>
        <v>14.65843999999999</v>
      </c>
      <c r="V95">
        <f t="shared" si="12"/>
        <v>14.584234999999989</v>
      </c>
      <c r="W95">
        <f t="shared" si="12"/>
        <v>14.51002999999999</v>
      </c>
      <c r="X95">
        <f t="shared" si="12"/>
        <v>14.435824999999991</v>
      </c>
      <c r="Y95">
        <f t="shared" si="12"/>
        <v>14.36161999999999</v>
      </c>
      <c r="Z95">
        <f t="shared" si="12"/>
        <v>14.287414999999989</v>
      </c>
      <c r="AA95">
        <f t="shared" si="12"/>
        <v>14.213209999999989</v>
      </c>
      <c r="AB95">
        <f t="shared" si="12"/>
        <v>14.13900499999999</v>
      </c>
      <c r="AC95">
        <f t="shared" si="12"/>
        <v>14.064799999999989</v>
      </c>
      <c r="AD95">
        <f t="shared" si="14"/>
        <v>12.729109999999991</v>
      </c>
    </row>
    <row r="96" spans="2:30" x14ac:dyDescent="0.2">
      <c r="B96" s="7">
        <v>44664</v>
      </c>
      <c r="C96" s="8">
        <v>14.793749999999992</v>
      </c>
      <c r="D96">
        <f t="shared" si="10"/>
        <v>18.069924999999991</v>
      </c>
      <c r="E96">
        <f t="shared" si="13"/>
        <v>17.995719999999992</v>
      </c>
      <c r="F96">
        <f t="shared" si="13"/>
        <v>17.921514999999992</v>
      </c>
      <c r="G96">
        <f t="shared" si="15"/>
        <v>17.847309999999993</v>
      </c>
      <c r="H96">
        <f t="shared" si="15"/>
        <v>17.773104999999994</v>
      </c>
      <c r="I96">
        <f t="shared" si="15"/>
        <v>17.698899999999991</v>
      </c>
      <c r="J96">
        <f t="shared" si="15"/>
        <v>17.624694999999992</v>
      </c>
      <c r="K96">
        <f t="shared" si="15"/>
        <v>17.550489999999993</v>
      </c>
      <c r="L96">
        <f t="shared" si="15"/>
        <v>17.476284999999994</v>
      </c>
      <c r="M96">
        <f t="shared" si="15"/>
        <v>17.402079999999991</v>
      </c>
      <c r="N96">
        <f t="shared" si="15"/>
        <v>17.327874999999992</v>
      </c>
      <c r="O96">
        <f t="shared" si="15"/>
        <v>17.253669999999993</v>
      </c>
      <c r="P96">
        <f t="shared" si="15"/>
        <v>17.179464999999993</v>
      </c>
      <c r="Q96">
        <f t="shared" si="15"/>
        <v>17.105259999999994</v>
      </c>
      <c r="R96">
        <f t="shared" si="15"/>
        <v>17.031054999999991</v>
      </c>
      <c r="S96">
        <f t="shared" si="15"/>
        <v>16.956849999999992</v>
      </c>
      <c r="T96">
        <f t="shared" si="15"/>
        <v>16.882644999999993</v>
      </c>
      <c r="U96">
        <f t="shared" si="12"/>
        <v>16.80843999999999</v>
      </c>
      <c r="V96">
        <f t="shared" si="12"/>
        <v>16.734234999999991</v>
      </c>
      <c r="W96">
        <f t="shared" si="12"/>
        <v>16.660029999999992</v>
      </c>
      <c r="X96">
        <f t="shared" si="12"/>
        <v>16.585824999999993</v>
      </c>
      <c r="Y96">
        <f t="shared" si="12"/>
        <v>16.511619999999994</v>
      </c>
      <c r="Z96">
        <f t="shared" si="12"/>
        <v>16.437414999999991</v>
      </c>
      <c r="AA96">
        <f t="shared" si="12"/>
        <v>16.363209999999992</v>
      </c>
      <c r="AB96">
        <f t="shared" si="12"/>
        <v>16.289004999999992</v>
      </c>
      <c r="AC96">
        <f t="shared" si="12"/>
        <v>16.21479999999999</v>
      </c>
      <c r="AD96">
        <f t="shared" si="14"/>
        <v>14.879109999999994</v>
      </c>
    </row>
    <row r="97" spans="2:30" x14ac:dyDescent="0.2">
      <c r="B97" s="7">
        <v>44665</v>
      </c>
      <c r="C97" s="8">
        <v>16.143749999999997</v>
      </c>
      <c r="D97">
        <f t="shared" si="10"/>
        <v>19.419924999999999</v>
      </c>
      <c r="E97">
        <f t="shared" si="13"/>
        <v>19.345719999999996</v>
      </c>
      <c r="F97">
        <f t="shared" si="13"/>
        <v>19.271514999999997</v>
      </c>
      <c r="G97">
        <f t="shared" si="15"/>
        <v>19.197309999999998</v>
      </c>
      <c r="H97">
        <f t="shared" si="15"/>
        <v>19.123104999999999</v>
      </c>
      <c r="I97">
        <f t="shared" si="15"/>
        <v>19.048899999999996</v>
      </c>
      <c r="J97">
        <f t="shared" si="15"/>
        <v>18.974694999999997</v>
      </c>
      <c r="K97">
        <f t="shared" si="15"/>
        <v>18.900489999999998</v>
      </c>
      <c r="L97">
        <f t="shared" si="15"/>
        <v>18.826284999999999</v>
      </c>
      <c r="M97">
        <f t="shared" si="15"/>
        <v>18.752079999999996</v>
      </c>
      <c r="N97">
        <f t="shared" si="15"/>
        <v>18.677874999999997</v>
      </c>
      <c r="O97">
        <f t="shared" si="15"/>
        <v>18.603669999999997</v>
      </c>
      <c r="P97">
        <f t="shared" si="15"/>
        <v>18.529464999999998</v>
      </c>
      <c r="Q97">
        <f t="shared" si="15"/>
        <v>18.455259999999996</v>
      </c>
      <c r="R97">
        <f t="shared" si="15"/>
        <v>18.381054999999996</v>
      </c>
      <c r="S97">
        <f t="shared" si="15"/>
        <v>18.306849999999997</v>
      </c>
      <c r="T97">
        <f t="shared" si="15"/>
        <v>18.232644999999998</v>
      </c>
      <c r="U97">
        <f t="shared" si="12"/>
        <v>18.158439999999999</v>
      </c>
      <c r="V97">
        <f t="shared" si="12"/>
        <v>18.084234999999996</v>
      </c>
      <c r="W97">
        <f t="shared" si="12"/>
        <v>18.010029999999997</v>
      </c>
      <c r="X97">
        <f t="shared" si="12"/>
        <v>17.935824999999998</v>
      </c>
      <c r="Y97">
        <f t="shared" si="12"/>
        <v>17.861619999999995</v>
      </c>
      <c r="Z97">
        <f t="shared" si="12"/>
        <v>17.787414999999996</v>
      </c>
      <c r="AA97">
        <f t="shared" si="12"/>
        <v>17.713209999999997</v>
      </c>
      <c r="AB97">
        <f t="shared" si="12"/>
        <v>17.639004999999997</v>
      </c>
      <c r="AC97">
        <f t="shared" si="12"/>
        <v>17.564799999999998</v>
      </c>
      <c r="AD97">
        <f t="shared" si="14"/>
        <v>16.229109999999999</v>
      </c>
    </row>
    <row r="98" spans="2:30" x14ac:dyDescent="0.2">
      <c r="B98" s="7">
        <v>44666</v>
      </c>
      <c r="C98" s="8">
        <v>16.186111111111103</v>
      </c>
      <c r="D98">
        <f t="shared" si="10"/>
        <v>19.462286111111105</v>
      </c>
      <c r="E98">
        <f t="shared" si="13"/>
        <v>19.388081111111102</v>
      </c>
      <c r="F98">
        <f t="shared" si="13"/>
        <v>19.313876111111103</v>
      </c>
      <c r="G98">
        <f t="shared" si="15"/>
        <v>19.239671111111104</v>
      </c>
      <c r="H98">
        <f t="shared" si="15"/>
        <v>19.165466111111105</v>
      </c>
      <c r="I98">
        <f t="shared" si="15"/>
        <v>19.091261111111102</v>
      </c>
      <c r="J98">
        <f t="shared" si="15"/>
        <v>19.017056111111103</v>
      </c>
      <c r="K98">
        <f t="shared" si="15"/>
        <v>18.942851111111104</v>
      </c>
      <c r="L98">
        <f t="shared" si="15"/>
        <v>18.868646111111104</v>
      </c>
      <c r="M98">
        <f t="shared" si="15"/>
        <v>18.794441111111102</v>
      </c>
      <c r="N98">
        <f t="shared" si="15"/>
        <v>18.720236111111102</v>
      </c>
      <c r="O98">
        <f t="shared" si="15"/>
        <v>18.646031111111103</v>
      </c>
      <c r="P98">
        <f t="shared" si="15"/>
        <v>18.571826111111104</v>
      </c>
      <c r="Q98">
        <f t="shared" si="15"/>
        <v>18.497621111111101</v>
      </c>
      <c r="R98">
        <f t="shared" si="15"/>
        <v>18.423416111111102</v>
      </c>
      <c r="S98">
        <f t="shared" si="15"/>
        <v>18.349211111111103</v>
      </c>
      <c r="T98">
        <f t="shared" si="15"/>
        <v>18.275006111111104</v>
      </c>
      <c r="U98">
        <f t="shared" si="12"/>
        <v>18.200801111111105</v>
      </c>
      <c r="V98">
        <f t="shared" si="12"/>
        <v>18.126596111111102</v>
      </c>
      <c r="W98">
        <f t="shared" si="12"/>
        <v>18.052391111111103</v>
      </c>
      <c r="X98">
        <f t="shared" si="12"/>
        <v>17.978186111111103</v>
      </c>
      <c r="Y98">
        <f t="shared" si="12"/>
        <v>17.903981111111101</v>
      </c>
      <c r="Z98">
        <f t="shared" si="12"/>
        <v>17.829776111111101</v>
      </c>
      <c r="AA98">
        <f t="shared" si="12"/>
        <v>17.755571111111102</v>
      </c>
      <c r="AB98">
        <f t="shared" si="12"/>
        <v>17.681366111111103</v>
      </c>
      <c r="AC98">
        <f t="shared" si="12"/>
        <v>17.607161111111104</v>
      </c>
      <c r="AD98">
        <f t="shared" si="14"/>
        <v>16.271471111111104</v>
      </c>
    </row>
    <row r="99" spans="2:30" x14ac:dyDescent="0.2">
      <c r="B99" s="7">
        <v>44667</v>
      </c>
      <c r="C99" s="8">
        <v>15.331249999999992</v>
      </c>
      <c r="D99">
        <f t="shared" si="10"/>
        <v>18.607424999999992</v>
      </c>
      <c r="E99">
        <f t="shared" si="13"/>
        <v>18.533219999999993</v>
      </c>
      <c r="F99">
        <f t="shared" si="13"/>
        <v>18.459014999999994</v>
      </c>
      <c r="G99">
        <f t="shared" si="15"/>
        <v>18.384809999999991</v>
      </c>
      <c r="H99">
        <f t="shared" si="15"/>
        <v>18.310604999999992</v>
      </c>
      <c r="I99">
        <f t="shared" si="15"/>
        <v>18.236399999999993</v>
      </c>
      <c r="J99">
        <f t="shared" si="15"/>
        <v>18.162194999999993</v>
      </c>
      <c r="K99">
        <f t="shared" si="15"/>
        <v>18.087989999999991</v>
      </c>
      <c r="L99">
        <f t="shared" si="15"/>
        <v>18.013784999999991</v>
      </c>
      <c r="M99">
        <f t="shared" si="15"/>
        <v>17.939579999999992</v>
      </c>
      <c r="N99">
        <f t="shared" si="15"/>
        <v>17.865374999999993</v>
      </c>
      <c r="O99">
        <f t="shared" si="15"/>
        <v>17.791169999999994</v>
      </c>
      <c r="P99">
        <f t="shared" si="15"/>
        <v>17.716964999999991</v>
      </c>
      <c r="Q99">
        <f t="shared" si="15"/>
        <v>17.642759999999992</v>
      </c>
      <c r="R99">
        <f t="shared" si="15"/>
        <v>17.568554999999993</v>
      </c>
      <c r="S99">
        <f t="shared" si="15"/>
        <v>17.49434999999999</v>
      </c>
      <c r="T99">
        <f t="shared" si="15"/>
        <v>17.420144999999991</v>
      </c>
      <c r="U99">
        <f t="shared" si="12"/>
        <v>17.345939999999992</v>
      </c>
      <c r="V99">
        <f t="shared" si="12"/>
        <v>17.271734999999993</v>
      </c>
      <c r="W99">
        <f t="shared" si="12"/>
        <v>17.197529999999993</v>
      </c>
      <c r="X99">
        <f t="shared" si="12"/>
        <v>17.123324999999991</v>
      </c>
      <c r="Y99">
        <f t="shared" si="12"/>
        <v>17.049119999999991</v>
      </c>
      <c r="Z99">
        <f t="shared" si="12"/>
        <v>16.974914999999992</v>
      </c>
      <c r="AA99">
        <f t="shared" si="12"/>
        <v>16.900709999999989</v>
      </c>
      <c r="AB99">
        <f t="shared" si="12"/>
        <v>16.82650499999999</v>
      </c>
      <c r="AC99">
        <f t="shared" si="12"/>
        <v>16.752299999999991</v>
      </c>
      <c r="AD99">
        <f t="shared" si="14"/>
        <v>15.416609999999991</v>
      </c>
    </row>
    <row r="100" spans="2:30" x14ac:dyDescent="0.2">
      <c r="B100" s="7">
        <v>44668</v>
      </c>
      <c r="C100" s="8">
        <v>14.629166666666659</v>
      </c>
      <c r="D100">
        <f t="shared" si="10"/>
        <v>17.905341666666658</v>
      </c>
      <c r="E100">
        <f t="shared" si="13"/>
        <v>17.831136666666659</v>
      </c>
      <c r="F100">
        <f t="shared" si="13"/>
        <v>17.756931666666659</v>
      </c>
      <c r="G100">
        <f t="shared" si="15"/>
        <v>17.68272666666666</v>
      </c>
      <c r="H100">
        <f t="shared" si="15"/>
        <v>17.608521666666661</v>
      </c>
      <c r="I100">
        <f t="shared" si="15"/>
        <v>17.534316666666658</v>
      </c>
      <c r="J100">
        <f t="shared" si="15"/>
        <v>17.460111666666659</v>
      </c>
      <c r="K100">
        <f t="shared" si="15"/>
        <v>17.38590666666666</v>
      </c>
      <c r="L100">
        <f t="shared" si="15"/>
        <v>17.311701666666661</v>
      </c>
      <c r="M100">
        <f t="shared" si="15"/>
        <v>17.237496666666658</v>
      </c>
      <c r="N100">
        <f t="shared" si="15"/>
        <v>17.163291666666659</v>
      </c>
      <c r="O100">
        <f t="shared" si="15"/>
        <v>17.08908666666666</v>
      </c>
      <c r="P100">
        <f t="shared" si="15"/>
        <v>17.01488166666666</v>
      </c>
      <c r="Q100">
        <f t="shared" si="15"/>
        <v>16.940676666666661</v>
      </c>
      <c r="R100">
        <f t="shared" si="15"/>
        <v>16.866471666666659</v>
      </c>
      <c r="S100">
        <f t="shared" si="15"/>
        <v>16.792266666666659</v>
      </c>
      <c r="T100">
        <f t="shared" si="15"/>
        <v>16.71806166666666</v>
      </c>
      <c r="U100">
        <f t="shared" si="12"/>
        <v>16.643856666666657</v>
      </c>
      <c r="V100">
        <f t="shared" si="12"/>
        <v>16.569651666666658</v>
      </c>
      <c r="W100">
        <f t="shared" si="12"/>
        <v>16.495446666666659</v>
      </c>
      <c r="X100">
        <f t="shared" si="12"/>
        <v>16.42124166666666</v>
      </c>
      <c r="Y100">
        <f t="shared" si="12"/>
        <v>16.347036666666661</v>
      </c>
      <c r="Z100">
        <f t="shared" si="12"/>
        <v>16.272831666666658</v>
      </c>
      <c r="AA100">
        <f t="shared" si="12"/>
        <v>16.198626666666659</v>
      </c>
      <c r="AB100">
        <f t="shared" si="12"/>
        <v>16.12442166666666</v>
      </c>
      <c r="AC100">
        <f t="shared" si="12"/>
        <v>16.050216666666657</v>
      </c>
      <c r="AD100">
        <f t="shared" si="14"/>
        <v>14.714526666666661</v>
      </c>
    </row>
    <row r="101" spans="2:30" x14ac:dyDescent="0.2">
      <c r="B101" s="7">
        <v>44669</v>
      </c>
      <c r="C101" s="8">
        <v>15.43333333333333</v>
      </c>
      <c r="D101">
        <f t="shared" si="10"/>
        <v>18.709508333333332</v>
      </c>
      <c r="E101">
        <f t="shared" si="13"/>
        <v>18.635303333333329</v>
      </c>
      <c r="F101">
        <f t="shared" si="13"/>
        <v>18.56109833333333</v>
      </c>
      <c r="G101">
        <f t="shared" si="15"/>
        <v>18.486893333333331</v>
      </c>
      <c r="H101">
        <f t="shared" si="15"/>
        <v>18.412688333333332</v>
      </c>
      <c r="I101">
        <f t="shared" si="15"/>
        <v>18.338483333333329</v>
      </c>
      <c r="J101">
        <f t="shared" si="15"/>
        <v>18.26427833333333</v>
      </c>
      <c r="K101">
        <f t="shared" si="15"/>
        <v>18.190073333333331</v>
      </c>
      <c r="L101">
        <f t="shared" si="15"/>
        <v>18.115868333333331</v>
      </c>
      <c r="M101">
        <f t="shared" si="15"/>
        <v>18.041663333333329</v>
      </c>
      <c r="N101">
        <f t="shared" si="15"/>
        <v>17.96745833333333</v>
      </c>
      <c r="O101">
        <f t="shared" si="15"/>
        <v>17.89325333333333</v>
      </c>
      <c r="P101">
        <f t="shared" si="15"/>
        <v>17.819048333333331</v>
      </c>
      <c r="Q101">
        <f t="shared" si="15"/>
        <v>17.744843333333328</v>
      </c>
      <c r="R101">
        <f t="shared" si="15"/>
        <v>17.670638333333329</v>
      </c>
      <c r="S101">
        <f t="shared" si="15"/>
        <v>17.59643333333333</v>
      </c>
      <c r="T101">
        <f t="shared" si="15"/>
        <v>17.522228333333331</v>
      </c>
      <c r="U101">
        <f t="shared" si="12"/>
        <v>17.448023333333332</v>
      </c>
      <c r="V101">
        <f t="shared" si="12"/>
        <v>17.373818333333329</v>
      </c>
      <c r="W101">
        <f t="shared" si="12"/>
        <v>17.29961333333333</v>
      </c>
      <c r="X101">
        <f t="shared" si="12"/>
        <v>17.225408333333331</v>
      </c>
      <c r="Y101">
        <f t="shared" si="12"/>
        <v>17.151203333333328</v>
      </c>
      <c r="Z101">
        <f t="shared" si="12"/>
        <v>17.076998333333329</v>
      </c>
      <c r="AA101">
        <f t="shared" si="12"/>
        <v>17.002793333333329</v>
      </c>
      <c r="AB101">
        <f t="shared" si="12"/>
        <v>16.92858833333333</v>
      </c>
      <c r="AC101">
        <f t="shared" si="12"/>
        <v>16.854383333333331</v>
      </c>
      <c r="AD101">
        <f t="shared" si="14"/>
        <v>15.518693333333331</v>
      </c>
    </row>
    <row r="102" spans="2:30" x14ac:dyDescent="0.2">
      <c r="B102" s="7">
        <v>44670</v>
      </c>
      <c r="C102" s="8">
        <v>15.540277777777776</v>
      </c>
      <c r="D102">
        <f t="shared" si="10"/>
        <v>18.816452777777776</v>
      </c>
      <c r="E102">
        <f t="shared" si="13"/>
        <v>18.742247777777777</v>
      </c>
      <c r="F102">
        <f t="shared" si="13"/>
        <v>18.668042777777778</v>
      </c>
      <c r="G102">
        <f t="shared" si="15"/>
        <v>18.593837777777775</v>
      </c>
      <c r="H102">
        <f t="shared" si="15"/>
        <v>18.519632777777776</v>
      </c>
      <c r="I102">
        <f t="shared" si="15"/>
        <v>18.445427777777777</v>
      </c>
      <c r="J102">
        <f t="shared" si="15"/>
        <v>18.371222777777778</v>
      </c>
      <c r="K102">
        <f t="shared" si="15"/>
        <v>18.297017777777775</v>
      </c>
      <c r="L102">
        <f t="shared" si="15"/>
        <v>18.222812777777776</v>
      </c>
      <c r="M102">
        <f t="shared" si="15"/>
        <v>18.148607777777777</v>
      </c>
      <c r="N102">
        <f t="shared" si="15"/>
        <v>18.074402777777777</v>
      </c>
      <c r="O102">
        <f t="shared" si="15"/>
        <v>18.000197777777778</v>
      </c>
      <c r="P102">
        <f t="shared" si="15"/>
        <v>17.925992777777775</v>
      </c>
      <c r="Q102">
        <f t="shared" si="15"/>
        <v>17.851787777777776</v>
      </c>
      <c r="R102">
        <f t="shared" si="15"/>
        <v>17.777582777777777</v>
      </c>
      <c r="S102">
        <f t="shared" si="15"/>
        <v>17.703377777777774</v>
      </c>
      <c r="T102">
        <f t="shared" si="15"/>
        <v>17.629172777777775</v>
      </c>
      <c r="U102">
        <f t="shared" si="12"/>
        <v>17.554967777777776</v>
      </c>
      <c r="V102">
        <f t="shared" si="12"/>
        <v>17.480762777777777</v>
      </c>
      <c r="W102">
        <f t="shared" si="12"/>
        <v>17.406557777777778</v>
      </c>
      <c r="X102">
        <f t="shared" si="12"/>
        <v>17.332352777777775</v>
      </c>
      <c r="Y102">
        <f t="shared" si="12"/>
        <v>17.258147777777776</v>
      </c>
      <c r="Z102">
        <f t="shared" si="12"/>
        <v>17.183942777777776</v>
      </c>
      <c r="AA102">
        <f t="shared" si="12"/>
        <v>17.109737777777774</v>
      </c>
      <c r="AB102">
        <f t="shared" si="12"/>
        <v>17.035532777777775</v>
      </c>
      <c r="AC102">
        <f t="shared" si="12"/>
        <v>16.961327777777775</v>
      </c>
      <c r="AD102">
        <f t="shared" si="14"/>
        <v>15.625637777777776</v>
      </c>
    </row>
    <row r="103" spans="2:30" x14ac:dyDescent="0.2">
      <c r="B103" s="7">
        <v>44671</v>
      </c>
      <c r="C103" s="8">
        <v>14.750277777777772</v>
      </c>
      <c r="D103">
        <f t="shared" si="10"/>
        <v>18.02645277777777</v>
      </c>
      <c r="E103">
        <f t="shared" si="13"/>
        <v>17.952247777777771</v>
      </c>
      <c r="F103">
        <f t="shared" si="13"/>
        <v>17.878042777777772</v>
      </c>
      <c r="G103">
        <f t="shared" si="15"/>
        <v>17.803837777777773</v>
      </c>
      <c r="H103">
        <f t="shared" si="15"/>
        <v>17.729632777777773</v>
      </c>
      <c r="I103">
        <f t="shared" si="15"/>
        <v>17.655427777777771</v>
      </c>
      <c r="J103">
        <f t="shared" si="15"/>
        <v>17.581222777777771</v>
      </c>
      <c r="K103">
        <f t="shared" si="15"/>
        <v>17.507017777777772</v>
      </c>
      <c r="L103">
        <f t="shared" si="15"/>
        <v>17.432812777777773</v>
      </c>
      <c r="M103">
        <f t="shared" si="15"/>
        <v>17.35860777777777</v>
      </c>
      <c r="N103">
        <f t="shared" si="15"/>
        <v>17.284402777777771</v>
      </c>
      <c r="O103">
        <f t="shared" si="15"/>
        <v>17.210197777777772</v>
      </c>
      <c r="P103">
        <f t="shared" si="15"/>
        <v>17.135992777777773</v>
      </c>
      <c r="Q103">
        <f t="shared" si="15"/>
        <v>17.061787777777774</v>
      </c>
      <c r="R103">
        <f t="shared" si="15"/>
        <v>16.987582777777771</v>
      </c>
      <c r="S103">
        <f t="shared" si="15"/>
        <v>16.913377777777772</v>
      </c>
      <c r="T103">
        <f t="shared" si="15"/>
        <v>16.839172777777772</v>
      </c>
      <c r="U103">
        <f t="shared" si="12"/>
        <v>16.76496777777777</v>
      </c>
      <c r="V103">
        <f t="shared" si="12"/>
        <v>16.690762777777771</v>
      </c>
      <c r="W103">
        <f t="shared" si="12"/>
        <v>16.616557777777771</v>
      </c>
      <c r="X103">
        <f t="shared" si="12"/>
        <v>16.542352777777772</v>
      </c>
      <c r="Y103">
        <f t="shared" si="12"/>
        <v>16.468147777777773</v>
      </c>
      <c r="Z103">
        <f t="shared" si="12"/>
        <v>16.39394277777777</v>
      </c>
      <c r="AA103">
        <f t="shared" si="12"/>
        <v>16.319737777777771</v>
      </c>
      <c r="AB103">
        <f t="shared" si="12"/>
        <v>16.245532777777772</v>
      </c>
      <c r="AC103">
        <f t="shared" si="12"/>
        <v>16.171327777777769</v>
      </c>
      <c r="AD103">
        <f t="shared" si="14"/>
        <v>14.835637777777773</v>
      </c>
    </row>
    <row r="104" spans="2:30" x14ac:dyDescent="0.2">
      <c r="B104" s="7">
        <v>44672</v>
      </c>
      <c r="C104" s="8">
        <v>14.477847222222213</v>
      </c>
      <c r="D104">
        <f t="shared" si="10"/>
        <v>17.754022222222211</v>
      </c>
      <c r="E104">
        <f t="shared" si="13"/>
        <v>17.679817222222212</v>
      </c>
      <c r="F104">
        <f t="shared" si="13"/>
        <v>17.605612222222213</v>
      </c>
      <c r="G104">
        <f t="shared" si="15"/>
        <v>17.531407222222214</v>
      </c>
      <c r="H104">
        <f t="shared" si="15"/>
        <v>17.457202222222215</v>
      </c>
      <c r="I104">
        <f t="shared" si="15"/>
        <v>17.382997222222212</v>
      </c>
      <c r="J104">
        <f t="shared" si="15"/>
        <v>17.308792222222213</v>
      </c>
      <c r="K104">
        <f t="shared" si="15"/>
        <v>17.234587222222213</v>
      </c>
      <c r="L104">
        <f t="shared" si="15"/>
        <v>17.160382222222214</v>
      </c>
      <c r="M104">
        <f t="shared" si="15"/>
        <v>17.086177222222211</v>
      </c>
      <c r="N104">
        <f t="shared" si="15"/>
        <v>17.011972222222212</v>
      </c>
      <c r="O104">
        <f t="shared" si="15"/>
        <v>16.937767222222213</v>
      </c>
      <c r="P104">
        <f t="shared" si="15"/>
        <v>16.863562222222214</v>
      </c>
      <c r="Q104">
        <f t="shared" si="15"/>
        <v>16.789357222222215</v>
      </c>
      <c r="R104">
        <f t="shared" si="15"/>
        <v>16.715152222222212</v>
      </c>
      <c r="S104">
        <f t="shared" si="15"/>
        <v>16.640947222222213</v>
      </c>
      <c r="T104">
        <f t="shared" si="15"/>
        <v>16.566742222222214</v>
      </c>
      <c r="U104">
        <f t="shared" si="12"/>
        <v>16.492537222222211</v>
      </c>
      <c r="V104">
        <f t="shared" si="12"/>
        <v>16.418332222222212</v>
      </c>
      <c r="W104">
        <f t="shared" si="12"/>
        <v>16.344127222222212</v>
      </c>
      <c r="X104">
        <f t="shared" si="12"/>
        <v>16.269922222222213</v>
      </c>
      <c r="Y104">
        <f t="shared" si="12"/>
        <v>16.195717222222214</v>
      </c>
      <c r="Z104">
        <f t="shared" si="12"/>
        <v>16.121512222222211</v>
      </c>
      <c r="AA104">
        <f t="shared" si="12"/>
        <v>16.047307222222212</v>
      </c>
      <c r="AB104">
        <f t="shared" si="12"/>
        <v>15.973102222222213</v>
      </c>
      <c r="AC104">
        <f t="shared" si="12"/>
        <v>15.898897222222212</v>
      </c>
      <c r="AD104">
        <f t="shared" si="14"/>
        <v>14.563207222222214</v>
      </c>
    </row>
    <row r="105" spans="2:30" x14ac:dyDescent="0.2">
      <c r="B105" s="7">
        <v>44673</v>
      </c>
      <c r="C105" s="8">
        <v>14.453472222222214</v>
      </c>
      <c r="D105">
        <f t="shared" si="10"/>
        <v>17.729647222222212</v>
      </c>
      <c r="E105">
        <f t="shared" si="13"/>
        <v>17.655442222222213</v>
      </c>
      <c r="F105">
        <f t="shared" si="13"/>
        <v>17.581237222222214</v>
      </c>
      <c r="G105">
        <f t="shared" si="15"/>
        <v>17.507032222222215</v>
      </c>
      <c r="H105">
        <f t="shared" si="15"/>
        <v>17.432827222222215</v>
      </c>
      <c r="I105">
        <f t="shared" si="15"/>
        <v>17.358622222222213</v>
      </c>
      <c r="J105">
        <f t="shared" si="15"/>
        <v>17.284417222222213</v>
      </c>
      <c r="K105">
        <f t="shared" si="15"/>
        <v>17.210212222222214</v>
      </c>
      <c r="L105">
        <f t="shared" si="15"/>
        <v>17.136007222222215</v>
      </c>
      <c r="M105">
        <f t="shared" si="15"/>
        <v>17.061802222222212</v>
      </c>
      <c r="N105">
        <f t="shared" si="15"/>
        <v>16.987597222222213</v>
      </c>
      <c r="O105">
        <f t="shared" si="15"/>
        <v>16.913392222222214</v>
      </c>
      <c r="P105">
        <f t="shared" si="15"/>
        <v>16.839187222222215</v>
      </c>
      <c r="Q105">
        <f t="shared" si="15"/>
        <v>16.764982222222216</v>
      </c>
      <c r="R105">
        <f t="shared" si="15"/>
        <v>16.690777222222213</v>
      </c>
      <c r="S105">
        <f t="shared" si="15"/>
        <v>16.616572222222214</v>
      </c>
      <c r="T105">
        <f t="shared" si="15"/>
        <v>16.542367222222214</v>
      </c>
      <c r="U105">
        <f t="shared" si="12"/>
        <v>16.468162222222212</v>
      </c>
      <c r="V105">
        <f t="shared" si="12"/>
        <v>16.393957222222213</v>
      </c>
      <c r="W105">
        <f t="shared" si="12"/>
        <v>16.319752222222213</v>
      </c>
      <c r="X105">
        <f t="shared" si="12"/>
        <v>16.245547222222214</v>
      </c>
      <c r="Y105">
        <f t="shared" si="12"/>
        <v>16.171342222222215</v>
      </c>
      <c r="Z105">
        <f t="shared" si="12"/>
        <v>16.097137222222212</v>
      </c>
      <c r="AA105">
        <f t="shared" si="12"/>
        <v>16.022932222222213</v>
      </c>
      <c r="AB105">
        <f t="shared" si="12"/>
        <v>15.948727222222214</v>
      </c>
      <c r="AC105">
        <f t="shared" si="12"/>
        <v>15.874522222222213</v>
      </c>
      <c r="AD105">
        <f t="shared" si="14"/>
        <v>14.538832222222215</v>
      </c>
    </row>
    <row r="106" spans="2:30" x14ac:dyDescent="0.2">
      <c r="B106" s="7">
        <v>44674</v>
      </c>
      <c r="C106" s="8">
        <v>14.190972222222223</v>
      </c>
      <c r="D106">
        <f t="shared" si="10"/>
        <v>17.467147222222223</v>
      </c>
      <c r="E106">
        <f t="shared" si="13"/>
        <v>17.392942222222224</v>
      </c>
      <c r="F106">
        <f t="shared" si="13"/>
        <v>17.318737222222225</v>
      </c>
      <c r="G106">
        <f t="shared" si="15"/>
        <v>17.244532222222222</v>
      </c>
      <c r="H106">
        <f t="shared" si="15"/>
        <v>17.170327222222223</v>
      </c>
      <c r="I106">
        <f t="shared" si="15"/>
        <v>17.096122222222224</v>
      </c>
      <c r="J106">
        <f t="shared" si="15"/>
        <v>17.021917222222225</v>
      </c>
      <c r="K106">
        <f t="shared" si="15"/>
        <v>16.947712222222222</v>
      </c>
      <c r="L106">
        <f t="shared" si="15"/>
        <v>16.873507222222223</v>
      </c>
      <c r="M106">
        <f t="shared" si="15"/>
        <v>16.799302222222224</v>
      </c>
      <c r="N106">
        <f t="shared" si="15"/>
        <v>16.725097222222225</v>
      </c>
      <c r="O106">
        <f t="shared" si="15"/>
        <v>16.650892222222225</v>
      </c>
      <c r="P106">
        <f t="shared" si="15"/>
        <v>16.576687222222223</v>
      </c>
      <c r="Q106">
        <f t="shared" si="15"/>
        <v>16.502482222222223</v>
      </c>
      <c r="R106">
        <f t="shared" si="15"/>
        <v>16.428277222222224</v>
      </c>
      <c r="S106">
        <f t="shared" si="15"/>
        <v>16.354072222222221</v>
      </c>
      <c r="T106">
        <f t="shared" si="15"/>
        <v>16.279867222222222</v>
      </c>
      <c r="U106">
        <f t="shared" si="12"/>
        <v>16.205662222222223</v>
      </c>
      <c r="V106">
        <f t="shared" si="12"/>
        <v>16.131457222222224</v>
      </c>
      <c r="W106">
        <f t="shared" ref="U106:AC134" si="16">(-1.4841*W$3+3.6472)+$C106</f>
        <v>16.057252222222225</v>
      </c>
      <c r="X106">
        <f t="shared" si="16"/>
        <v>15.983047222222222</v>
      </c>
      <c r="Y106">
        <f t="shared" si="16"/>
        <v>15.908842222222223</v>
      </c>
      <c r="Z106">
        <f t="shared" si="16"/>
        <v>15.834637222222224</v>
      </c>
      <c r="AA106">
        <f t="shared" si="16"/>
        <v>15.760432222222223</v>
      </c>
      <c r="AB106">
        <f t="shared" si="16"/>
        <v>15.686227222222222</v>
      </c>
      <c r="AC106">
        <f t="shared" si="16"/>
        <v>15.612022222222222</v>
      </c>
      <c r="AD106">
        <f t="shared" si="14"/>
        <v>14.276332222222223</v>
      </c>
    </row>
    <row r="107" spans="2:30" x14ac:dyDescent="0.2">
      <c r="B107" s="7">
        <v>44675</v>
      </c>
      <c r="C107" s="8">
        <v>13.916666666666659</v>
      </c>
      <c r="D107">
        <f t="shared" si="10"/>
        <v>17.192841666666659</v>
      </c>
      <c r="E107">
        <f t="shared" si="13"/>
        <v>17.11863666666666</v>
      </c>
      <c r="F107">
        <f t="shared" si="13"/>
        <v>17.044431666666661</v>
      </c>
      <c r="G107">
        <f t="shared" si="15"/>
        <v>16.970226666666658</v>
      </c>
      <c r="H107">
        <f t="shared" si="15"/>
        <v>16.896021666666659</v>
      </c>
      <c r="I107">
        <f t="shared" si="15"/>
        <v>16.82181666666666</v>
      </c>
      <c r="J107">
        <f t="shared" si="15"/>
        <v>16.747611666666661</v>
      </c>
      <c r="K107">
        <f t="shared" si="15"/>
        <v>16.673406666666658</v>
      </c>
      <c r="L107">
        <f t="shared" si="15"/>
        <v>16.599201666666659</v>
      </c>
      <c r="M107">
        <f t="shared" si="15"/>
        <v>16.524996666666659</v>
      </c>
      <c r="N107">
        <f t="shared" si="15"/>
        <v>16.45079166666666</v>
      </c>
      <c r="O107">
        <f t="shared" si="15"/>
        <v>16.376586666666661</v>
      </c>
      <c r="P107">
        <f t="shared" si="15"/>
        <v>16.302381666666658</v>
      </c>
      <c r="Q107">
        <f t="shared" si="15"/>
        <v>16.228176666666659</v>
      </c>
      <c r="R107">
        <f t="shared" si="15"/>
        <v>16.15397166666666</v>
      </c>
      <c r="S107">
        <f t="shared" si="15"/>
        <v>16.079766666666657</v>
      </c>
      <c r="T107">
        <f t="shared" si="15"/>
        <v>16.005561666666658</v>
      </c>
      <c r="U107">
        <f t="shared" si="16"/>
        <v>15.931356666666659</v>
      </c>
      <c r="V107">
        <f t="shared" si="16"/>
        <v>15.85715166666666</v>
      </c>
      <c r="W107">
        <f t="shared" si="16"/>
        <v>15.782946666666659</v>
      </c>
      <c r="X107">
        <f t="shared" si="16"/>
        <v>15.708741666666658</v>
      </c>
      <c r="Y107">
        <f t="shared" si="16"/>
        <v>15.634536666666659</v>
      </c>
      <c r="Z107">
        <f t="shared" si="16"/>
        <v>15.560331666666659</v>
      </c>
      <c r="AA107">
        <f t="shared" si="16"/>
        <v>15.486126666666658</v>
      </c>
      <c r="AB107">
        <f t="shared" si="16"/>
        <v>15.411921666666657</v>
      </c>
      <c r="AC107">
        <f t="shared" si="16"/>
        <v>15.337716666666658</v>
      </c>
      <c r="AD107">
        <f t="shared" si="14"/>
        <v>14.002026666666659</v>
      </c>
    </row>
    <row r="108" spans="2:30" x14ac:dyDescent="0.2">
      <c r="B108" s="7">
        <v>44676</v>
      </c>
      <c r="C108" s="8">
        <v>10.846527777777771</v>
      </c>
      <c r="D108">
        <f t="shared" si="10"/>
        <v>14.122702777777771</v>
      </c>
      <c r="E108">
        <f t="shared" si="13"/>
        <v>14.048497777777772</v>
      </c>
      <c r="F108">
        <f t="shared" si="13"/>
        <v>13.974292777777771</v>
      </c>
      <c r="G108">
        <f t="shared" si="15"/>
        <v>13.90008777777777</v>
      </c>
      <c r="H108">
        <f t="shared" si="15"/>
        <v>13.825882777777771</v>
      </c>
      <c r="I108">
        <f t="shared" si="15"/>
        <v>13.751677777777772</v>
      </c>
      <c r="J108">
        <f t="shared" si="15"/>
        <v>13.677472777777771</v>
      </c>
      <c r="K108">
        <f t="shared" si="15"/>
        <v>13.603267777777772</v>
      </c>
      <c r="L108">
        <f t="shared" si="15"/>
        <v>13.529062777777771</v>
      </c>
      <c r="M108">
        <f t="shared" si="15"/>
        <v>13.454857777777772</v>
      </c>
      <c r="N108">
        <f t="shared" si="15"/>
        <v>13.380652777777772</v>
      </c>
      <c r="O108">
        <f t="shared" si="15"/>
        <v>13.306447777777771</v>
      </c>
      <c r="P108">
        <f t="shared" si="15"/>
        <v>13.23224277777777</v>
      </c>
      <c r="Q108">
        <f t="shared" si="15"/>
        <v>13.158037777777771</v>
      </c>
      <c r="R108">
        <f t="shared" si="15"/>
        <v>13.083832777777772</v>
      </c>
      <c r="S108">
        <f t="shared" si="15"/>
        <v>13.009627777777771</v>
      </c>
      <c r="T108">
        <f t="shared" si="15"/>
        <v>12.93542277777777</v>
      </c>
      <c r="U108">
        <f t="shared" si="16"/>
        <v>12.861217777777771</v>
      </c>
      <c r="V108">
        <f t="shared" si="16"/>
        <v>12.787012777777772</v>
      </c>
      <c r="W108">
        <f t="shared" si="16"/>
        <v>12.712807777777771</v>
      </c>
      <c r="X108">
        <f t="shared" si="16"/>
        <v>12.63860277777777</v>
      </c>
      <c r="Y108">
        <f t="shared" si="16"/>
        <v>12.564397777777771</v>
      </c>
      <c r="Z108">
        <f t="shared" si="16"/>
        <v>12.490192777777771</v>
      </c>
      <c r="AA108">
        <f t="shared" si="16"/>
        <v>12.415987777777771</v>
      </c>
      <c r="AB108">
        <f t="shared" si="16"/>
        <v>12.34178277777777</v>
      </c>
      <c r="AC108">
        <f t="shared" si="16"/>
        <v>12.26757777777777</v>
      </c>
      <c r="AD108">
        <f t="shared" si="14"/>
        <v>10.931887777777771</v>
      </c>
    </row>
    <row r="109" spans="2:30" x14ac:dyDescent="0.2">
      <c r="B109" s="7">
        <v>44677</v>
      </c>
      <c r="C109" s="8">
        <v>12.659027777777778</v>
      </c>
      <c r="D109">
        <f t="shared" si="10"/>
        <v>15.935202777777778</v>
      </c>
      <c r="E109">
        <f t="shared" si="13"/>
        <v>15.860997777777779</v>
      </c>
      <c r="F109">
        <f t="shared" si="13"/>
        <v>15.786792777777778</v>
      </c>
      <c r="G109">
        <f t="shared" si="15"/>
        <v>15.712587777777777</v>
      </c>
      <c r="H109">
        <f t="shared" si="15"/>
        <v>15.638382777777778</v>
      </c>
      <c r="I109">
        <f t="shared" si="15"/>
        <v>15.564177777777779</v>
      </c>
      <c r="J109">
        <f t="shared" si="15"/>
        <v>15.489972777777778</v>
      </c>
      <c r="K109">
        <f t="shared" si="15"/>
        <v>15.415767777777779</v>
      </c>
      <c r="L109">
        <f t="shared" si="15"/>
        <v>15.341562777777778</v>
      </c>
      <c r="M109">
        <f t="shared" si="15"/>
        <v>15.267357777777779</v>
      </c>
      <c r="N109">
        <f t="shared" si="15"/>
        <v>15.19315277777778</v>
      </c>
      <c r="O109">
        <f t="shared" si="15"/>
        <v>15.118947777777779</v>
      </c>
      <c r="P109">
        <f t="shared" si="15"/>
        <v>15.044742777777778</v>
      </c>
      <c r="Q109">
        <f t="shared" si="15"/>
        <v>14.970537777777778</v>
      </c>
      <c r="R109">
        <f t="shared" si="15"/>
        <v>14.896332777777779</v>
      </c>
      <c r="S109">
        <f t="shared" si="15"/>
        <v>14.822127777777778</v>
      </c>
      <c r="T109">
        <f t="shared" si="15"/>
        <v>14.747922777777777</v>
      </c>
      <c r="U109">
        <f t="shared" si="16"/>
        <v>14.673717777777778</v>
      </c>
      <c r="V109">
        <f t="shared" si="16"/>
        <v>14.599512777777779</v>
      </c>
      <c r="W109">
        <f t="shared" si="16"/>
        <v>14.525307777777778</v>
      </c>
      <c r="X109">
        <f t="shared" si="16"/>
        <v>14.451102777777777</v>
      </c>
      <c r="Y109">
        <f t="shared" si="16"/>
        <v>14.376897777777778</v>
      </c>
      <c r="Z109">
        <f t="shared" si="16"/>
        <v>14.302692777777779</v>
      </c>
      <c r="AA109">
        <f t="shared" si="16"/>
        <v>14.228487777777778</v>
      </c>
      <c r="AB109">
        <f t="shared" si="16"/>
        <v>14.154282777777777</v>
      </c>
      <c r="AC109">
        <f t="shared" si="16"/>
        <v>14.080077777777777</v>
      </c>
      <c r="AD109">
        <f t="shared" si="14"/>
        <v>12.744387777777778</v>
      </c>
    </row>
    <row r="110" spans="2:30" x14ac:dyDescent="0.2">
      <c r="B110" s="7">
        <v>44678</v>
      </c>
      <c r="C110" s="8">
        <v>12.583333333333327</v>
      </c>
      <c r="D110">
        <f t="shared" si="10"/>
        <v>15.859508333333327</v>
      </c>
      <c r="E110">
        <f t="shared" si="13"/>
        <v>15.785303333333328</v>
      </c>
      <c r="F110">
        <f t="shared" si="13"/>
        <v>15.711098333333327</v>
      </c>
      <c r="G110">
        <f t="shared" si="15"/>
        <v>15.636893333333326</v>
      </c>
      <c r="H110">
        <f t="shared" si="15"/>
        <v>15.562688333333327</v>
      </c>
      <c r="I110">
        <f t="shared" si="15"/>
        <v>15.488483333333328</v>
      </c>
      <c r="J110">
        <f t="shared" si="15"/>
        <v>15.414278333333327</v>
      </c>
      <c r="K110">
        <f t="shared" si="15"/>
        <v>15.340073333333327</v>
      </c>
      <c r="L110">
        <f t="shared" si="15"/>
        <v>15.265868333333326</v>
      </c>
      <c r="M110">
        <f t="shared" si="15"/>
        <v>15.191663333333327</v>
      </c>
      <c r="N110">
        <f t="shared" si="15"/>
        <v>15.117458333333328</v>
      </c>
      <c r="O110">
        <f t="shared" si="15"/>
        <v>15.043253333333327</v>
      </c>
      <c r="P110">
        <f t="shared" si="15"/>
        <v>14.969048333333326</v>
      </c>
      <c r="Q110">
        <f t="shared" si="15"/>
        <v>14.894843333333327</v>
      </c>
      <c r="R110">
        <f t="shared" si="15"/>
        <v>14.820638333333328</v>
      </c>
      <c r="S110">
        <f t="shared" si="15"/>
        <v>14.746433333333327</v>
      </c>
      <c r="T110">
        <f t="shared" si="15"/>
        <v>14.672228333333326</v>
      </c>
      <c r="U110">
        <f t="shared" si="16"/>
        <v>14.598023333333327</v>
      </c>
      <c r="V110">
        <f t="shared" si="16"/>
        <v>14.523818333333328</v>
      </c>
      <c r="W110">
        <f t="shared" si="16"/>
        <v>14.449613333333327</v>
      </c>
      <c r="X110">
        <f t="shared" si="16"/>
        <v>14.375408333333326</v>
      </c>
      <c r="Y110">
        <f t="shared" si="16"/>
        <v>14.301203333333326</v>
      </c>
      <c r="Z110">
        <f t="shared" si="16"/>
        <v>14.226998333333327</v>
      </c>
      <c r="AA110">
        <f t="shared" si="16"/>
        <v>14.152793333333326</v>
      </c>
      <c r="AB110">
        <f t="shared" si="16"/>
        <v>14.078588333333325</v>
      </c>
      <c r="AC110">
        <f t="shared" si="16"/>
        <v>14.004383333333326</v>
      </c>
      <c r="AD110">
        <f t="shared" si="14"/>
        <v>12.668693333333326</v>
      </c>
    </row>
    <row r="111" spans="2:30" x14ac:dyDescent="0.2">
      <c r="B111" s="7">
        <v>44679</v>
      </c>
      <c r="C111" s="8">
        <v>12.872222222222213</v>
      </c>
      <c r="D111">
        <f t="shared" si="10"/>
        <v>16.148397222222215</v>
      </c>
      <c r="E111">
        <f t="shared" si="13"/>
        <v>16.074192222222212</v>
      </c>
      <c r="F111">
        <f t="shared" si="13"/>
        <v>15.999987222222213</v>
      </c>
      <c r="G111">
        <f t="shared" si="15"/>
        <v>15.925782222222214</v>
      </c>
      <c r="H111">
        <f t="shared" si="15"/>
        <v>15.851577222222213</v>
      </c>
      <c r="I111">
        <f t="shared" si="15"/>
        <v>15.777372222222214</v>
      </c>
      <c r="J111">
        <f t="shared" si="15"/>
        <v>15.703167222222213</v>
      </c>
      <c r="K111">
        <f t="shared" si="15"/>
        <v>15.628962222222214</v>
      </c>
      <c r="L111">
        <f t="shared" si="15"/>
        <v>15.554757222222213</v>
      </c>
      <c r="M111">
        <f t="shared" si="15"/>
        <v>15.480552222222213</v>
      </c>
      <c r="N111">
        <f t="shared" si="15"/>
        <v>15.406347222222212</v>
      </c>
      <c r="O111">
        <f t="shared" si="15"/>
        <v>15.332142222222213</v>
      </c>
      <c r="P111">
        <f t="shared" si="15"/>
        <v>15.257937222222214</v>
      </c>
      <c r="Q111">
        <f t="shared" si="15"/>
        <v>15.183732222222213</v>
      </c>
      <c r="R111">
        <f t="shared" ref="G111:T129" si="17">(-1.4841*R$3+3.6472)+$C111</f>
        <v>15.109527222222212</v>
      </c>
      <c r="S111">
        <f t="shared" si="17"/>
        <v>15.035322222222213</v>
      </c>
      <c r="T111">
        <f t="shared" si="17"/>
        <v>14.961117222222214</v>
      </c>
      <c r="U111">
        <f t="shared" si="16"/>
        <v>14.886912222222213</v>
      </c>
      <c r="V111">
        <f t="shared" si="16"/>
        <v>14.812707222222212</v>
      </c>
      <c r="W111">
        <f t="shared" si="16"/>
        <v>14.738502222222213</v>
      </c>
      <c r="X111">
        <f t="shared" si="16"/>
        <v>14.664297222222213</v>
      </c>
      <c r="Y111">
        <f t="shared" si="16"/>
        <v>14.590092222222212</v>
      </c>
      <c r="Z111">
        <f t="shared" si="16"/>
        <v>14.515887222222212</v>
      </c>
      <c r="AA111">
        <f t="shared" si="16"/>
        <v>14.441682222222212</v>
      </c>
      <c r="AB111">
        <f t="shared" si="16"/>
        <v>14.367477222222213</v>
      </c>
      <c r="AC111">
        <f t="shared" si="16"/>
        <v>14.293272222222212</v>
      </c>
      <c r="AD111">
        <f t="shared" si="14"/>
        <v>12.957582222222214</v>
      </c>
    </row>
    <row r="112" spans="2:30" x14ac:dyDescent="0.2">
      <c r="B112" s="7">
        <v>44680</v>
      </c>
      <c r="C112" s="8">
        <v>12.056249999999995</v>
      </c>
      <c r="D112">
        <f t="shared" si="10"/>
        <v>15.332424999999995</v>
      </c>
      <c r="E112">
        <f t="shared" si="13"/>
        <v>15.258219999999994</v>
      </c>
      <c r="F112">
        <f t="shared" si="13"/>
        <v>15.184014999999995</v>
      </c>
      <c r="G112">
        <f t="shared" si="17"/>
        <v>15.109809999999996</v>
      </c>
      <c r="H112">
        <f t="shared" si="17"/>
        <v>15.035604999999995</v>
      </c>
      <c r="I112">
        <f t="shared" si="17"/>
        <v>14.961399999999996</v>
      </c>
      <c r="J112">
        <f t="shared" si="17"/>
        <v>14.887194999999995</v>
      </c>
      <c r="K112">
        <f t="shared" si="17"/>
        <v>14.812989999999996</v>
      </c>
      <c r="L112">
        <f t="shared" si="17"/>
        <v>14.738784999999995</v>
      </c>
      <c r="M112">
        <f t="shared" si="17"/>
        <v>14.664579999999996</v>
      </c>
      <c r="N112">
        <f t="shared" si="17"/>
        <v>14.590374999999995</v>
      </c>
      <c r="O112">
        <f t="shared" si="17"/>
        <v>14.516169999999995</v>
      </c>
      <c r="P112">
        <f t="shared" si="17"/>
        <v>14.441964999999996</v>
      </c>
      <c r="Q112">
        <f t="shared" si="17"/>
        <v>14.367759999999995</v>
      </c>
      <c r="R112">
        <f t="shared" si="17"/>
        <v>14.293554999999994</v>
      </c>
      <c r="S112">
        <f t="shared" si="17"/>
        <v>14.219349999999995</v>
      </c>
      <c r="T112">
        <f t="shared" si="17"/>
        <v>14.145144999999996</v>
      </c>
      <c r="U112">
        <f t="shared" si="16"/>
        <v>14.070939999999995</v>
      </c>
      <c r="V112">
        <f t="shared" si="16"/>
        <v>13.996734999999994</v>
      </c>
      <c r="W112">
        <f t="shared" si="16"/>
        <v>13.922529999999995</v>
      </c>
      <c r="X112">
        <f t="shared" si="16"/>
        <v>13.848324999999996</v>
      </c>
      <c r="Y112">
        <f t="shared" si="16"/>
        <v>13.774119999999995</v>
      </c>
      <c r="Z112">
        <f t="shared" si="16"/>
        <v>13.699914999999994</v>
      </c>
      <c r="AA112">
        <f t="shared" si="16"/>
        <v>13.625709999999994</v>
      </c>
      <c r="AB112">
        <f t="shared" si="16"/>
        <v>13.551504999999995</v>
      </c>
      <c r="AC112">
        <f t="shared" si="16"/>
        <v>13.477299999999994</v>
      </c>
      <c r="AD112">
        <f t="shared" si="14"/>
        <v>12.141609999999996</v>
      </c>
    </row>
    <row r="113" spans="2:30" x14ac:dyDescent="0.2">
      <c r="B113" s="7">
        <v>44681</v>
      </c>
      <c r="C113" s="8">
        <v>12.449305555555547</v>
      </c>
      <c r="D113">
        <f t="shared" si="10"/>
        <v>15.725480555555547</v>
      </c>
      <c r="E113">
        <f t="shared" si="13"/>
        <v>15.651275555555547</v>
      </c>
      <c r="F113">
        <f t="shared" si="13"/>
        <v>15.577070555555547</v>
      </c>
      <c r="G113">
        <f t="shared" si="17"/>
        <v>15.502865555555548</v>
      </c>
      <c r="H113">
        <f t="shared" si="17"/>
        <v>15.428660555555547</v>
      </c>
      <c r="I113">
        <f t="shared" si="17"/>
        <v>15.354455555555548</v>
      </c>
      <c r="J113">
        <f t="shared" si="17"/>
        <v>15.280250555555547</v>
      </c>
      <c r="K113">
        <f t="shared" si="17"/>
        <v>15.206045555555548</v>
      </c>
      <c r="L113">
        <f t="shared" si="17"/>
        <v>15.131840555555547</v>
      </c>
      <c r="M113">
        <f t="shared" si="17"/>
        <v>15.057635555555548</v>
      </c>
      <c r="N113">
        <f t="shared" si="17"/>
        <v>14.983430555555547</v>
      </c>
      <c r="O113">
        <f t="shared" si="17"/>
        <v>14.909225555555548</v>
      </c>
      <c r="P113">
        <f t="shared" si="17"/>
        <v>14.835020555555548</v>
      </c>
      <c r="Q113">
        <f t="shared" si="17"/>
        <v>14.760815555555547</v>
      </c>
      <c r="R113">
        <f t="shared" si="17"/>
        <v>14.686610555555546</v>
      </c>
      <c r="S113">
        <f t="shared" si="17"/>
        <v>14.612405555555547</v>
      </c>
      <c r="T113">
        <f t="shared" si="17"/>
        <v>14.538200555555548</v>
      </c>
      <c r="U113">
        <f t="shared" si="16"/>
        <v>14.463995555555547</v>
      </c>
      <c r="V113">
        <f t="shared" si="16"/>
        <v>14.389790555555546</v>
      </c>
      <c r="W113">
        <f t="shared" si="16"/>
        <v>14.315585555555547</v>
      </c>
      <c r="X113">
        <f t="shared" si="16"/>
        <v>14.241380555555548</v>
      </c>
      <c r="Y113">
        <f t="shared" si="16"/>
        <v>14.167175555555547</v>
      </c>
      <c r="Z113">
        <f t="shared" si="16"/>
        <v>14.092970555555546</v>
      </c>
      <c r="AA113">
        <f t="shared" si="16"/>
        <v>14.018765555555547</v>
      </c>
      <c r="AB113">
        <f t="shared" si="16"/>
        <v>13.944560555555547</v>
      </c>
      <c r="AC113">
        <f t="shared" si="16"/>
        <v>13.870355555555546</v>
      </c>
      <c r="AD113">
        <f t="shared" si="14"/>
        <v>12.534665555555549</v>
      </c>
    </row>
    <row r="114" spans="2:30" x14ac:dyDescent="0.2">
      <c r="B114" s="7">
        <v>44682</v>
      </c>
      <c r="C114" s="8">
        <v>14.476388888888883</v>
      </c>
      <c r="D114">
        <f t="shared" si="10"/>
        <v>17.752563888888883</v>
      </c>
      <c r="E114">
        <f t="shared" si="13"/>
        <v>17.678358888888884</v>
      </c>
      <c r="F114">
        <f t="shared" si="13"/>
        <v>17.604153888888881</v>
      </c>
      <c r="G114">
        <f t="shared" si="17"/>
        <v>17.529948888888882</v>
      </c>
      <c r="H114">
        <f t="shared" si="17"/>
        <v>17.455743888888883</v>
      </c>
      <c r="I114">
        <f t="shared" si="17"/>
        <v>17.381538888888883</v>
      </c>
      <c r="J114">
        <f t="shared" si="17"/>
        <v>17.307333888888884</v>
      </c>
      <c r="K114">
        <f t="shared" si="17"/>
        <v>17.233128888888881</v>
      </c>
      <c r="L114">
        <f t="shared" si="17"/>
        <v>17.158923888888882</v>
      </c>
      <c r="M114">
        <f t="shared" si="17"/>
        <v>17.084718888888883</v>
      </c>
      <c r="N114">
        <f t="shared" si="17"/>
        <v>17.010513888888884</v>
      </c>
      <c r="O114">
        <f t="shared" si="17"/>
        <v>16.936308888888881</v>
      </c>
      <c r="P114">
        <f t="shared" si="17"/>
        <v>16.862103888888882</v>
      </c>
      <c r="Q114">
        <f t="shared" si="17"/>
        <v>16.787898888888883</v>
      </c>
      <c r="R114">
        <f t="shared" si="17"/>
        <v>16.713693888888884</v>
      </c>
      <c r="S114">
        <f t="shared" si="17"/>
        <v>16.639488888888884</v>
      </c>
      <c r="T114">
        <f t="shared" si="17"/>
        <v>16.565283888888882</v>
      </c>
      <c r="U114">
        <f t="shared" si="16"/>
        <v>16.491078888888882</v>
      </c>
      <c r="V114">
        <f t="shared" si="16"/>
        <v>16.416873888888883</v>
      </c>
      <c r="W114">
        <f t="shared" si="16"/>
        <v>16.34266888888888</v>
      </c>
      <c r="X114">
        <f t="shared" si="16"/>
        <v>16.268463888888881</v>
      </c>
      <c r="Y114">
        <f t="shared" si="16"/>
        <v>16.194258888888882</v>
      </c>
      <c r="Z114">
        <f t="shared" si="16"/>
        <v>16.120053888888883</v>
      </c>
      <c r="AA114">
        <f t="shared" si="16"/>
        <v>16.045848888888884</v>
      </c>
      <c r="AB114">
        <f t="shared" si="16"/>
        <v>15.971643888888881</v>
      </c>
      <c r="AC114">
        <f t="shared" si="16"/>
        <v>15.897438888888882</v>
      </c>
      <c r="AD114">
        <f t="shared" si="14"/>
        <v>14.561748888888882</v>
      </c>
    </row>
    <row r="115" spans="2:30" x14ac:dyDescent="0.2">
      <c r="B115" s="7">
        <v>44683</v>
      </c>
      <c r="C115" s="8">
        <v>15.486805555555545</v>
      </c>
      <c r="D115">
        <f t="shared" si="10"/>
        <v>18.762980555555544</v>
      </c>
      <c r="E115">
        <f t="shared" si="13"/>
        <v>18.688775555555544</v>
      </c>
      <c r="F115">
        <f t="shared" si="13"/>
        <v>18.614570555555545</v>
      </c>
      <c r="G115">
        <f t="shared" si="17"/>
        <v>18.540365555555546</v>
      </c>
      <c r="H115">
        <f t="shared" si="17"/>
        <v>18.466160555555547</v>
      </c>
      <c r="I115">
        <f t="shared" si="17"/>
        <v>18.391955555555544</v>
      </c>
      <c r="J115">
        <f t="shared" si="17"/>
        <v>18.317750555555545</v>
      </c>
      <c r="K115">
        <f t="shared" si="17"/>
        <v>18.243545555555546</v>
      </c>
      <c r="L115">
        <f t="shared" si="17"/>
        <v>18.169340555555547</v>
      </c>
      <c r="M115">
        <f t="shared" si="17"/>
        <v>18.095135555555544</v>
      </c>
      <c r="N115">
        <f t="shared" si="17"/>
        <v>18.020930555555545</v>
      </c>
      <c r="O115">
        <f t="shared" si="17"/>
        <v>17.946725555555545</v>
      </c>
      <c r="P115">
        <f t="shared" si="17"/>
        <v>17.872520555555546</v>
      </c>
      <c r="Q115">
        <f t="shared" si="17"/>
        <v>17.798315555555547</v>
      </c>
      <c r="R115">
        <f t="shared" si="17"/>
        <v>17.724110555555544</v>
      </c>
      <c r="S115">
        <f t="shared" si="17"/>
        <v>17.649905555555545</v>
      </c>
      <c r="T115">
        <f t="shared" si="17"/>
        <v>17.575700555555546</v>
      </c>
      <c r="U115">
        <f t="shared" si="16"/>
        <v>17.501495555555543</v>
      </c>
      <c r="V115">
        <f t="shared" si="16"/>
        <v>17.427290555555544</v>
      </c>
      <c r="W115">
        <f t="shared" si="16"/>
        <v>17.353085555555545</v>
      </c>
      <c r="X115">
        <f t="shared" si="16"/>
        <v>17.278880555555546</v>
      </c>
      <c r="Y115">
        <f t="shared" si="16"/>
        <v>17.204675555555546</v>
      </c>
      <c r="Z115">
        <f t="shared" si="16"/>
        <v>17.130470555555544</v>
      </c>
      <c r="AA115">
        <f t="shared" si="16"/>
        <v>17.056265555555544</v>
      </c>
      <c r="AB115">
        <f t="shared" si="16"/>
        <v>16.982060555555545</v>
      </c>
      <c r="AC115">
        <f t="shared" si="16"/>
        <v>16.907855555555543</v>
      </c>
      <c r="AD115">
        <f t="shared" si="14"/>
        <v>15.572165555555546</v>
      </c>
    </row>
    <row r="116" spans="2:30" x14ac:dyDescent="0.2">
      <c r="B116" s="7">
        <v>44684</v>
      </c>
      <c r="C116" s="8">
        <v>13.540972222222214</v>
      </c>
      <c r="D116">
        <f t="shared" si="10"/>
        <v>16.817147222222214</v>
      </c>
      <c r="E116">
        <f t="shared" si="13"/>
        <v>16.742942222222215</v>
      </c>
      <c r="F116">
        <f t="shared" si="13"/>
        <v>16.668737222222212</v>
      </c>
      <c r="G116">
        <f t="shared" si="17"/>
        <v>16.594532222222213</v>
      </c>
      <c r="H116">
        <f t="shared" si="17"/>
        <v>16.520327222222214</v>
      </c>
      <c r="I116">
        <f t="shared" si="17"/>
        <v>16.446122222222215</v>
      </c>
      <c r="J116">
        <f t="shared" si="17"/>
        <v>16.371917222222216</v>
      </c>
      <c r="K116">
        <f t="shared" si="17"/>
        <v>16.297712222222213</v>
      </c>
      <c r="L116">
        <f t="shared" si="17"/>
        <v>16.223507222222214</v>
      </c>
      <c r="M116">
        <f t="shared" si="17"/>
        <v>16.149302222222214</v>
      </c>
      <c r="N116">
        <f t="shared" si="17"/>
        <v>16.075097222222215</v>
      </c>
      <c r="O116">
        <f t="shared" si="17"/>
        <v>16.000892222222213</v>
      </c>
      <c r="P116">
        <f t="shared" si="17"/>
        <v>15.926687222222213</v>
      </c>
      <c r="Q116">
        <f t="shared" si="17"/>
        <v>15.852482222222214</v>
      </c>
      <c r="R116">
        <f t="shared" si="17"/>
        <v>15.778277222222215</v>
      </c>
      <c r="S116">
        <f t="shared" si="17"/>
        <v>15.704072222222214</v>
      </c>
      <c r="T116">
        <f t="shared" si="17"/>
        <v>15.629867222222213</v>
      </c>
      <c r="U116">
        <f t="shared" si="16"/>
        <v>15.555662222222214</v>
      </c>
      <c r="V116">
        <f t="shared" si="16"/>
        <v>15.481457222222215</v>
      </c>
      <c r="W116">
        <f t="shared" si="16"/>
        <v>15.407252222222214</v>
      </c>
      <c r="X116">
        <f t="shared" si="16"/>
        <v>15.333047222222213</v>
      </c>
      <c r="Y116">
        <f t="shared" si="16"/>
        <v>15.258842222222214</v>
      </c>
      <c r="Z116">
        <f t="shared" si="16"/>
        <v>15.184637222222214</v>
      </c>
      <c r="AA116">
        <f t="shared" si="16"/>
        <v>15.110432222222213</v>
      </c>
      <c r="AB116">
        <f t="shared" si="16"/>
        <v>15.036227222222212</v>
      </c>
      <c r="AC116">
        <f t="shared" si="16"/>
        <v>14.962022222222213</v>
      </c>
      <c r="AD116">
        <f t="shared" si="14"/>
        <v>13.626332222222214</v>
      </c>
    </row>
    <row r="117" spans="2:30" x14ac:dyDescent="0.2">
      <c r="B117" s="7">
        <v>44685</v>
      </c>
      <c r="C117" s="8">
        <v>12.17272727272727</v>
      </c>
      <c r="D117">
        <f t="shared" si="10"/>
        <v>15.44890227272727</v>
      </c>
      <c r="E117">
        <f t="shared" si="13"/>
        <v>15.374697272727271</v>
      </c>
      <c r="F117">
        <f t="shared" si="13"/>
        <v>15.30049227272727</v>
      </c>
      <c r="G117">
        <f t="shared" si="17"/>
        <v>15.226287272727269</v>
      </c>
      <c r="H117">
        <f t="shared" si="17"/>
        <v>15.15208227272727</v>
      </c>
      <c r="I117">
        <f t="shared" si="17"/>
        <v>15.077877272727271</v>
      </c>
      <c r="J117">
        <f t="shared" si="17"/>
        <v>15.00367227272727</v>
      </c>
      <c r="K117">
        <f t="shared" si="17"/>
        <v>14.929467272727271</v>
      </c>
      <c r="L117">
        <f t="shared" si="17"/>
        <v>14.85526227272727</v>
      </c>
      <c r="M117">
        <f t="shared" si="17"/>
        <v>14.781057272727271</v>
      </c>
      <c r="N117">
        <f t="shared" si="17"/>
        <v>14.706852272727271</v>
      </c>
      <c r="O117">
        <f t="shared" si="17"/>
        <v>14.632647272727271</v>
      </c>
      <c r="P117">
        <f t="shared" si="17"/>
        <v>14.55844227272727</v>
      </c>
      <c r="Q117">
        <f t="shared" si="17"/>
        <v>14.48423727272727</v>
      </c>
      <c r="R117">
        <f t="shared" si="17"/>
        <v>14.410032272727271</v>
      </c>
      <c r="S117">
        <f t="shared" si="17"/>
        <v>14.33582727272727</v>
      </c>
      <c r="T117">
        <f t="shared" si="17"/>
        <v>14.261622272727269</v>
      </c>
      <c r="U117">
        <f t="shared" si="16"/>
        <v>14.18741727272727</v>
      </c>
      <c r="V117">
        <f t="shared" si="16"/>
        <v>14.113212272727271</v>
      </c>
      <c r="W117">
        <f t="shared" si="16"/>
        <v>14.03900727272727</v>
      </c>
      <c r="X117">
        <f t="shared" si="16"/>
        <v>13.964802272727269</v>
      </c>
      <c r="Y117">
        <f t="shared" si="16"/>
        <v>13.89059727272727</v>
      </c>
      <c r="Z117">
        <f t="shared" si="16"/>
        <v>13.816392272727271</v>
      </c>
      <c r="AA117">
        <f t="shared" si="16"/>
        <v>13.74218727272727</v>
      </c>
      <c r="AB117">
        <f t="shared" si="16"/>
        <v>13.667982272727269</v>
      </c>
      <c r="AC117">
        <f t="shared" si="16"/>
        <v>13.593777272727269</v>
      </c>
      <c r="AD117">
        <f t="shared" si="14"/>
        <v>12.25808727272727</v>
      </c>
    </row>
    <row r="118" spans="2:30" x14ac:dyDescent="0.2">
      <c r="B118" s="7">
        <v>44687</v>
      </c>
      <c r="C118" s="8">
        <v>21.741791044776118</v>
      </c>
      <c r="D118">
        <f t="shared" si="10"/>
        <v>25.017966044776117</v>
      </c>
      <c r="E118">
        <f t="shared" si="13"/>
        <v>24.943761044776117</v>
      </c>
      <c r="F118">
        <f t="shared" si="13"/>
        <v>24.869556044776118</v>
      </c>
      <c r="G118">
        <f t="shared" si="17"/>
        <v>24.795351044776119</v>
      </c>
      <c r="H118">
        <f t="shared" si="17"/>
        <v>24.72114604477612</v>
      </c>
      <c r="I118">
        <f t="shared" si="17"/>
        <v>24.646941044776117</v>
      </c>
      <c r="J118">
        <f t="shared" si="17"/>
        <v>24.572736044776118</v>
      </c>
      <c r="K118">
        <f t="shared" si="17"/>
        <v>24.498531044776119</v>
      </c>
      <c r="L118">
        <f t="shared" si="17"/>
        <v>24.424326044776119</v>
      </c>
      <c r="M118">
        <f t="shared" si="17"/>
        <v>24.350121044776117</v>
      </c>
      <c r="N118">
        <f t="shared" si="17"/>
        <v>24.275916044776118</v>
      </c>
      <c r="O118">
        <f t="shared" si="17"/>
        <v>24.201711044776118</v>
      </c>
      <c r="P118">
        <f t="shared" si="17"/>
        <v>24.127506044776119</v>
      </c>
      <c r="Q118">
        <f t="shared" si="17"/>
        <v>24.05330104477612</v>
      </c>
      <c r="R118">
        <f t="shared" si="17"/>
        <v>23.979096044776117</v>
      </c>
      <c r="S118">
        <f t="shared" si="17"/>
        <v>23.904891044776118</v>
      </c>
      <c r="T118">
        <f t="shared" si="17"/>
        <v>23.830686044776119</v>
      </c>
      <c r="U118">
        <f t="shared" si="16"/>
        <v>23.756481044776116</v>
      </c>
      <c r="V118">
        <f t="shared" si="16"/>
        <v>23.682276044776117</v>
      </c>
      <c r="W118">
        <f t="shared" si="16"/>
        <v>23.608071044776118</v>
      </c>
      <c r="X118">
        <f t="shared" si="16"/>
        <v>23.533866044776119</v>
      </c>
      <c r="Y118">
        <f t="shared" si="16"/>
        <v>23.459661044776119</v>
      </c>
      <c r="Z118">
        <f t="shared" si="16"/>
        <v>23.385456044776117</v>
      </c>
      <c r="AA118">
        <f t="shared" si="16"/>
        <v>23.311251044776117</v>
      </c>
      <c r="AB118">
        <f t="shared" si="16"/>
        <v>23.237046044776118</v>
      </c>
      <c r="AC118">
        <f t="shared" si="16"/>
        <v>23.162841044776115</v>
      </c>
      <c r="AD118">
        <f t="shared" si="14"/>
        <v>21.827151044776119</v>
      </c>
    </row>
    <row r="119" spans="2:30" x14ac:dyDescent="0.2">
      <c r="B119" s="7">
        <v>44688</v>
      </c>
      <c r="C119" s="8">
        <v>19.347916666666674</v>
      </c>
      <c r="D119">
        <f t="shared" si="10"/>
        <v>22.624091666666672</v>
      </c>
      <c r="E119">
        <f t="shared" si="13"/>
        <v>22.549886666666673</v>
      </c>
      <c r="F119">
        <f t="shared" si="13"/>
        <v>22.475681666666674</v>
      </c>
      <c r="G119">
        <f t="shared" si="17"/>
        <v>22.401476666666674</v>
      </c>
      <c r="H119">
        <f t="shared" si="17"/>
        <v>22.327271666666675</v>
      </c>
      <c r="I119">
        <f t="shared" si="17"/>
        <v>22.253066666666673</v>
      </c>
      <c r="J119">
        <f t="shared" si="17"/>
        <v>22.178861666666673</v>
      </c>
      <c r="K119">
        <f t="shared" si="17"/>
        <v>22.104656666666674</v>
      </c>
      <c r="L119">
        <f t="shared" si="17"/>
        <v>22.030451666666675</v>
      </c>
      <c r="M119">
        <f t="shared" si="17"/>
        <v>21.956246666666672</v>
      </c>
      <c r="N119">
        <f t="shared" si="17"/>
        <v>21.882041666666673</v>
      </c>
      <c r="O119">
        <f t="shared" si="17"/>
        <v>21.807836666666674</v>
      </c>
      <c r="P119">
        <f t="shared" si="17"/>
        <v>21.733631666666675</v>
      </c>
      <c r="Q119">
        <f t="shared" si="17"/>
        <v>21.659426666666675</v>
      </c>
      <c r="R119">
        <f t="shared" si="17"/>
        <v>21.585221666666673</v>
      </c>
      <c r="S119">
        <f t="shared" si="17"/>
        <v>21.511016666666674</v>
      </c>
      <c r="T119">
        <f t="shared" si="17"/>
        <v>21.436811666666674</v>
      </c>
      <c r="U119">
        <f t="shared" si="16"/>
        <v>21.362606666666672</v>
      </c>
      <c r="V119">
        <f t="shared" si="16"/>
        <v>21.288401666666672</v>
      </c>
      <c r="W119">
        <f t="shared" si="16"/>
        <v>21.214196666666673</v>
      </c>
      <c r="X119">
        <f t="shared" si="16"/>
        <v>21.139991666666674</v>
      </c>
      <c r="Y119">
        <f t="shared" si="16"/>
        <v>21.065786666666675</v>
      </c>
      <c r="Z119">
        <f t="shared" si="16"/>
        <v>20.991581666666672</v>
      </c>
      <c r="AA119">
        <f t="shared" si="16"/>
        <v>20.917376666666673</v>
      </c>
      <c r="AB119">
        <f t="shared" si="16"/>
        <v>20.843171666666674</v>
      </c>
      <c r="AC119">
        <f t="shared" si="16"/>
        <v>20.768966666666671</v>
      </c>
      <c r="AD119">
        <f t="shared" si="14"/>
        <v>19.433276666666675</v>
      </c>
    </row>
    <row r="120" spans="2:30" x14ac:dyDescent="0.2">
      <c r="B120" s="7">
        <v>44689</v>
      </c>
      <c r="C120" s="8">
        <v>17.411805555555549</v>
      </c>
      <c r="D120">
        <f t="shared" si="10"/>
        <v>20.687980555555548</v>
      </c>
      <c r="E120">
        <f t="shared" si="13"/>
        <v>20.613775555555549</v>
      </c>
      <c r="F120">
        <f t="shared" si="13"/>
        <v>20.539570555555549</v>
      </c>
      <c r="G120">
        <f t="shared" si="17"/>
        <v>20.46536555555555</v>
      </c>
      <c r="H120">
        <f t="shared" si="17"/>
        <v>20.391160555555551</v>
      </c>
      <c r="I120">
        <f t="shared" si="17"/>
        <v>20.316955555555548</v>
      </c>
      <c r="J120">
        <f t="shared" si="17"/>
        <v>20.242750555555549</v>
      </c>
      <c r="K120">
        <f t="shared" si="17"/>
        <v>20.16854555555555</v>
      </c>
      <c r="L120">
        <f t="shared" si="17"/>
        <v>20.094340555555551</v>
      </c>
      <c r="M120">
        <f t="shared" si="17"/>
        <v>20.020135555555548</v>
      </c>
      <c r="N120">
        <f t="shared" si="17"/>
        <v>19.945930555555549</v>
      </c>
      <c r="O120">
        <f t="shared" si="17"/>
        <v>19.87172555555555</v>
      </c>
      <c r="P120">
        <f t="shared" si="17"/>
        <v>19.79752055555555</v>
      </c>
      <c r="Q120">
        <f t="shared" si="17"/>
        <v>19.723315555555551</v>
      </c>
      <c r="R120">
        <f t="shared" si="17"/>
        <v>19.649110555555549</v>
      </c>
      <c r="S120">
        <f t="shared" si="17"/>
        <v>19.574905555555549</v>
      </c>
      <c r="T120">
        <f t="shared" si="17"/>
        <v>19.50070055555555</v>
      </c>
      <c r="U120">
        <f t="shared" si="16"/>
        <v>19.426495555555547</v>
      </c>
      <c r="V120">
        <f t="shared" si="16"/>
        <v>19.352290555555548</v>
      </c>
      <c r="W120">
        <f t="shared" si="16"/>
        <v>19.278085555555549</v>
      </c>
      <c r="X120">
        <f t="shared" si="16"/>
        <v>19.20388055555555</v>
      </c>
      <c r="Y120">
        <f t="shared" si="16"/>
        <v>19.129675555555551</v>
      </c>
      <c r="Z120">
        <f t="shared" si="16"/>
        <v>19.055470555555548</v>
      </c>
      <c r="AA120">
        <f t="shared" si="16"/>
        <v>18.981265555555549</v>
      </c>
      <c r="AB120">
        <f t="shared" si="16"/>
        <v>18.90706055555555</v>
      </c>
      <c r="AC120">
        <f t="shared" si="16"/>
        <v>18.832855555555547</v>
      </c>
      <c r="AD120">
        <f t="shared" si="14"/>
        <v>17.497165555555551</v>
      </c>
    </row>
    <row r="121" spans="2:30" x14ac:dyDescent="0.2">
      <c r="B121" s="7">
        <v>44690</v>
      </c>
      <c r="C121" s="8">
        <v>18.431944444444454</v>
      </c>
      <c r="D121">
        <f t="shared" si="10"/>
        <v>21.708119444444456</v>
      </c>
      <c r="E121">
        <f t="shared" si="13"/>
        <v>21.633914444444454</v>
      </c>
      <c r="F121">
        <f t="shared" si="13"/>
        <v>21.559709444444454</v>
      </c>
      <c r="G121">
        <f t="shared" si="17"/>
        <v>21.485504444444455</v>
      </c>
      <c r="H121">
        <f t="shared" si="17"/>
        <v>21.411299444444456</v>
      </c>
      <c r="I121">
        <f t="shared" si="17"/>
        <v>21.337094444444453</v>
      </c>
      <c r="J121">
        <f t="shared" si="17"/>
        <v>21.262889444444454</v>
      </c>
      <c r="K121">
        <f t="shared" si="17"/>
        <v>21.188684444444455</v>
      </c>
      <c r="L121">
        <f t="shared" si="17"/>
        <v>21.114479444444456</v>
      </c>
      <c r="M121">
        <f t="shared" si="17"/>
        <v>21.040274444444453</v>
      </c>
      <c r="N121">
        <f t="shared" si="17"/>
        <v>20.966069444444454</v>
      </c>
      <c r="O121">
        <f t="shared" si="17"/>
        <v>20.891864444444455</v>
      </c>
      <c r="P121">
        <f t="shared" si="17"/>
        <v>20.817659444444455</v>
      </c>
      <c r="Q121">
        <f t="shared" si="17"/>
        <v>20.743454444444453</v>
      </c>
      <c r="R121">
        <f t="shared" si="17"/>
        <v>20.669249444444453</v>
      </c>
      <c r="S121">
        <f t="shared" si="17"/>
        <v>20.595044444444454</v>
      </c>
      <c r="T121">
        <f t="shared" si="17"/>
        <v>20.520839444444455</v>
      </c>
      <c r="U121">
        <f t="shared" si="16"/>
        <v>20.446634444444456</v>
      </c>
      <c r="V121">
        <f t="shared" si="16"/>
        <v>20.372429444444453</v>
      </c>
      <c r="W121">
        <f t="shared" si="16"/>
        <v>20.298224444444454</v>
      </c>
      <c r="X121">
        <f t="shared" si="16"/>
        <v>20.224019444444455</v>
      </c>
      <c r="Y121">
        <f t="shared" si="16"/>
        <v>20.149814444444452</v>
      </c>
      <c r="Z121">
        <f t="shared" si="16"/>
        <v>20.075609444444453</v>
      </c>
      <c r="AA121">
        <f t="shared" si="16"/>
        <v>20.001404444444454</v>
      </c>
      <c r="AB121">
        <f t="shared" si="16"/>
        <v>19.927199444444454</v>
      </c>
      <c r="AC121">
        <f t="shared" si="16"/>
        <v>19.852994444444455</v>
      </c>
      <c r="AD121">
        <f t="shared" si="14"/>
        <v>18.517304444444456</v>
      </c>
    </row>
    <row r="122" spans="2:30" x14ac:dyDescent="0.2">
      <c r="B122" s="7">
        <v>44691</v>
      </c>
      <c r="C122" s="8">
        <v>17.620138888888892</v>
      </c>
      <c r="D122">
        <f t="shared" si="10"/>
        <v>20.896313888888891</v>
      </c>
      <c r="E122">
        <f t="shared" si="13"/>
        <v>20.822108888888891</v>
      </c>
      <c r="F122">
        <f t="shared" si="13"/>
        <v>20.747903888888892</v>
      </c>
      <c r="G122">
        <f t="shared" si="17"/>
        <v>20.673698888888893</v>
      </c>
      <c r="H122">
        <f t="shared" si="17"/>
        <v>20.599493888888894</v>
      </c>
      <c r="I122">
        <f t="shared" si="17"/>
        <v>20.525288888888891</v>
      </c>
      <c r="J122">
        <f t="shared" si="17"/>
        <v>20.451083888888892</v>
      </c>
      <c r="K122">
        <f t="shared" si="17"/>
        <v>20.376878888888893</v>
      </c>
      <c r="L122">
        <f t="shared" si="17"/>
        <v>20.302673888888894</v>
      </c>
      <c r="M122">
        <f t="shared" si="17"/>
        <v>20.228468888888891</v>
      </c>
      <c r="N122">
        <f t="shared" si="17"/>
        <v>20.154263888888892</v>
      </c>
      <c r="O122">
        <f t="shared" si="17"/>
        <v>20.080058888888892</v>
      </c>
      <c r="P122">
        <f t="shared" si="17"/>
        <v>20.005853888888893</v>
      </c>
      <c r="Q122">
        <f t="shared" si="17"/>
        <v>19.931648888888894</v>
      </c>
      <c r="R122">
        <f t="shared" si="17"/>
        <v>19.857443888888891</v>
      </c>
      <c r="S122">
        <f t="shared" si="17"/>
        <v>19.783238888888892</v>
      </c>
      <c r="T122">
        <f t="shared" si="17"/>
        <v>19.709033888888893</v>
      </c>
      <c r="U122">
        <f t="shared" si="16"/>
        <v>19.63482888888889</v>
      </c>
      <c r="V122">
        <f t="shared" si="16"/>
        <v>19.560623888888891</v>
      </c>
      <c r="W122">
        <f t="shared" si="16"/>
        <v>19.486418888888892</v>
      </c>
      <c r="X122">
        <f t="shared" si="16"/>
        <v>19.412213888888893</v>
      </c>
      <c r="Y122">
        <f t="shared" si="16"/>
        <v>19.338008888888893</v>
      </c>
      <c r="Z122">
        <f t="shared" si="16"/>
        <v>19.263803888888891</v>
      </c>
      <c r="AA122">
        <f t="shared" si="16"/>
        <v>19.189598888888892</v>
      </c>
      <c r="AB122">
        <f t="shared" si="16"/>
        <v>19.115393888888892</v>
      </c>
      <c r="AC122">
        <f t="shared" si="16"/>
        <v>19.04118888888889</v>
      </c>
      <c r="AD122">
        <f t="shared" si="14"/>
        <v>17.705498888888894</v>
      </c>
    </row>
    <row r="123" spans="2:30" x14ac:dyDescent="0.2">
      <c r="B123" s="7">
        <v>44692</v>
      </c>
      <c r="C123" s="8">
        <v>17.076249999999991</v>
      </c>
      <c r="D123">
        <f t="shared" si="10"/>
        <v>20.35242499999999</v>
      </c>
      <c r="E123">
        <f t="shared" si="13"/>
        <v>20.27821999999999</v>
      </c>
      <c r="F123">
        <f t="shared" si="13"/>
        <v>20.204014999999991</v>
      </c>
      <c r="G123">
        <f t="shared" si="17"/>
        <v>20.129809999999992</v>
      </c>
      <c r="H123">
        <f t="shared" si="17"/>
        <v>20.055604999999993</v>
      </c>
      <c r="I123">
        <f t="shared" si="17"/>
        <v>19.98139999999999</v>
      </c>
      <c r="J123">
        <f t="shared" si="17"/>
        <v>19.907194999999991</v>
      </c>
      <c r="K123">
        <f t="shared" si="17"/>
        <v>19.832989999999992</v>
      </c>
      <c r="L123">
        <f t="shared" si="17"/>
        <v>19.758784999999992</v>
      </c>
      <c r="M123">
        <f t="shared" si="17"/>
        <v>19.68457999999999</v>
      </c>
      <c r="N123">
        <f t="shared" si="17"/>
        <v>19.610374999999991</v>
      </c>
      <c r="O123">
        <f t="shared" si="17"/>
        <v>19.536169999999991</v>
      </c>
      <c r="P123">
        <f t="shared" si="17"/>
        <v>19.461964999999992</v>
      </c>
      <c r="Q123">
        <f t="shared" si="17"/>
        <v>19.387759999999993</v>
      </c>
      <c r="R123">
        <f t="shared" si="17"/>
        <v>19.31355499999999</v>
      </c>
      <c r="S123">
        <f t="shared" si="17"/>
        <v>19.239349999999991</v>
      </c>
      <c r="T123">
        <f t="shared" si="17"/>
        <v>19.165144999999992</v>
      </c>
      <c r="U123">
        <f t="shared" si="16"/>
        <v>19.090939999999989</v>
      </c>
      <c r="V123">
        <f t="shared" si="16"/>
        <v>19.01673499999999</v>
      </c>
      <c r="W123">
        <f t="shared" si="16"/>
        <v>18.942529999999991</v>
      </c>
      <c r="X123">
        <f t="shared" si="16"/>
        <v>18.868324999999992</v>
      </c>
      <c r="Y123">
        <f t="shared" si="16"/>
        <v>18.794119999999992</v>
      </c>
      <c r="Z123">
        <f t="shared" si="16"/>
        <v>18.71991499999999</v>
      </c>
      <c r="AA123">
        <f t="shared" si="16"/>
        <v>18.64570999999999</v>
      </c>
      <c r="AB123">
        <f t="shared" si="16"/>
        <v>18.571504999999991</v>
      </c>
      <c r="AC123">
        <f t="shared" si="16"/>
        <v>18.497299999999989</v>
      </c>
      <c r="AD123">
        <f t="shared" si="14"/>
        <v>17.161609999999992</v>
      </c>
    </row>
    <row r="124" spans="2:30" x14ac:dyDescent="0.2">
      <c r="B124" s="7">
        <v>44693</v>
      </c>
      <c r="C124" s="8">
        <v>17.645277777777782</v>
      </c>
      <c r="D124">
        <f t="shared" si="10"/>
        <v>20.92145277777778</v>
      </c>
      <c r="E124">
        <f t="shared" si="13"/>
        <v>20.847247777777781</v>
      </c>
      <c r="F124">
        <f t="shared" si="13"/>
        <v>20.773042777777782</v>
      </c>
      <c r="G124">
        <f t="shared" si="17"/>
        <v>20.698837777777783</v>
      </c>
      <c r="H124">
        <f t="shared" si="17"/>
        <v>20.624632777777784</v>
      </c>
      <c r="I124">
        <f t="shared" si="17"/>
        <v>20.550427777777781</v>
      </c>
      <c r="J124">
        <f t="shared" si="17"/>
        <v>20.476222777777782</v>
      </c>
      <c r="K124">
        <f t="shared" si="17"/>
        <v>20.402017777777782</v>
      </c>
      <c r="L124">
        <f t="shared" si="17"/>
        <v>20.327812777777783</v>
      </c>
      <c r="M124">
        <f t="shared" si="17"/>
        <v>20.253607777777781</v>
      </c>
      <c r="N124">
        <f t="shared" si="17"/>
        <v>20.179402777777781</v>
      </c>
      <c r="O124">
        <f t="shared" si="17"/>
        <v>20.105197777777782</v>
      </c>
      <c r="P124">
        <f t="shared" si="17"/>
        <v>20.030992777777783</v>
      </c>
      <c r="Q124">
        <f t="shared" si="17"/>
        <v>19.956787777777784</v>
      </c>
      <c r="R124">
        <f t="shared" si="17"/>
        <v>19.882582777777781</v>
      </c>
      <c r="S124">
        <f t="shared" si="17"/>
        <v>19.808377777777782</v>
      </c>
      <c r="T124">
        <f t="shared" si="17"/>
        <v>19.734172777777783</v>
      </c>
      <c r="U124">
        <f t="shared" si="16"/>
        <v>19.65996777777778</v>
      </c>
      <c r="V124">
        <f t="shared" si="16"/>
        <v>19.585762777777781</v>
      </c>
      <c r="W124">
        <f t="shared" si="16"/>
        <v>19.511557777777782</v>
      </c>
      <c r="X124">
        <f t="shared" si="16"/>
        <v>19.437352777777782</v>
      </c>
      <c r="Y124">
        <f t="shared" si="16"/>
        <v>19.363147777777783</v>
      </c>
      <c r="Z124">
        <f t="shared" si="16"/>
        <v>19.28894277777778</v>
      </c>
      <c r="AA124">
        <f t="shared" si="16"/>
        <v>19.214737777777781</v>
      </c>
      <c r="AB124">
        <f t="shared" si="16"/>
        <v>19.140532777777782</v>
      </c>
      <c r="AC124">
        <f t="shared" si="16"/>
        <v>19.066327777777779</v>
      </c>
      <c r="AD124">
        <f t="shared" si="14"/>
        <v>17.730637777777783</v>
      </c>
    </row>
    <row r="125" spans="2:30" x14ac:dyDescent="0.2">
      <c r="B125" s="7">
        <v>44694</v>
      </c>
      <c r="C125" s="8">
        <v>17.954861111111114</v>
      </c>
      <c r="D125">
        <f t="shared" si="10"/>
        <v>21.231036111111116</v>
      </c>
      <c r="E125">
        <f t="shared" si="13"/>
        <v>21.156831111111114</v>
      </c>
      <c r="F125">
        <f t="shared" si="13"/>
        <v>21.082626111111114</v>
      </c>
      <c r="G125">
        <f t="shared" si="17"/>
        <v>21.008421111111115</v>
      </c>
      <c r="H125">
        <f t="shared" si="17"/>
        <v>20.934216111111116</v>
      </c>
      <c r="I125">
        <f t="shared" si="17"/>
        <v>20.860011111111113</v>
      </c>
      <c r="J125">
        <f t="shared" si="17"/>
        <v>20.785806111111114</v>
      </c>
      <c r="K125">
        <f t="shared" si="17"/>
        <v>20.711601111111115</v>
      </c>
      <c r="L125">
        <f t="shared" si="17"/>
        <v>20.637396111111116</v>
      </c>
      <c r="M125">
        <f t="shared" si="17"/>
        <v>20.563191111111113</v>
      </c>
      <c r="N125">
        <f t="shared" si="17"/>
        <v>20.488986111111114</v>
      </c>
      <c r="O125">
        <f t="shared" si="17"/>
        <v>20.414781111111115</v>
      </c>
      <c r="P125">
        <f t="shared" si="17"/>
        <v>20.340576111111115</v>
      </c>
      <c r="Q125">
        <f t="shared" si="17"/>
        <v>20.266371111111113</v>
      </c>
      <c r="R125">
        <f t="shared" si="17"/>
        <v>20.192166111111113</v>
      </c>
      <c r="S125">
        <f t="shared" si="17"/>
        <v>20.117961111111114</v>
      </c>
      <c r="T125">
        <f t="shared" si="17"/>
        <v>20.043756111111115</v>
      </c>
      <c r="U125">
        <f t="shared" si="16"/>
        <v>19.969551111111116</v>
      </c>
      <c r="V125">
        <f t="shared" si="16"/>
        <v>19.895346111111113</v>
      </c>
      <c r="W125">
        <f t="shared" si="16"/>
        <v>19.821141111111114</v>
      </c>
      <c r="X125">
        <f t="shared" si="16"/>
        <v>19.746936111111115</v>
      </c>
      <c r="Y125">
        <f t="shared" si="16"/>
        <v>19.672731111111112</v>
      </c>
      <c r="Z125">
        <f t="shared" si="16"/>
        <v>19.598526111111113</v>
      </c>
      <c r="AA125">
        <f t="shared" si="16"/>
        <v>19.524321111111114</v>
      </c>
      <c r="AB125">
        <f t="shared" si="16"/>
        <v>19.450116111111114</v>
      </c>
      <c r="AC125">
        <f t="shared" si="16"/>
        <v>19.375911111111115</v>
      </c>
      <c r="AD125">
        <f t="shared" si="14"/>
        <v>18.040221111111116</v>
      </c>
    </row>
    <row r="126" spans="2:30" x14ac:dyDescent="0.2">
      <c r="B126" s="7">
        <v>44695</v>
      </c>
      <c r="C126" s="8">
        <v>19.131250000000009</v>
      </c>
      <c r="D126">
        <f t="shared" si="10"/>
        <v>22.407425000000011</v>
      </c>
      <c r="E126">
        <f t="shared" si="13"/>
        <v>22.333220000000008</v>
      </c>
      <c r="F126">
        <f t="shared" si="13"/>
        <v>22.259015000000009</v>
      </c>
      <c r="G126">
        <f t="shared" si="17"/>
        <v>22.184810000000009</v>
      </c>
      <c r="H126">
        <f t="shared" si="17"/>
        <v>22.11060500000001</v>
      </c>
      <c r="I126">
        <f t="shared" si="17"/>
        <v>22.036400000000008</v>
      </c>
      <c r="J126">
        <f t="shared" si="17"/>
        <v>21.962195000000008</v>
      </c>
      <c r="K126">
        <f t="shared" si="17"/>
        <v>21.887990000000009</v>
      </c>
      <c r="L126">
        <f t="shared" si="17"/>
        <v>21.81378500000001</v>
      </c>
      <c r="M126">
        <f t="shared" si="17"/>
        <v>21.739580000000007</v>
      </c>
      <c r="N126">
        <f t="shared" si="17"/>
        <v>21.665375000000008</v>
      </c>
      <c r="O126">
        <f t="shared" si="17"/>
        <v>21.591170000000009</v>
      </c>
      <c r="P126">
        <f t="shared" si="17"/>
        <v>21.51696500000001</v>
      </c>
      <c r="Q126">
        <f t="shared" si="17"/>
        <v>21.442760000000007</v>
      </c>
      <c r="R126">
        <f t="shared" si="17"/>
        <v>21.368555000000008</v>
      </c>
      <c r="S126">
        <f t="shared" si="17"/>
        <v>21.294350000000009</v>
      </c>
      <c r="T126">
        <f t="shared" si="17"/>
        <v>21.220145000000009</v>
      </c>
      <c r="U126">
        <f t="shared" si="16"/>
        <v>21.14594000000001</v>
      </c>
      <c r="V126">
        <f t="shared" si="16"/>
        <v>21.071735000000007</v>
      </c>
      <c r="W126">
        <f t="shared" si="16"/>
        <v>20.997530000000008</v>
      </c>
      <c r="X126">
        <f t="shared" si="16"/>
        <v>20.923325000000009</v>
      </c>
      <c r="Y126">
        <f t="shared" si="16"/>
        <v>20.849120000000006</v>
      </c>
      <c r="Z126">
        <f t="shared" si="16"/>
        <v>20.774915000000007</v>
      </c>
      <c r="AA126">
        <f t="shared" si="16"/>
        <v>20.700710000000008</v>
      </c>
      <c r="AB126">
        <f t="shared" si="16"/>
        <v>20.626505000000009</v>
      </c>
      <c r="AC126">
        <f t="shared" si="16"/>
        <v>20.55230000000001</v>
      </c>
      <c r="AD126">
        <f t="shared" si="14"/>
        <v>19.21661000000001</v>
      </c>
    </row>
    <row r="127" spans="2:30" x14ac:dyDescent="0.2">
      <c r="B127" s="7">
        <v>44696</v>
      </c>
      <c r="C127" s="8">
        <v>20.008333333333336</v>
      </c>
      <c r="D127">
        <f t="shared" si="10"/>
        <v>23.284508333333335</v>
      </c>
      <c r="E127">
        <f t="shared" si="13"/>
        <v>23.210303333333336</v>
      </c>
      <c r="F127">
        <f t="shared" si="13"/>
        <v>23.136098333333337</v>
      </c>
      <c r="G127">
        <f t="shared" si="17"/>
        <v>23.061893333333337</v>
      </c>
      <c r="H127">
        <f t="shared" si="17"/>
        <v>22.987688333333338</v>
      </c>
      <c r="I127">
        <f t="shared" si="17"/>
        <v>22.913483333333335</v>
      </c>
      <c r="J127">
        <f t="shared" si="17"/>
        <v>22.839278333333336</v>
      </c>
      <c r="K127">
        <f t="shared" si="17"/>
        <v>22.765073333333337</v>
      </c>
      <c r="L127">
        <f t="shared" si="17"/>
        <v>22.690868333333338</v>
      </c>
      <c r="M127">
        <f t="shared" si="17"/>
        <v>22.616663333333335</v>
      </c>
      <c r="N127">
        <f t="shared" si="17"/>
        <v>22.542458333333336</v>
      </c>
      <c r="O127">
        <f t="shared" si="17"/>
        <v>22.468253333333337</v>
      </c>
      <c r="P127">
        <f t="shared" si="17"/>
        <v>22.394048333333338</v>
      </c>
      <c r="Q127">
        <f t="shared" si="17"/>
        <v>22.319843333333338</v>
      </c>
      <c r="R127">
        <f t="shared" si="17"/>
        <v>22.245638333333336</v>
      </c>
      <c r="S127">
        <f t="shared" si="17"/>
        <v>22.171433333333336</v>
      </c>
      <c r="T127">
        <f t="shared" si="17"/>
        <v>22.097228333333337</v>
      </c>
      <c r="U127">
        <f t="shared" si="16"/>
        <v>22.023023333333335</v>
      </c>
      <c r="V127">
        <f t="shared" si="16"/>
        <v>21.948818333333335</v>
      </c>
      <c r="W127">
        <f t="shared" si="16"/>
        <v>21.874613333333336</v>
      </c>
      <c r="X127">
        <f t="shared" si="16"/>
        <v>21.800408333333337</v>
      </c>
      <c r="Y127">
        <f t="shared" si="16"/>
        <v>21.726203333333338</v>
      </c>
      <c r="Z127">
        <f t="shared" si="16"/>
        <v>21.651998333333335</v>
      </c>
      <c r="AA127">
        <f t="shared" si="16"/>
        <v>21.577793333333336</v>
      </c>
      <c r="AB127">
        <f t="shared" si="16"/>
        <v>21.503588333333337</v>
      </c>
      <c r="AC127">
        <f t="shared" si="16"/>
        <v>21.429383333333334</v>
      </c>
      <c r="AD127">
        <f t="shared" si="14"/>
        <v>20.093693333333338</v>
      </c>
    </row>
    <row r="128" spans="2:30" x14ac:dyDescent="0.2">
      <c r="B128" s="7">
        <v>44697</v>
      </c>
      <c r="C128" s="8">
        <v>19.104861111111106</v>
      </c>
      <c r="D128">
        <f t="shared" si="10"/>
        <v>22.381036111111108</v>
      </c>
      <c r="E128">
        <f t="shared" si="13"/>
        <v>22.306831111111105</v>
      </c>
      <c r="F128">
        <f t="shared" si="13"/>
        <v>22.232626111111106</v>
      </c>
      <c r="G128">
        <f t="shared" si="17"/>
        <v>22.158421111111107</v>
      </c>
      <c r="H128">
        <f t="shared" si="17"/>
        <v>22.084216111111107</v>
      </c>
      <c r="I128">
        <f t="shared" si="17"/>
        <v>22.010011111111105</v>
      </c>
      <c r="J128">
        <f t="shared" si="17"/>
        <v>21.935806111111106</v>
      </c>
      <c r="K128">
        <f t="shared" si="17"/>
        <v>21.861601111111106</v>
      </c>
      <c r="L128">
        <f t="shared" si="17"/>
        <v>21.787396111111107</v>
      </c>
      <c r="M128">
        <f t="shared" si="17"/>
        <v>21.713191111111104</v>
      </c>
      <c r="N128">
        <f t="shared" si="17"/>
        <v>21.638986111111105</v>
      </c>
      <c r="O128">
        <f t="shared" si="17"/>
        <v>21.564781111111106</v>
      </c>
      <c r="P128">
        <f t="shared" si="17"/>
        <v>21.490576111111107</v>
      </c>
      <c r="Q128">
        <f t="shared" si="17"/>
        <v>21.416371111111104</v>
      </c>
      <c r="R128">
        <f t="shared" si="17"/>
        <v>21.342166111111105</v>
      </c>
      <c r="S128">
        <f t="shared" si="17"/>
        <v>21.267961111111106</v>
      </c>
      <c r="T128">
        <f t="shared" si="17"/>
        <v>21.193756111111107</v>
      </c>
      <c r="U128">
        <f t="shared" si="16"/>
        <v>21.119551111111107</v>
      </c>
      <c r="V128">
        <f t="shared" si="16"/>
        <v>21.045346111111105</v>
      </c>
      <c r="W128">
        <f t="shared" si="16"/>
        <v>20.971141111111105</v>
      </c>
      <c r="X128">
        <f t="shared" si="16"/>
        <v>20.896936111111106</v>
      </c>
      <c r="Y128">
        <f t="shared" si="16"/>
        <v>20.822731111111104</v>
      </c>
      <c r="Z128">
        <f t="shared" si="16"/>
        <v>20.748526111111104</v>
      </c>
      <c r="AA128">
        <f t="shared" si="16"/>
        <v>20.674321111111105</v>
      </c>
      <c r="AB128">
        <f t="shared" si="16"/>
        <v>20.600116111111106</v>
      </c>
      <c r="AC128">
        <f t="shared" si="16"/>
        <v>20.525911111111107</v>
      </c>
      <c r="AD128">
        <f t="shared" si="14"/>
        <v>19.190221111111107</v>
      </c>
    </row>
    <row r="129" spans="2:30" x14ac:dyDescent="0.2">
      <c r="B129" s="7">
        <v>44698</v>
      </c>
      <c r="C129" s="8">
        <v>19.940277777777776</v>
      </c>
      <c r="D129">
        <f t="shared" si="10"/>
        <v>23.216452777777775</v>
      </c>
      <c r="E129">
        <f t="shared" si="13"/>
        <v>23.142247777777776</v>
      </c>
      <c r="F129">
        <f t="shared" si="13"/>
        <v>23.068042777777777</v>
      </c>
      <c r="G129">
        <f t="shared" si="17"/>
        <v>22.993837777777777</v>
      </c>
      <c r="H129">
        <f t="shared" si="17"/>
        <v>22.919632777777778</v>
      </c>
      <c r="I129">
        <f t="shared" si="17"/>
        <v>22.845427777777775</v>
      </c>
      <c r="J129">
        <f t="shared" si="17"/>
        <v>22.771222777777776</v>
      </c>
      <c r="K129">
        <f t="shared" si="17"/>
        <v>22.697017777777777</v>
      </c>
      <c r="L129">
        <f t="shared" si="17"/>
        <v>22.622812777777778</v>
      </c>
      <c r="M129">
        <f t="shared" si="17"/>
        <v>22.548607777777775</v>
      </c>
      <c r="N129">
        <f t="shared" si="17"/>
        <v>22.474402777777776</v>
      </c>
      <c r="O129">
        <f t="shared" si="17"/>
        <v>22.400197777777777</v>
      </c>
      <c r="P129">
        <f t="shared" si="17"/>
        <v>22.325992777777778</v>
      </c>
      <c r="Q129">
        <f t="shared" si="17"/>
        <v>22.251787777777778</v>
      </c>
      <c r="R129">
        <f t="shared" si="17"/>
        <v>22.177582777777776</v>
      </c>
      <c r="S129">
        <f t="shared" si="17"/>
        <v>22.103377777777776</v>
      </c>
      <c r="T129">
        <f t="shared" si="17"/>
        <v>22.029172777777777</v>
      </c>
      <c r="U129">
        <f t="shared" si="16"/>
        <v>21.954967777777775</v>
      </c>
      <c r="V129">
        <f t="shared" si="16"/>
        <v>21.880762777777775</v>
      </c>
      <c r="W129">
        <f t="shared" si="16"/>
        <v>21.806557777777776</v>
      </c>
      <c r="X129">
        <f t="shared" si="16"/>
        <v>21.732352777777777</v>
      </c>
      <c r="Y129">
        <f t="shared" si="16"/>
        <v>21.658147777777778</v>
      </c>
      <c r="Z129">
        <f t="shared" si="16"/>
        <v>21.583942777777775</v>
      </c>
      <c r="AA129">
        <f t="shared" si="16"/>
        <v>21.509737777777776</v>
      </c>
      <c r="AB129">
        <f t="shared" si="16"/>
        <v>21.435532777777777</v>
      </c>
      <c r="AC129">
        <f t="shared" si="16"/>
        <v>21.361327777777774</v>
      </c>
      <c r="AD129">
        <f t="shared" si="14"/>
        <v>20.025637777777778</v>
      </c>
    </row>
    <row r="130" spans="2:30" x14ac:dyDescent="0.2">
      <c r="B130" s="7">
        <v>44699</v>
      </c>
      <c r="C130" s="8">
        <v>21.647222222222226</v>
      </c>
      <c r="D130">
        <f t="shared" si="10"/>
        <v>24.923397222222228</v>
      </c>
      <c r="E130">
        <f t="shared" si="13"/>
        <v>24.849192222222225</v>
      </c>
      <c r="F130">
        <f t="shared" si="13"/>
        <v>24.774987222222226</v>
      </c>
      <c r="G130">
        <f t="shared" si="13"/>
        <v>24.700782222222227</v>
      </c>
      <c r="H130">
        <f t="shared" si="13"/>
        <v>24.626577222222227</v>
      </c>
      <c r="I130">
        <f t="shared" si="13"/>
        <v>24.552372222222225</v>
      </c>
      <c r="J130">
        <f t="shared" si="13"/>
        <v>24.478167222222226</v>
      </c>
      <c r="K130">
        <f t="shared" si="13"/>
        <v>24.403962222222226</v>
      </c>
      <c r="L130">
        <f t="shared" si="13"/>
        <v>24.329757222222227</v>
      </c>
      <c r="M130">
        <f t="shared" si="13"/>
        <v>24.255552222222224</v>
      </c>
      <c r="N130">
        <f t="shared" si="13"/>
        <v>24.181347222222225</v>
      </c>
      <c r="O130">
        <f t="shared" si="13"/>
        <v>24.107142222222226</v>
      </c>
      <c r="P130">
        <f t="shared" si="13"/>
        <v>24.032937222222227</v>
      </c>
      <c r="Q130">
        <f t="shared" si="13"/>
        <v>23.958732222222224</v>
      </c>
      <c r="R130">
        <f t="shared" si="13"/>
        <v>23.884527222222225</v>
      </c>
      <c r="S130">
        <f t="shared" si="13"/>
        <v>23.810322222222226</v>
      </c>
      <c r="T130">
        <f t="shared" si="13"/>
        <v>23.736117222222227</v>
      </c>
      <c r="U130">
        <f t="shared" si="16"/>
        <v>23.661912222222227</v>
      </c>
      <c r="V130">
        <f t="shared" si="16"/>
        <v>23.587707222222225</v>
      </c>
      <c r="W130">
        <f t="shared" si="16"/>
        <v>23.513502222222225</v>
      </c>
      <c r="X130">
        <f t="shared" si="16"/>
        <v>23.439297222222226</v>
      </c>
      <c r="Y130">
        <f t="shared" si="16"/>
        <v>23.365092222222223</v>
      </c>
      <c r="Z130">
        <f t="shared" si="16"/>
        <v>23.290887222222224</v>
      </c>
      <c r="AA130">
        <f t="shared" si="16"/>
        <v>23.216682222222225</v>
      </c>
      <c r="AB130">
        <f t="shared" si="16"/>
        <v>23.142477222222226</v>
      </c>
      <c r="AC130">
        <f t="shared" si="16"/>
        <v>23.068272222222227</v>
      </c>
      <c r="AD130">
        <f t="shared" si="14"/>
        <v>21.732582222222227</v>
      </c>
    </row>
    <row r="131" spans="2:30" x14ac:dyDescent="0.2">
      <c r="B131" s="7">
        <v>44700</v>
      </c>
      <c r="C131" s="8">
        <v>20.476388888888891</v>
      </c>
      <c r="D131">
        <f t="shared" si="10"/>
        <v>23.752563888888893</v>
      </c>
      <c r="E131">
        <f t="shared" si="13"/>
        <v>23.678358888888891</v>
      </c>
      <c r="F131">
        <f t="shared" si="13"/>
        <v>23.604153888888892</v>
      </c>
      <c r="G131">
        <f t="shared" si="13"/>
        <v>23.529948888888892</v>
      </c>
      <c r="H131">
        <f t="shared" si="13"/>
        <v>23.455743888888893</v>
      </c>
      <c r="I131">
        <f t="shared" si="13"/>
        <v>23.38153888888889</v>
      </c>
      <c r="J131">
        <f t="shared" si="13"/>
        <v>23.307333888888891</v>
      </c>
      <c r="K131">
        <f t="shared" si="13"/>
        <v>23.233128888888892</v>
      </c>
      <c r="L131">
        <f t="shared" si="13"/>
        <v>23.158923888888893</v>
      </c>
      <c r="M131">
        <f t="shared" si="13"/>
        <v>23.08471888888889</v>
      </c>
      <c r="N131">
        <f t="shared" si="13"/>
        <v>23.010513888888891</v>
      </c>
      <c r="O131">
        <f t="shared" si="13"/>
        <v>22.936308888888892</v>
      </c>
      <c r="P131">
        <f t="shared" si="13"/>
        <v>22.862103888888893</v>
      </c>
      <c r="Q131">
        <f t="shared" si="13"/>
        <v>22.78789888888889</v>
      </c>
      <c r="R131">
        <f t="shared" si="13"/>
        <v>22.713693888888891</v>
      </c>
      <c r="S131">
        <f t="shared" si="13"/>
        <v>22.639488888888891</v>
      </c>
      <c r="T131">
        <f t="shared" si="13"/>
        <v>22.565283888888892</v>
      </c>
      <c r="U131">
        <f t="shared" si="16"/>
        <v>22.491078888888893</v>
      </c>
      <c r="V131">
        <f t="shared" si="16"/>
        <v>22.41687388888889</v>
      </c>
      <c r="W131">
        <f t="shared" si="16"/>
        <v>22.342668888888891</v>
      </c>
      <c r="X131">
        <f t="shared" si="16"/>
        <v>22.268463888888892</v>
      </c>
      <c r="Y131">
        <f t="shared" si="16"/>
        <v>22.194258888888889</v>
      </c>
      <c r="Z131">
        <f t="shared" si="16"/>
        <v>22.12005388888889</v>
      </c>
      <c r="AA131">
        <f t="shared" si="16"/>
        <v>22.045848888888891</v>
      </c>
      <c r="AB131">
        <f t="shared" si="16"/>
        <v>21.971643888888892</v>
      </c>
      <c r="AC131">
        <f t="shared" si="16"/>
        <v>21.897438888888892</v>
      </c>
      <c r="AD131">
        <f t="shared" si="14"/>
        <v>20.561748888888893</v>
      </c>
    </row>
    <row r="132" spans="2:30" x14ac:dyDescent="0.2">
      <c r="B132" s="7">
        <v>44701</v>
      </c>
      <c r="C132" s="8">
        <v>17.959027777777781</v>
      </c>
      <c r="D132">
        <f t="shared" si="10"/>
        <v>21.235202777777779</v>
      </c>
      <c r="E132">
        <f t="shared" si="13"/>
        <v>21.16099777777778</v>
      </c>
      <c r="F132">
        <f t="shared" si="13"/>
        <v>21.086792777777781</v>
      </c>
      <c r="G132">
        <f t="shared" si="13"/>
        <v>21.012587777777782</v>
      </c>
      <c r="H132">
        <f t="shared" si="13"/>
        <v>20.938382777777782</v>
      </c>
      <c r="I132">
        <f t="shared" si="13"/>
        <v>20.86417777777778</v>
      </c>
      <c r="J132">
        <f t="shared" si="13"/>
        <v>20.789972777777781</v>
      </c>
      <c r="K132">
        <f t="shared" si="13"/>
        <v>20.715767777777781</v>
      </c>
      <c r="L132">
        <f t="shared" si="13"/>
        <v>20.641562777777782</v>
      </c>
      <c r="M132">
        <f t="shared" si="13"/>
        <v>20.567357777777779</v>
      </c>
      <c r="N132">
        <f t="shared" si="13"/>
        <v>20.49315277777778</v>
      </c>
      <c r="O132">
        <f t="shared" si="13"/>
        <v>20.418947777777781</v>
      </c>
      <c r="P132">
        <f t="shared" si="13"/>
        <v>20.344742777777782</v>
      </c>
      <c r="Q132">
        <f t="shared" si="13"/>
        <v>20.270537777777783</v>
      </c>
      <c r="R132">
        <f t="shared" si="13"/>
        <v>20.19633277777778</v>
      </c>
      <c r="S132">
        <f t="shared" si="13"/>
        <v>20.122127777777781</v>
      </c>
      <c r="T132">
        <f t="shared" si="13"/>
        <v>20.047922777777782</v>
      </c>
      <c r="U132">
        <f t="shared" si="16"/>
        <v>19.973717777777779</v>
      </c>
      <c r="V132">
        <f t="shared" si="16"/>
        <v>19.89951277777778</v>
      </c>
      <c r="W132">
        <f t="shared" si="16"/>
        <v>19.82530777777778</v>
      </c>
      <c r="X132">
        <f t="shared" si="16"/>
        <v>19.751102777777781</v>
      </c>
      <c r="Y132">
        <f t="shared" si="16"/>
        <v>19.676897777777782</v>
      </c>
      <c r="Z132">
        <f t="shared" si="16"/>
        <v>19.602692777777779</v>
      </c>
      <c r="AA132">
        <f t="shared" si="16"/>
        <v>19.52848777777778</v>
      </c>
      <c r="AB132">
        <f t="shared" si="16"/>
        <v>19.454282777777781</v>
      </c>
      <c r="AC132">
        <f t="shared" si="16"/>
        <v>19.380077777777778</v>
      </c>
      <c r="AD132">
        <f t="shared" si="14"/>
        <v>18.044387777777782</v>
      </c>
    </row>
    <row r="133" spans="2:30" x14ac:dyDescent="0.2">
      <c r="B133" s="7">
        <v>44702</v>
      </c>
      <c r="C133" s="8">
        <v>17.920138888888886</v>
      </c>
      <c r="D133">
        <f t="shared" si="10"/>
        <v>21.196313888888888</v>
      </c>
      <c r="E133">
        <f t="shared" si="13"/>
        <v>21.122108888888885</v>
      </c>
      <c r="F133">
        <f t="shared" si="13"/>
        <v>21.047903888888886</v>
      </c>
      <c r="G133">
        <f t="shared" si="13"/>
        <v>20.973698888888887</v>
      </c>
      <c r="H133">
        <f t="shared" si="13"/>
        <v>20.899493888888887</v>
      </c>
      <c r="I133">
        <f t="shared" si="13"/>
        <v>20.825288888888885</v>
      </c>
      <c r="J133">
        <f t="shared" si="13"/>
        <v>20.751083888888886</v>
      </c>
      <c r="K133">
        <f t="shared" si="13"/>
        <v>20.676878888888886</v>
      </c>
      <c r="L133">
        <f t="shared" si="13"/>
        <v>20.602673888888887</v>
      </c>
      <c r="M133">
        <f t="shared" si="13"/>
        <v>20.528468888888884</v>
      </c>
      <c r="N133">
        <f t="shared" si="13"/>
        <v>20.454263888888885</v>
      </c>
      <c r="O133">
        <f t="shared" si="13"/>
        <v>20.380058888888886</v>
      </c>
      <c r="P133">
        <f t="shared" si="13"/>
        <v>20.305853888888887</v>
      </c>
      <c r="Q133">
        <f t="shared" si="13"/>
        <v>20.231648888888884</v>
      </c>
      <c r="R133">
        <f t="shared" si="13"/>
        <v>20.157443888888885</v>
      </c>
      <c r="S133">
        <f t="shared" si="13"/>
        <v>20.083238888888886</v>
      </c>
      <c r="T133">
        <f t="shared" si="13"/>
        <v>20.009033888888887</v>
      </c>
      <c r="U133">
        <f t="shared" si="16"/>
        <v>19.934828888888887</v>
      </c>
      <c r="V133">
        <f t="shared" si="16"/>
        <v>19.860623888888885</v>
      </c>
      <c r="W133">
        <f t="shared" si="16"/>
        <v>19.786418888888885</v>
      </c>
      <c r="X133">
        <f t="shared" si="16"/>
        <v>19.712213888888886</v>
      </c>
      <c r="Y133">
        <f t="shared" si="16"/>
        <v>19.638008888888884</v>
      </c>
      <c r="Z133">
        <f t="shared" si="16"/>
        <v>19.563803888888884</v>
      </c>
      <c r="AA133">
        <f t="shared" si="16"/>
        <v>19.489598888888885</v>
      </c>
      <c r="AB133">
        <f t="shared" si="16"/>
        <v>19.415393888888886</v>
      </c>
      <c r="AC133">
        <f t="shared" si="16"/>
        <v>19.341188888888887</v>
      </c>
      <c r="AD133">
        <f t="shared" si="14"/>
        <v>18.005498888888887</v>
      </c>
    </row>
    <row r="134" spans="2:30" x14ac:dyDescent="0.2">
      <c r="B134" s="7">
        <v>44703</v>
      </c>
      <c r="C134" s="8">
        <v>20.226388888888888</v>
      </c>
      <c r="D134">
        <f t="shared" ref="D134:D197" si="18">(-1.4841*D$3+3.6472)+C134</f>
        <v>23.502563888888886</v>
      </c>
      <c r="E134">
        <f t="shared" si="13"/>
        <v>23.428358888888887</v>
      </c>
      <c r="F134">
        <f t="shared" si="13"/>
        <v>23.354153888888888</v>
      </c>
      <c r="G134">
        <f t="shared" si="13"/>
        <v>23.279948888888889</v>
      </c>
      <c r="H134">
        <f t="shared" si="13"/>
        <v>23.20574388888889</v>
      </c>
      <c r="I134">
        <f t="shared" si="13"/>
        <v>23.131538888888887</v>
      </c>
      <c r="J134">
        <f t="shared" si="13"/>
        <v>23.057333888888888</v>
      </c>
      <c r="K134">
        <f t="shared" si="13"/>
        <v>22.983128888888888</v>
      </c>
      <c r="L134">
        <f t="shared" si="13"/>
        <v>22.908923888888889</v>
      </c>
      <c r="M134">
        <f t="shared" si="13"/>
        <v>22.834718888888887</v>
      </c>
      <c r="N134">
        <f t="shared" si="13"/>
        <v>22.760513888888887</v>
      </c>
      <c r="O134">
        <f t="shared" si="13"/>
        <v>22.686308888888888</v>
      </c>
      <c r="P134">
        <f t="shared" si="13"/>
        <v>22.612103888888889</v>
      </c>
      <c r="Q134">
        <f t="shared" si="13"/>
        <v>22.53789888888889</v>
      </c>
      <c r="R134">
        <f t="shared" si="13"/>
        <v>22.463693888888887</v>
      </c>
      <c r="S134">
        <f t="shared" si="13"/>
        <v>22.389488888888888</v>
      </c>
      <c r="T134">
        <f t="shared" si="13"/>
        <v>22.315283888888889</v>
      </c>
      <c r="U134">
        <f t="shared" si="16"/>
        <v>22.241078888888886</v>
      </c>
      <c r="V134">
        <f t="shared" si="16"/>
        <v>22.166873888888887</v>
      </c>
      <c r="W134">
        <f t="shared" si="16"/>
        <v>22.092668888888888</v>
      </c>
      <c r="X134">
        <f t="shared" si="16"/>
        <v>22.018463888888888</v>
      </c>
      <c r="Y134">
        <f t="shared" si="16"/>
        <v>21.944258888888889</v>
      </c>
      <c r="Z134">
        <f t="shared" ref="U134:AC162" si="19">(-1.4841*Z$3+3.6472)+$C134</f>
        <v>21.870053888888886</v>
      </c>
      <c r="AA134">
        <f t="shared" si="19"/>
        <v>21.795848888888887</v>
      </c>
      <c r="AB134">
        <f t="shared" si="19"/>
        <v>21.721643888888888</v>
      </c>
      <c r="AC134">
        <f t="shared" si="19"/>
        <v>21.647438888888885</v>
      </c>
      <c r="AD134">
        <f t="shared" si="14"/>
        <v>20.311748888888889</v>
      </c>
    </row>
    <row r="135" spans="2:30" x14ac:dyDescent="0.2">
      <c r="B135" s="7">
        <v>44704</v>
      </c>
      <c r="C135" s="8">
        <v>18.934027777777786</v>
      </c>
      <c r="D135">
        <f t="shared" si="18"/>
        <v>22.210202777777788</v>
      </c>
      <c r="E135">
        <f t="shared" si="13"/>
        <v>22.135997777777785</v>
      </c>
      <c r="F135">
        <f t="shared" si="13"/>
        <v>22.061792777777786</v>
      </c>
      <c r="G135">
        <f t="shared" si="13"/>
        <v>21.987587777777787</v>
      </c>
      <c r="H135">
        <f t="shared" si="13"/>
        <v>21.913382777777787</v>
      </c>
      <c r="I135">
        <f t="shared" si="13"/>
        <v>21.839177777777785</v>
      </c>
      <c r="J135">
        <f t="shared" si="13"/>
        <v>21.764972777777785</v>
      </c>
      <c r="K135">
        <f t="shared" si="13"/>
        <v>21.690767777777786</v>
      </c>
      <c r="L135">
        <f t="shared" si="13"/>
        <v>21.616562777777787</v>
      </c>
      <c r="M135">
        <f t="shared" si="13"/>
        <v>21.542357777777784</v>
      </c>
      <c r="N135">
        <f t="shared" si="13"/>
        <v>21.468152777777785</v>
      </c>
      <c r="O135">
        <f t="shared" si="13"/>
        <v>21.393947777777786</v>
      </c>
      <c r="P135">
        <f t="shared" si="13"/>
        <v>21.319742777777787</v>
      </c>
      <c r="Q135">
        <f t="shared" si="13"/>
        <v>21.245537777777784</v>
      </c>
      <c r="R135">
        <f t="shared" si="13"/>
        <v>21.171332777777785</v>
      </c>
      <c r="S135">
        <f t="shared" si="13"/>
        <v>21.097127777777786</v>
      </c>
      <c r="T135">
        <f t="shared" si="13"/>
        <v>21.022922777777787</v>
      </c>
      <c r="U135">
        <f t="shared" si="19"/>
        <v>20.948717777777787</v>
      </c>
      <c r="V135">
        <f t="shared" si="19"/>
        <v>20.874512777777785</v>
      </c>
      <c r="W135">
        <f t="shared" si="19"/>
        <v>20.800307777777785</v>
      </c>
      <c r="X135">
        <f t="shared" si="19"/>
        <v>20.726102777777786</v>
      </c>
      <c r="Y135">
        <f t="shared" si="19"/>
        <v>20.651897777777783</v>
      </c>
      <c r="Z135">
        <f t="shared" si="19"/>
        <v>20.577692777777784</v>
      </c>
      <c r="AA135">
        <f t="shared" si="19"/>
        <v>20.503487777777785</v>
      </c>
      <c r="AB135">
        <f t="shared" si="19"/>
        <v>20.429282777777786</v>
      </c>
      <c r="AC135">
        <f t="shared" si="19"/>
        <v>20.355077777777787</v>
      </c>
      <c r="AD135">
        <f t="shared" si="14"/>
        <v>19.019387777777787</v>
      </c>
    </row>
    <row r="136" spans="2:30" x14ac:dyDescent="0.2">
      <c r="B136" s="7">
        <v>44705</v>
      </c>
      <c r="C136" s="8">
        <v>17.940277777777776</v>
      </c>
      <c r="D136">
        <f t="shared" si="18"/>
        <v>21.216452777777775</v>
      </c>
      <c r="E136">
        <f t="shared" si="13"/>
        <v>21.142247777777776</v>
      </c>
      <c r="F136">
        <f t="shared" si="13"/>
        <v>21.068042777777777</v>
      </c>
      <c r="G136">
        <f t="shared" si="13"/>
        <v>20.993837777777777</v>
      </c>
      <c r="H136">
        <f t="shared" si="13"/>
        <v>20.919632777777778</v>
      </c>
      <c r="I136">
        <f t="shared" si="13"/>
        <v>20.845427777777775</v>
      </c>
      <c r="J136">
        <f t="shared" si="13"/>
        <v>20.771222777777776</v>
      </c>
      <c r="K136">
        <f t="shared" si="13"/>
        <v>20.697017777777777</v>
      </c>
      <c r="L136">
        <f t="shared" si="13"/>
        <v>20.622812777777778</v>
      </c>
      <c r="M136">
        <f t="shared" si="13"/>
        <v>20.548607777777775</v>
      </c>
      <c r="N136">
        <f t="shared" si="13"/>
        <v>20.474402777777776</v>
      </c>
      <c r="O136">
        <f t="shared" si="13"/>
        <v>20.400197777777777</v>
      </c>
      <c r="P136">
        <f t="shared" si="13"/>
        <v>20.325992777777778</v>
      </c>
      <c r="Q136">
        <f t="shared" si="13"/>
        <v>20.251787777777778</v>
      </c>
      <c r="R136">
        <f t="shared" si="13"/>
        <v>20.177582777777776</v>
      </c>
      <c r="S136">
        <f t="shared" si="13"/>
        <v>20.103377777777776</v>
      </c>
      <c r="T136">
        <f t="shared" si="13"/>
        <v>20.029172777777777</v>
      </c>
      <c r="U136">
        <f t="shared" si="19"/>
        <v>19.954967777777775</v>
      </c>
      <c r="V136">
        <f t="shared" si="19"/>
        <v>19.880762777777775</v>
      </c>
      <c r="W136">
        <f t="shared" si="19"/>
        <v>19.806557777777776</v>
      </c>
      <c r="X136">
        <f t="shared" si="19"/>
        <v>19.732352777777777</v>
      </c>
      <c r="Y136">
        <f t="shared" si="19"/>
        <v>19.658147777777778</v>
      </c>
      <c r="Z136">
        <f t="shared" si="19"/>
        <v>19.583942777777775</v>
      </c>
      <c r="AA136">
        <f t="shared" si="19"/>
        <v>19.509737777777776</v>
      </c>
      <c r="AB136">
        <f t="shared" si="19"/>
        <v>19.435532777777777</v>
      </c>
      <c r="AC136">
        <f t="shared" si="19"/>
        <v>19.361327777777774</v>
      </c>
      <c r="AD136">
        <f t="shared" si="14"/>
        <v>18.025637777777778</v>
      </c>
    </row>
    <row r="137" spans="2:30" x14ac:dyDescent="0.2">
      <c r="B137" s="7">
        <v>44706</v>
      </c>
      <c r="C137" s="8">
        <v>17.066666666666663</v>
      </c>
      <c r="D137">
        <f t="shared" si="18"/>
        <v>20.342841666666665</v>
      </c>
      <c r="E137">
        <f t="shared" si="13"/>
        <v>20.268636666666662</v>
      </c>
      <c r="F137">
        <f t="shared" si="13"/>
        <v>20.194431666666663</v>
      </c>
      <c r="G137">
        <f t="shared" si="13"/>
        <v>20.120226666666664</v>
      </c>
      <c r="H137">
        <f t="shared" si="13"/>
        <v>20.046021666666665</v>
      </c>
      <c r="I137">
        <f t="shared" si="13"/>
        <v>19.971816666666662</v>
      </c>
      <c r="J137">
        <f t="shared" si="13"/>
        <v>19.897611666666663</v>
      </c>
      <c r="K137">
        <f t="shared" si="13"/>
        <v>19.823406666666664</v>
      </c>
      <c r="L137">
        <f t="shared" si="13"/>
        <v>19.749201666666664</v>
      </c>
      <c r="M137">
        <f t="shared" si="13"/>
        <v>19.674996666666662</v>
      </c>
      <c r="N137">
        <f t="shared" si="13"/>
        <v>19.600791666666662</v>
      </c>
      <c r="O137">
        <f t="shared" si="13"/>
        <v>19.526586666666663</v>
      </c>
      <c r="P137">
        <f t="shared" si="13"/>
        <v>19.452381666666664</v>
      </c>
      <c r="Q137">
        <f t="shared" si="13"/>
        <v>19.378176666666661</v>
      </c>
      <c r="R137">
        <f t="shared" si="13"/>
        <v>19.303971666666662</v>
      </c>
      <c r="S137">
        <f t="shared" si="13"/>
        <v>19.229766666666663</v>
      </c>
      <c r="T137">
        <f t="shared" si="13"/>
        <v>19.155561666666664</v>
      </c>
      <c r="U137">
        <f t="shared" si="19"/>
        <v>19.081356666666665</v>
      </c>
      <c r="V137">
        <f t="shared" si="19"/>
        <v>19.007151666666662</v>
      </c>
      <c r="W137">
        <f t="shared" si="19"/>
        <v>18.932946666666663</v>
      </c>
      <c r="X137">
        <f t="shared" si="19"/>
        <v>18.858741666666663</v>
      </c>
      <c r="Y137">
        <f t="shared" si="19"/>
        <v>18.784536666666661</v>
      </c>
      <c r="Z137">
        <f t="shared" si="19"/>
        <v>18.710331666666661</v>
      </c>
      <c r="AA137">
        <f t="shared" si="19"/>
        <v>18.636126666666662</v>
      </c>
      <c r="AB137">
        <f t="shared" si="19"/>
        <v>18.561921666666663</v>
      </c>
      <c r="AC137">
        <f t="shared" si="19"/>
        <v>18.487716666666664</v>
      </c>
      <c r="AD137">
        <f t="shared" si="14"/>
        <v>17.152026666666664</v>
      </c>
    </row>
    <row r="138" spans="2:30" x14ac:dyDescent="0.2">
      <c r="B138" s="7">
        <v>44707</v>
      </c>
      <c r="C138" s="8">
        <v>17.64930555555555</v>
      </c>
      <c r="D138">
        <f t="shared" si="18"/>
        <v>20.925480555555552</v>
      </c>
      <c r="E138">
        <f t="shared" si="13"/>
        <v>20.851275555555549</v>
      </c>
      <c r="F138">
        <f t="shared" si="13"/>
        <v>20.77707055555555</v>
      </c>
      <c r="G138">
        <f t="shared" si="13"/>
        <v>20.702865555555551</v>
      </c>
      <c r="H138">
        <f t="shared" si="13"/>
        <v>20.628660555555552</v>
      </c>
      <c r="I138">
        <f t="shared" si="13"/>
        <v>20.554455555555549</v>
      </c>
      <c r="J138">
        <f t="shared" si="13"/>
        <v>20.48025055555555</v>
      </c>
      <c r="K138">
        <f t="shared" si="13"/>
        <v>20.406045555555551</v>
      </c>
      <c r="L138">
        <f t="shared" si="13"/>
        <v>20.331840555555551</v>
      </c>
      <c r="M138">
        <f t="shared" si="13"/>
        <v>20.257635555555549</v>
      </c>
      <c r="N138">
        <f t="shared" si="13"/>
        <v>20.18343055555555</v>
      </c>
      <c r="O138">
        <f t="shared" si="13"/>
        <v>20.10922555555555</v>
      </c>
      <c r="P138">
        <f t="shared" si="13"/>
        <v>20.035020555555551</v>
      </c>
      <c r="Q138">
        <f t="shared" si="13"/>
        <v>19.960815555555548</v>
      </c>
      <c r="R138">
        <f t="shared" si="13"/>
        <v>19.886610555555549</v>
      </c>
      <c r="S138">
        <f t="shared" si="13"/>
        <v>19.81240555555555</v>
      </c>
      <c r="T138">
        <f t="shared" si="13"/>
        <v>19.738200555555551</v>
      </c>
      <c r="U138">
        <f t="shared" si="19"/>
        <v>19.663995555555552</v>
      </c>
      <c r="V138">
        <f t="shared" si="19"/>
        <v>19.589790555555549</v>
      </c>
      <c r="W138">
        <f t="shared" si="19"/>
        <v>19.51558555555555</v>
      </c>
      <c r="X138">
        <f t="shared" si="19"/>
        <v>19.441380555555551</v>
      </c>
      <c r="Y138">
        <f t="shared" si="19"/>
        <v>19.367175555555548</v>
      </c>
      <c r="Z138">
        <f t="shared" si="19"/>
        <v>19.292970555555549</v>
      </c>
      <c r="AA138">
        <f t="shared" si="19"/>
        <v>19.218765555555549</v>
      </c>
      <c r="AB138">
        <f t="shared" si="19"/>
        <v>19.14456055555555</v>
      </c>
      <c r="AC138">
        <f t="shared" si="19"/>
        <v>19.070355555555551</v>
      </c>
      <c r="AD138">
        <f t="shared" si="14"/>
        <v>17.734665555555551</v>
      </c>
    </row>
    <row r="139" spans="2:30" x14ac:dyDescent="0.2">
      <c r="B139" s="7">
        <v>44708</v>
      </c>
      <c r="C139" s="8">
        <v>17.414583333333326</v>
      </c>
      <c r="D139">
        <f t="shared" si="18"/>
        <v>20.690758333333328</v>
      </c>
      <c r="E139">
        <f t="shared" si="13"/>
        <v>20.616553333333325</v>
      </c>
      <c r="F139">
        <f t="shared" si="13"/>
        <v>20.542348333333326</v>
      </c>
      <c r="G139">
        <f t="shared" si="13"/>
        <v>20.468143333333327</v>
      </c>
      <c r="H139">
        <f t="shared" ref="G139:T157" si="20">(-1.4841*H$3+3.6472)+$C139</f>
        <v>20.393938333333328</v>
      </c>
      <c r="I139">
        <f t="shared" si="20"/>
        <v>20.319733333333325</v>
      </c>
      <c r="J139">
        <f t="shared" si="20"/>
        <v>20.245528333333326</v>
      </c>
      <c r="K139">
        <f t="shared" si="20"/>
        <v>20.171323333333326</v>
      </c>
      <c r="L139">
        <f t="shared" si="20"/>
        <v>20.097118333333327</v>
      </c>
      <c r="M139">
        <f t="shared" si="20"/>
        <v>20.022913333333324</v>
      </c>
      <c r="N139">
        <f t="shared" si="20"/>
        <v>19.948708333333325</v>
      </c>
      <c r="O139">
        <f t="shared" si="20"/>
        <v>19.874503333333326</v>
      </c>
      <c r="P139">
        <f t="shared" si="20"/>
        <v>19.800298333333327</v>
      </c>
      <c r="Q139">
        <f t="shared" si="20"/>
        <v>19.726093333333324</v>
      </c>
      <c r="R139">
        <f t="shared" si="20"/>
        <v>19.651888333333325</v>
      </c>
      <c r="S139">
        <f t="shared" si="20"/>
        <v>19.577683333333326</v>
      </c>
      <c r="T139">
        <f t="shared" si="20"/>
        <v>19.503478333333327</v>
      </c>
      <c r="U139">
        <f t="shared" si="19"/>
        <v>19.429273333333327</v>
      </c>
      <c r="V139">
        <f t="shared" si="19"/>
        <v>19.355068333333325</v>
      </c>
      <c r="W139">
        <f t="shared" si="19"/>
        <v>19.280863333333325</v>
      </c>
      <c r="X139">
        <f t="shared" si="19"/>
        <v>19.206658333333326</v>
      </c>
      <c r="Y139">
        <f t="shared" si="19"/>
        <v>19.132453333333324</v>
      </c>
      <c r="Z139">
        <f t="shared" si="19"/>
        <v>19.058248333333324</v>
      </c>
      <c r="AA139">
        <f t="shared" si="19"/>
        <v>18.984043333333325</v>
      </c>
      <c r="AB139">
        <f t="shared" si="19"/>
        <v>18.909838333333326</v>
      </c>
      <c r="AC139">
        <f t="shared" si="19"/>
        <v>18.835633333333327</v>
      </c>
      <c r="AD139">
        <f t="shared" si="14"/>
        <v>17.499943333333327</v>
      </c>
    </row>
    <row r="140" spans="2:30" x14ac:dyDescent="0.2">
      <c r="B140" s="7">
        <v>44709</v>
      </c>
      <c r="C140" s="8">
        <v>16.169444444444437</v>
      </c>
      <c r="D140">
        <f t="shared" si="18"/>
        <v>19.445619444444439</v>
      </c>
      <c r="E140">
        <f t="shared" si="13"/>
        <v>19.371414444444436</v>
      </c>
      <c r="F140">
        <f t="shared" si="13"/>
        <v>19.297209444444437</v>
      </c>
      <c r="G140">
        <f t="shared" si="20"/>
        <v>19.223004444444438</v>
      </c>
      <c r="H140">
        <f t="shared" si="20"/>
        <v>19.148799444444439</v>
      </c>
      <c r="I140">
        <f t="shared" si="20"/>
        <v>19.074594444444436</v>
      </c>
      <c r="J140">
        <f t="shared" si="20"/>
        <v>19.000389444444437</v>
      </c>
      <c r="K140">
        <f t="shared" si="20"/>
        <v>18.926184444444438</v>
      </c>
      <c r="L140">
        <f t="shared" si="20"/>
        <v>18.851979444444439</v>
      </c>
      <c r="M140">
        <f t="shared" si="20"/>
        <v>18.777774444444436</v>
      </c>
      <c r="N140">
        <f t="shared" si="20"/>
        <v>18.703569444444437</v>
      </c>
      <c r="O140">
        <f t="shared" si="20"/>
        <v>18.629364444444438</v>
      </c>
      <c r="P140">
        <f t="shared" si="20"/>
        <v>18.555159444444438</v>
      </c>
      <c r="Q140">
        <f t="shared" si="20"/>
        <v>18.480954444444436</v>
      </c>
      <c r="R140">
        <f t="shared" si="20"/>
        <v>18.406749444444436</v>
      </c>
      <c r="S140">
        <f t="shared" si="20"/>
        <v>18.332544444444437</v>
      </c>
      <c r="T140">
        <f t="shared" si="20"/>
        <v>18.258339444444438</v>
      </c>
      <c r="U140">
        <f t="shared" si="19"/>
        <v>18.184134444444439</v>
      </c>
      <c r="V140">
        <f t="shared" si="19"/>
        <v>18.109929444444436</v>
      </c>
      <c r="W140">
        <f t="shared" si="19"/>
        <v>18.035724444444437</v>
      </c>
      <c r="X140">
        <f t="shared" si="19"/>
        <v>17.961519444444438</v>
      </c>
      <c r="Y140">
        <f t="shared" si="19"/>
        <v>17.887314444444435</v>
      </c>
      <c r="Z140">
        <f t="shared" si="19"/>
        <v>17.813109444444436</v>
      </c>
      <c r="AA140">
        <f t="shared" si="19"/>
        <v>17.738904444444437</v>
      </c>
      <c r="AB140">
        <f t="shared" si="19"/>
        <v>17.664699444444437</v>
      </c>
      <c r="AC140">
        <f t="shared" si="19"/>
        <v>17.590494444444438</v>
      </c>
      <c r="AD140">
        <f t="shared" si="14"/>
        <v>16.254804444444439</v>
      </c>
    </row>
    <row r="141" spans="2:30" x14ac:dyDescent="0.2">
      <c r="B141" s="7">
        <v>44710</v>
      </c>
      <c r="C141" s="8">
        <v>15.25138888888889</v>
      </c>
      <c r="D141">
        <f t="shared" si="18"/>
        <v>18.527563888888892</v>
      </c>
      <c r="E141">
        <f t="shared" si="13"/>
        <v>18.453358888888889</v>
      </c>
      <c r="F141">
        <f t="shared" si="13"/>
        <v>18.37915388888889</v>
      </c>
      <c r="G141">
        <f t="shared" si="20"/>
        <v>18.304948888888891</v>
      </c>
      <c r="H141">
        <f t="shared" si="20"/>
        <v>18.230743888888892</v>
      </c>
      <c r="I141">
        <f t="shared" si="20"/>
        <v>18.156538888888889</v>
      </c>
      <c r="J141">
        <f t="shared" si="20"/>
        <v>18.08233388888889</v>
      </c>
      <c r="K141">
        <f t="shared" si="20"/>
        <v>18.008128888888891</v>
      </c>
      <c r="L141">
        <f t="shared" si="20"/>
        <v>17.933923888888891</v>
      </c>
      <c r="M141">
        <f t="shared" si="20"/>
        <v>17.859718888888889</v>
      </c>
      <c r="N141">
        <f t="shared" si="20"/>
        <v>17.78551388888889</v>
      </c>
      <c r="O141">
        <f t="shared" si="20"/>
        <v>17.71130888888889</v>
      </c>
      <c r="P141">
        <f t="shared" si="20"/>
        <v>17.637103888888891</v>
      </c>
      <c r="Q141">
        <f t="shared" si="20"/>
        <v>17.562898888888888</v>
      </c>
      <c r="R141">
        <f t="shared" si="20"/>
        <v>17.488693888888889</v>
      </c>
      <c r="S141">
        <f t="shared" si="20"/>
        <v>17.41448888888889</v>
      </c>
      <c r="T141">
        <f t="shared" si="20"/>
        <v>17.340283888888891</v>
      </c>
      <c r="U141">
        <f t="shared" si="19"/>
        <v>17.266078888888892</v>
      </c>
      <c r="V141">
        <f t="shared" si="19"/>
        <v>17.191873888888889</v>
      </c>
      <c r="W141">
        <f t="shared" si="19"/>
        <v>17.11766888888889</v>
      </c>
      <c r="X141">
        <f t="shared" si="19"/>
        <v>17.043463888888891</v>
      </c>
      <c r="Y141">
        <f t="shared" si="19"/>
        <v>16.969258888888888</v>
      </c>
      <c r="Z141">
        <f t="shared" si="19"/>
        <v>16.895053888888889</v>
      </c>
      <c r="AA141">
        <f t="shared" si="19"/>
        <v>16.820848888888889</v>
      </c>
      <c r="AB141">
        <f t="shared" si="19"/>
        <v>16.74664388888889</v>
      </c>
      <c r="AC141">
        <f t="shared" si="19"/>
        <v>16.672438888888891</v>
      </c>
      <c r="AD141">
        <f t="shared" si="14"/>
        <v>15.336748888888891</v>
      </c>
    </row>
    <row r="142" spans="2:30" x14ac:dyDescent="0.2">
      <c r="B142" s="7">
        <v>44711</v>
      </c>
      <c r="C142" s="8">
        <v>15.938194444444431</v>
      </c>
      <c r="D142">
        <f t="shared" si="18"/>
        <v>19.214369444444429</v>
      </c>
      <c r="E142">
        <f t="shared" si="13"/>
        <v>19.14016444444443</v>
      </c>
      <c r="F142">
        <f t="shared" si="13"/>
        <v>19.065959444444431</v>
      </c>
      <c r="G142">
        <f t="shared" si="20"/>
        <v>18.991754444444432</v>
      </c>
      <c r="H142">
        <f t="shared" si="20"/>
        <v>18.917549444444433</v>
      </c>
      <c r="I142">
        <f t="shared" si="20"/>
        <v>18.84334444444443</v>
      </c>
      <c r="J142">
        <f t="shared" si="20"/>
        <v>18.769139444444431</v>
      </c>
      <c r="K142">
        <f t="shared" si="20"/>
        <v>18.694934444444431</v>
      </c>
      <c r="L142">
        <f t="shared" si="20"/>
        <v>18.620729444444432</v>
      </c>
      <c r="M142">
        <f t="shared" si="20"/>
        <v>18.546524444444429</v>
      </c>
      <c r="N142">
        <f t="shared" si="20"/>
        <v>18.47231944444443</v>
      </c>
      <c r="O142">
        <f t="shared" si="20"/>
        <v>18.398114444444431</v>
      </c>
      <c r="P142">
        <f t="shared" si="20"/>
        <v>18.323909444444432</v>
      </c>
      <c r="Q142">
        <f t="shared" si="20"/>
        <v>18.249704444444433</v>
      </c>
      <c r="R142">
        <f t="shared" si="20"/>
        <v>18.17549944444443</v>
      </c>
      <c r="S142">
        <f t="shared" si="20"/>
        <v>18.101294444444431</v>
      </c>
      <c r="T142">
        <f t="shared" si="20"/>
        <v>18.027089444444432</v>
      </c>
      <c r="U142">
        <f t="shared" si="19"/>
        <v>17.952884444444429</v>
      </c>
      <c r="V142">
        <f t="shared" si="19"/>
        <v>17.87867944444443</v>
      </c>
      <c r="W142">
        <f t="shared" si="19"/>
        <v>17.804474444444431</v>
      </c>
      <c r="X142">
        <f t="shared" si="19"/>
        <v>17.730269444444431</v>
      </c>
      <c r="Y142">
        <f t="shared" si="19"/>
        <v>17.656064444444432</v>
      </c>
      <c r="Z142">
        <f t="shared" si="19"/>
        <v>17.581859444444429</v>
      </c>
      <c r="AA142">
        <f t="shared" si="19"/>
        <v>17.50765444444443</v>
      </c>
      <c r="AB142">
        <f t="shared" si="19"/>
        <v>17.433449444444431</v>
      </c>
      <c r="AC142">
        <f t="shared" si="19"/>
        <v>17.359244444444428</v>
      </c>
      <c r="AD142">
        <f t="shared" si="14"/>
        <v>16.023554444444432</v>
      </c>
    </row>
    <row r="143" spans="2:30" x14ac:dyDescent="0.2">
      <c r="B143" s="7">
        <v>44712</v>
      </c>
      <c r="C143" s="8">
        <v>17.247916666666665</v>
      </c>
      <c r="D143">
        <f t="shared" si="18"/>
        <v>20.524091666666664</v>
      </c>
      <c r="E143">
        <f t="shared" si="13"/>
        <v>20.449886666666664</v>
      </c>
      <c r="F143">
        <f t="shared" si="13"/>
        <v>20.375681666666665</v>
      </c>
      <c r="G143">
        <f t="shared" si="20"/>
        <v>20.301476666666666</v>
      </c>
      <c r="H143">
        <f t="shared" si="20"/>
        <v>20.227271666666667</v>
      </c>
      <c r="I143">
        <f t="shared" si="20"/>
        <v>20.153066666666664</v>
      </c>
      <c r="J143">
        <f t="shared" si="20"/>
        <v>20.078861666666665</v>
      </c>
      <c r="K143">
        <f t="shared" si="20"/>
        <v>20.004656666666666</v>
      </c>
      <c r="L143">
        <f t="shared" si="20"/>
        <v>19.930451666666666</v>
      </c>
      <c r="M143">
        <f t="shared" si="20"/>
        <v>19.856246666666664</v>
      </c>
      <c r="N143">
        <f t="shared" si="20"/>
        <v>19.782041666666665</v>
      </c>
      <c r="O143">
        <f t="shared" si="20"/>
        <v>19.707836666666665</v>
      </c>
      <c r="P143">
        <f t="shared" si="20"/>
        <v>19.633631666666666</v>
      </c>
      <c r="Q143">
        <f t="shared" si="20"/>
        <v>19.559426666666667</v>
      </c>
      <c r="R143">
        <f t="shared" si="20"/>
        <v>19.485221666666664</v>
      </c>
      <c r="S143">
        <f t="shared" si="20"/>
        <v>19.411016666666665</v>
      </c>
      <c r="T143">
        <f t="shared" si="20"/>
        <v>19.336811666666666</v>
      </c>
      <c r="U143">
        <f t="shared" si="19"/>
        <v>19.262606666666663</v>
      </c>
      <c r="V143">
        <f t="shared" si="19"/>
        <v>19.188401666666664</v>
      </c>
      <c r="W143">
        <f t="shared" si="19"/>
        <v>19.114196666666665</v>
      </c>
      <c r="X143">
        <f t="shared" si="19"/>
        <v>19.039991666666666</v>
      </c>
      <c r="Y143">
        <f t="shared" si="19"/>
        <v>18.965786666666666</v>
      </c>
      <c r="Z143">
        <f t="shared" si="19"/>
        <v>18.891581666666664</v>
      </c>
      <c r="AA143">
        <f t="shared" si="19"/>
        <v>18.817376666666664</v>
      </c>
      <c r="AB143">
        <f t="shared" si="19"/>
        <v>18.743171666666665</v>
      </c>
      <c r="AC143">
        <f t="shared" si="19"/>
        <v>18.668966666666662</v>
      </c>
      <c r="AD143">
        <f t="shared" si="14"/>
        <v>17.333276666666666</v>
      </c>
    </row>
    <row r="144" spans="2:30" x14ac:dyDescent="0.2">
      <c r="B144" s="7">
        <v>44713</v>
      </c>
      <c r="C144" s="8">
        <v>17.290972222222219</v>
      </c>
      <c r="D144">
        <f t="shared" si="18"/>
        <v>20.567147222222218</v>
      </c>
      <c r="E144">
        <f t="shared" si="13"/>
        <v>20.492942222222219</v>
      </c>
      <c r="F144">
        <f t="shared" si="13"/>
        <v>20.418737222222219</v>
      </c>
      <c r="G144">
        <f t="shared" si="20"/>
        <v>20.34453222222222</v>
      </c>
      <c r="H144">
        <f t="shared" si="20"/>
        <v>20.270327222222221</v>
      </c>
      <c r="I144">
        <f t="shared" si="20"/>
        <v>20.196122222222218</v>
      </c>
      <c r="J144">
        <f t="shared" si="20"/>
        <v>20.121917222222219</v>
      </c>
      <c r="K144">
        <f t="shared" si="20"/>
        <v>20.04771222222222</v>
      </c>
      <c r="L144">
        <f t="shared" si="20"/>
        <v>19.973507222222221</v>
      </c>
      <c r="M144">
        <f t="shared" si="20"/>
        <v>19.899302222222218</v>
      </c>
      <c r="N144">
        <f t="shared" si="20"/>
        <v>19.825097222222219</v>
      </c>
      <c r="O144">
        <f t="shared" si="20"/>
        <v>19.75089222222222</v>
      </c>
      <c r="P144">
        <f t="shared" si="20"/>
        <v>19.67668722222222</v>
      </c>
      <c r="Q144">
        <f t="shared" si="20"/>
        <v>19.602482222222221</v>
      </c>
      <c r="R144">
        <f t="shared" si="20"/>
        <v>19.528277222222219</v>
      </c>
      <c r="S144">
        <f t="shared" si="20"/>
        <v>19.454072222222219</v>
      </c>
      <c r="T144">
        <f t="shared" si="20"/>
        <v>19.37986722222222</v>
      </c>
      <c r="U144">
        <f t="shared" si="19"/>
        <v>19.305662222222217</v>
      </c>
      <c r="V144">
        <f t="shared" si="19"/>
        <v>19.231457222222218</v>
      </c>
      <c r="W144">
        <f t="shared" si="19"/>
        <v>19.157252222222219</v>
      </c>
      <c r="X144">
        <f t="shared" si="19"/>
        <v>19.08304722222222</v>
      </c>
      <c r="Y144">
        <f t="shared" si="19"/>
        <v>19.008842222222221</v>
      </c>
      <c r="Z144">
        <f t="shared" si="19"/>
        <v>18.934637222222218</v>
      </c>
      <c r="AA144">
        <f t="shared" si="19"/>
        <v>18.860432222222219</v>
      </c>
      <c r="AB144">
        <f t="shared" si="19"/>
        <v>18.78622722222222</v>
      </c>
      <c r="AC144">
        <f t="shared" si="19"/>
        <v>18.712022222222217</v>
      </c>
      <c r="AD144">
        <f t="shared" si="14"/>
        <v>17.376332222222221</v>
      </c>
    </row>
    <row r="145" spans="2:30" x14ac:dyDescent="0.2">
      <c r="B145" s="7">
        <v>44714</v>
      </c>
      <c r="C145" s="8">
        <v>18.629166666666677</v>
      </c>
      <c r="D145">
        <f t="shared" si="18"/>
        <v>21.905341666666679</v>
      </c>
      <c r="E145">
        <f t="shared" si="13"/>
        <v>21.831136666666676</v>
      </c>
      <c r="F145">
        <f t="shared" si="13"/>
        <v>21.756931666666677</v>
      </c>
      <c r="G145">
        <f t="shared" si="20"/>
        <v>21.682726666666678</v>
      </c>
      <c r="H145">
        <f t="shared" si="20"/>
        <v>21.608521666666679</v>
      </c>
      <c r="I145">
        <f t="shared" si="20"/>
        <v>21.534316666666676</v>
      </c>
      <c r="J145">
        <f t="shared" si="20"/>
        <v>21.460111666666677</v>
      </c>
      <c r="K145">
        <f t="shared" si="20"/>
        <v>21.385906666666678</v>
      </c>
      <c r="L145">
        <f t="shared" si="20"/>
        <v>21.311701666666679</v>
      </c>
      <c r="M145">
        <f t="shared" si="20"/>
        <v>21.237496666666676</v>
      </c>
      <c r="N145">
        <f t="shared" si="20"/>
        <v>21.163291666666677</v>
      </c>
      <c r="O145">
        <f t="shared" si="20"/>
        <v>21.089086666666677</v>
      </c>
      <c r="P145">
        <f t="shared" si="20"/>
        <v>21.014881666666678</v>
      </c>
      <c r="Q145">
        <f t="shared" si="20"/>
        <v>20.940676666666675</v>
      </c>
      <c r="R145">
        <f t="shared" si="20"/>
        <v>20.866471666666676</v>
      </c>
      <c r="S145">
        <f t="shared" si="20"/>
        <v>20.792266666666677</v>
      </c>
      <c r="T145">
        <f t="shared" si="20"/>
        <v>20.718061666666678</v>
      </c>
      <c r="U145">
        <f t="shared" si="19"/>
        <v>20.643856666666679</v>
      </c>
      <c r="V145">
        <f t="shared" si="19"/>
        <v>20.569651666666676</v>
      </c>
      <c r="W145">
        <f t="shared" si="19"/>
        <v>20.495446666666677</v>
      </c>
      <c r="X145">
        <f t="shared" si="19"/>
        <v>20.421241666666678</v>
      </c>
      <c r="Y145">
        <f t="shared" si="19"/>
        <v>20.347036666666675</v>
      </c>
      <c r="Z145">
        <f t="shared" si="19"/>
        <v>20.272831666666676</v>
      </c>
      <c r="AA145">
        <f t="shared" si="19"/>
        <v>20.198626666666676</v>
      </c>
      <c r="AB145">
        <f t="shared" si="19"/>
        <v>20.124421666666677</v>
      </c>
      <c r="AC145">
        <f t="shared" si="19"/>
        <v>20.050216666666678</v>
      </c>
      <c r="AD145">
        <f t="shared" si="14"/>
        <v>18.714526666666679</v>
      </c>
    </row>
    <row r="146" spans="2:30" x14ac:dyDescent="0.2">
      <c r="B146" s="7">
        <v>44715</v>
      </c>
      <c r="C146" s="8">
        <v>19.395833333333329</v>
      </c>
      <c r="D146">
        <f t="shared" si="18"/>
        <v>22.672008333333331</v>
      </c>
      <c r="E146">
        <f t="shared" si="13"/>
        <v>22.597803333333328</v>
      </c>
      <c r="F146">
        <f t="shared" si="13"/>
        <v>22.523598333333329</v>
      </c>
      <c r="G146">
        <f t="shared" si="20"/>
        <v>22.44939333333333</v>
      </c>
      <c r="H146">
        <f t="shared" si="20"/>
        <v>22.37518833333333</v>
      </c>
      <c r="I146">
        <f t="shared" si="20"/>
        <v>22.300983333333328</v>
      </c>
      <c r="J146">
        <f t="shared" si="20"/>
        <v>22.226778333333328</v>
      </c>
      <c r="K146">
        <f t="shared" si="20"/>
        <v>22.152573333333329</v>
      </c>
      <c r="L146">
        <f t="shared" si="20"/>
        <v>22.07836833333333</v>
      </c>
      <c r="M146">
        <f t="shared" si="20"/>
        <v>22.004163333333327</v>
      </c>
      <c r="N146">
        <f t="shared" si="20"/>
        <v>21.929958333333328</v>
      </c>
      <c r="O146">
        <f t="shared" si="20"/>
        <v>21.855753333333329</v>
      </c>
      <c r="P146">
        <f t="shared" si="20"/>
        <v>21.78154833333333</v>
      </c>
      <c r="Q146">
        <f t="shared" si="20"/>
        <v>21.707343333333327</v>
      </c>
      <c r="R146">
        <f t="shared" si="20"/>
        <v>21.633138333333328</v>
      </c>
      <c r="S146">
        <f t="shared" si="20"/>
        <v>21.558933333333329</v>
      </c>
      <c r="T146">
        <f t="shared" si="20"/>
        <v>21.484728333333329</v>
      </c>
      <c r="U146">
        <f t="shared" si="19"/>
        <v>21.41052333333333</v>
      </c>
      <c r="V146">
        <f t="shared" si="19"/>
        <v>21.336318333333328</v>
      </c>
      <c r="W146">
        <f t="shared" si="19"/>
        <v>21.262113333333328</v>
      </c>
      <c r="X146">
        <f t="shared" si="19"/>
        <v>21.187908333333329</v>
      </c>
      <c r="Y146">
        <f t="shared" si="19"/>
        <v>21.113703333333326</v>
      </c>
      <c r="Z146">
        <f t="shared" si="19"/>
        <v>21.039498333333327</v>
      </c>
      <c r="AA146">
        <f t="shared" si="19"/>
        <v>20.965293333333328</v>
      </c>
      <c r="AB146">
        <f t="shared" si="19"/>
        <v>20.891088333333329</v>
      </c>
      <c r="AC146">
        <f t="shared" si="19"/>
        <v>20.81688333333333</v>
      </c>
      <c r="AD146">
        <f t="shared" si="14"/>
        <v>19.48119333333333</v>
      </c>
    </row>
    <row r="147" spans="2:30" x14ac:dyDescent="0.2">
      <c r="B147" s="7">
        <v>44716</v>
      </c>
      <c r="C147" s="8">
        <v>17.332638888888891</v>
      </c>
      <c r="D147">
        <f t="shared" si="18"/>
        <v>20.608813888888889</v>
      </c>
      <c r="E147">
        <f t="shared" si="13"/>
        <v>20.53460888888889</v>
      </c>
      <c r="F147">
        <f t="shared" si="13"/>
        <v>20.460403888888891</v>
      </c>
      <c r="G147">
        <f t="shared" si="20"/>
        <v>20.386198888888892</v>
      </c>
      <c r="H147">
        <f t="shared" si="20"/>
        <v>20.311993888888892</v>
      </c>
      <c r="I147">
        <f t="shared" si="20"/>
        <v>20.23778888888889</v>
      </c>
      <c r="J147">
        <f t="shared" si="20"/>
        <v>20.163583888888891</v>
      </c>
      <c r="K147">
        <f t="shared" si="20"/>
        <v>20.089378888888891</v>
      </c>
      <c r="L147">
        <f t="shared" si="20"/>
        <v>20.015173888888892</v>
      </c>
      <c r="M147">
        <f t="shared" si="20"/>
        <v>19.940968888888889</v>
      </c>
      <c r="N147">
        <f t="shared" si="20"/>
        <v>19.86676388888889</v>
      </c>
      <c r="O147">
        <f t="shared" si="20"/>
        <v>19.792558888888891</v>
      </c>
      <c r="P147">
        <f t="shared" si="20"/>
        <v>19.718353888888892</v>
      </c>
      <c r="Q147">
        <f t="shared" si="20"/>
        <v>19.644148888888893</v>
      </c>
      <c r="R147">
        <f t="shared" si="20"/>
        <v>19.56994388888889</v>
      </c>
      <c r="S147">
        <f t="shared" si="20"/>
        <v>19.495738888888891</v>
      </c>
      <c r="T147">
        <f t="shared" si="20"/>
        <v>19.421533888888892</v>
      </c>
      <c r="U147">
        <f t="shared" si="19"/>
        <v>19.347328888888889</v>
      </c>
      <c r="V147">
        <f t="shared" si="19"/>
        <v>19.27312388888889</v>
      </c>
      <c r="W147">
        <f t="shared" si="19"/>
        <v>19.19891888888889</v>
      </c>
      <c r="X147">
        <f t="shared" si="19"/>
        <v>19.124713888888891</v>
      </c>
      <c r="Y147">
        <f t="shared" si="19"/>
        <v>19.050508888888892</v>
      </c>
      <c r="Z147">
        <f t="shared" si="19"/>
        <v>18.976303888888889</v>
      </c>
      <c r="AA147">
        <f t="shared" si="19"/>
        <v>18.90209888888889</v>
      </c>
      <c r="AB147">
        <f t="shared" si="19"/>
        <v>18.827893888888891</v>
      </c>
      <c r="AC147">
        <f t="shared" si="19"/>
        <v>18.753688888888888</v>
      </c>
      <c r="AD147">
        <f t="shared" si="14"/>
        <v>17.417998888888892</v>
      </c>
    </row>
    <row r="148" spans="2:30" x14ac:dyDescent="0.2">
      <c r="B148" s="7">
        <v>44717</v>
      </c>
      <c r="C148" s="8">
        <v>16.644444444444442</v>
      </c>
      <c r="D148">
        <f t="shared" si="18"/>
        <v>19.920619444444441</v>
      </c>
      <c r="E148">
        <f t="shared" si="13"/>
        <v>19.846414444444441</v>
      </c>
      <c r="F148">
        <f t="shared" si="13"/>
        <v>19.772209444444442</v>
      </c>
      <c r="G148">
        <f t="shared" si="20"/>
        <v>19.698004444444443</v>
      </c>
      <c r="H148">
        <f t="shared" si="20"/>
        <v>19.623799444444444</v>
      </c>
      <c r="I148">
        <f t="shared" si="20"/>
        <v>19.549594444444441</v>
      </c>
      <c r="J148">
        <f t="shared" si="20"/>
        <v>19.475389444444442</v>
      </c>
      <c r="K148">
        <f t="shared" si="20"/>
        <v>19.401184444444443</v>
      </c>
      <c r="L148">
        <f t="shared" si="20"/>
        <v>19.326979444444444</v>
      </c>
      <c r="M148">
        <f t="shared" si="20"/>
        <v>19.252774444444441</v>
      </c>
      <c r="N148">
        <f t="shared" si="20"/>
        <v>19.178569444444442</v>
      </c>
      <c r="O148">
        <f t="shared" si="20"/>
        <v>19.104364444444442</v>
      </c>
      <c r="P148">
        <f t="shared" si="20"/>
        <v>19.030159444444443</v>
      </c>
      <c r="Q148">
        <f t="shared" si="20"/>
        <v>18.955954444444444</v>
      </c>
      <c r="R148">
        <f t="shared" si="20"/>
        <v>18.881749444444441</v>
      </c>
      <c r="S148">
        <f t="shared" si="20"/>
        <v>18.807544444444442</v>
      </c>
      <c r="T148">
        <f t="shared" si="20"/>
        <v>18.733339444444443</v>
      </c>
      <c r="U148">
        <f t="shared" si="19"/>
        <v>18.65913444444444</v>
      </c>
      <c r="V148">
        <f t="shared" si="19"/>
        <v>18.584929444444441</v>
      </c>
      <c r="W148">
        <f t="shared" si="19"/>
        <v>18.510724444444442</v>
      </c>
      <c r="X148">
        <f t="shared" si="19"/>
        <v>18.436519444444443</v>
      </c>
      <c r="Y148">
        <f t="shared" si="19"/>
        <v>18.362314444444443</v>
      </c>
      <c r="Z148">
        <f t="shared" si="19"/>
        <v>18.288109444444441</v>
      </c>
      <c r="AA148">
        <f t="shared" si="19"/>
        <v>18.213904444444442</v>
      </c>
      <c r="AB148">
        <f t="shared" si="19"/>
        <v>18.139699444444442</v>
      </c>
      <c r="AC148">
        <f t="shared" si="19"/>
        <v>18.06549444444444</v>
      </c>
      <c r="AD148">
        <f t="shared" si="14"/>
        <v>16.729804444444444</v>
      </c>
    </row>
    <row r="149" spans="2:30" x14ac:dyDescent="0.2">
      <c r="B149" s="7">
        <v>44718</v>
      </c>
      <c r="C149" s="8">
        <v>16.664583333333333</v>
      </c>
      <c r="D149">
        <f t="shared" si="18"/>
        <v>19.940758333333335</v>
      </c>
      <c r="E149">
        <f t="shared" ref="E149:F212" si="21">(-1.4841*E$3+3.6472)+$C149</f>
        <v>19.866553333333332</v>
      </c>
      <c r="F149">
        <f t="shared" si="21"/>
        <v>19.792348333333333</v>
      </c>
      <c r="G149">
        <f t="shared" si="20"/>
        <v>19.718143333333334</v>
      </c>
      <c r="H149">
        <f t="shared" si="20"/>
        <v>19.643938333333335</v>
      </c>
      <c r="I149">
        <f t="shared" si="20"/>
        <v>19.569733333333332</v>
      </c>
      <c r="J149">
        <f t="shared" si="20"/>
        <v>19.495528333333333</v>
      </c>
      <c r="K149">
        <f t="shared" si="20"/>
        <v>19.421323333333333</v>
      </c>
      <c r="L149">
        <f t="shared" si="20"/>
        <v>19.347118333333334</v>
      </c>
      <c r="M149">
        <f t="shared" si="20"/>
        <v>19.272913333333332</v>
      </c>
      <c r="N149">
        <f t="shared" si="20"/>
        <v>19.198708333333332</v>
      </c>
      <c r="O149">
        <f t="shared" si="20"/>
        <v>19.124503333333333</v>
      </c>
      <c r="P149">
        <f t="shared" si="20"/>
        <v>19.050298333333334</v>
      </c>
      <c r="Q149">
        <f t="shared" si="20"/>
        <v>18.976093333333331</v>
      </c>
      <c r="R149">
        <f t="shared" si="20"/>
        <v>18.901888333333332</v>
      </c>
      <c r="S149">
        <f t="shared" si="20"/>
        <v>18.827683333333333</v>
      </c>
      <c r="T149">
        <f t="shared" si="20"/>
        <v>18.753478333333334</v>
      </c>
      <c r="U149">
        <f t="shared" si="19"/>
        <v>18.679273333333335</v>
      </c>
      <c r="V149">
        <f t="shared" si="19"/>
        <v>18.605068333333332</v>
      </c>
      <c r="W149">
        <f t="shared" si="19"/>
        <v>18.530863333333333</v>
      </c>
      <c r="X149">
        <f t="shared" si="19"/>
        <v>18.456658333333333</v>
      </c>
      <c r="Y149">
        <f t="shared" si="19"/>
        <v>18.382453333333331</v>
      </c>
      <c r="Z149">
        <f t="shared" si="19"/>
        <v>18.308248333333331</v>
      </c>
      <c r="AA149">
        <f t="shared" si="19"/>
        <v>18.234043333333332</v>
      </c>
      <c r="AB149">
        <f t="shared" si="19"/>
        <v>18.159838333333333</v>
      </c>
      <c r="AC149">
        <f t="shared" si="19"/>
        <v>18.085633333333334</v>
      </c>
      <c r="AD149">
        <f t="shared" ref="AD149:AD212" si="22">(-1.4841*AD$3+3.6472)+$C149</f>
        <v>16.749943333333334</v>
      </c>
    </row>
    <row r="150" spans="2:30" x14ac:dyDescent="0.2">
      <c r="B150" s="7">
        <v>44719</v>
      </c>
      <c r="C150" s="8">
        <v>18.020833333333332</v>
      </c>
      <c r="D150">
        <f t="shared" si="18"/>
        <v>21.297008333333331</v>
      </c>
      <c r="E150">
        <f t="shared" si="21"/>
        <v>21.222803333333331</v>
      </c>
      <c r="F150">
        <f t="shared" si="21"/>
        <v>21.148598333333332</v>
      </c>
      <c r="G150">
        <f t="shared" si="20"/>
        <v>21.074393333333333</v>
      </c>
      <c r="H150">
        <f t="shared" si="20"/>
        <v>21.000188333333334</v>
      </c>
      <c r="I150">
        <f t="shared" si="20"/>
        <v>20.925983333333331</v>
      </c>
      <c r="J150">
        <f t="shared" si="20"/>
        <v>20.851778333333332</v>
      </c>
      <c r="K150">
        <f t="shared" si="20"/>
        <v>20.777573333333333</v>
      </c>
      <c r="L150">
        <f t="shared" si="20"/>
        <v>20.703368333333334</v>
      </c>
      <c r="M150">
        <f t="shared" si="20"/>
        <v>20.629163333333331</v>
      </c>
      <c r="N150">
        <f t="shared" si="20"/>
        <v>20.554958333333332</v>
      </c>
      <c r="O150">
        <f t="shared" si="20"/>
        <v>20.480753333333332</v>
      </c>
      <c r="P150">
        <f t="shared" si="20"/>
        <v>20.406548333333333</v>
      </c>
      <c r="Q150">
        <f t="shared" si="20"/>
        <v>20.332343333333334</v>
      </c>
      <c r="R150">
        <f t="shared" si="20"/>
        <v>20.258138333333331</v>
      </c>
      <c r="S150">
        <f t="shared" si="20"/>
        <v>20.183933333333332</v>
      </c>
      <c r="T150">
        <f t="shared" si="20"/>
        <v>20.109728333333333</v>
      </c>
      <c r="U150">
        <f t="shared" si="19"/>
        <v>20.03552333333333</v>
      </c>
      <c r="V150">
        <f t="shared" si="19"/>
        <v>19.961318333333331</v>
      </c>
      <c r="W150">
        <f t="shared" si="19"/>
        <v>19.887113333333332</v>
      </c>
      <c r="X150">
        <f t="shared" si="19"/>
        <v>19.812908333333333</v>
      </c>
      <c r="Y150">
        <f t="shared" si="19"/>
        <v>19.738703333333333</v>
      </c>
      <c r="Z150">
        <f t="shared" si="19"/>
        <v>19.664498333333331</v>
      </c>
      <c r="AA150">
        <f t="shared" si="19"/>
        <v>19.590293333333332</v>
      </c>
      <c r="AB150">
        <f t="shared" si="19"/>
        <v>19.516088333333332</v>
      </c>
      <c r="AC150">
        <f t="shared" si="19"/>
        <v>19.44188333333333</v>
      </c>
      <c r="AD150">
        <f t="shared" si="22"/>
        <v>18.106193333333334</v>
      </c>
    </row>
    <row r="151" spans="2:30" x14ac:dyDescent="0.2">
      <c r="B151" s="7">
        <v>44720</v>
      </c>
      <c r="C151" s="8">
        <v>18.052777777777774</v>
      </c>
      <c r="D151">
        <f t="shared" si="18"/>
        <v>21.328952777777772</v>
      </c>
      <c r="E151">
        <f t="shared" si="21"/>
        <v>21.254747777777773</v>
      </c>
      <c r="F151">
        <f t="shared" si="21"/>
        <v>21.180542777777774</v>
      </c>
      <c r="G151">
        <f t="shared" si="20"/>
        <v>21.106337777777775</v>
      </c>
      <c r="H151">
        <f t="shared" si="20"/>
        <v>21.032132777777775</v>
      </c>
      <c r="I151">
        <f t="shared" si="20"/>
        <v>20.957927777777773</v>
      </c>
      <c r="J151">
        <f t="shared" si="20"/>
        <v>20.883722777777773</v>
      </c>
      <c r="K151">
        <f t="shared" si="20"/>
        <v>20.809517777777774</v>
      </c>
      <c r="L151">
        <f t="shared" si="20"/>
        <v>20.735312777777775</v>
      </c>
      <c r="M151">
        <f t="shared" si="20"/>
        <v>20.661107777777772</v>
      </c>
      <c r="N151">
        <f t="shared" si="20"/>
        <v>20.586902777777773</v>
      </c>
      <c r="O151">
        <f t="shared" si="20"/>
        <v>20.512697777777774</v>
      </c>
      <c r="P151">
        <f t="shared" si="20"/>
        <v>20.438492777777775</v>
      </c>
      <c r="Q151">
        <f t="shared" si="20"/>
        <v>20.364287777777776</v>
      </c>
      <c r="R151">
        <f t="shared" si="20"/>
        <v>20.290082777777773</v>
      </c>
      <c r="S151">
        <f t="shared" si="20"/>
        <v>20.215877777777774</v>
      </c>
      <c r="T151">
        <f t="shared" si="20"/>
        <v>20.141672777777774</v>
      </c>
      <c r="U151">
        <f t="shared" si="19"/>
        <v>20.067467777777772</v>
      </c>
      <c r="V151">
        <f t="shared" si="19"/>
        <v>19.993262777777772</v>
      </c>
      <c r="W151">
        <f t="shared" si="19"/>
        <v>19.919057777777773</v>
      </c>
      <c r="X151">
        <f t="shared" si="19"/>
        <v>19.844852777777774</v>
      </c>
      <c r="Y151">
        <f t="shared" si="19"/>
        <v>19.770647777777775</v>
      </c>
      <c r="Z151">
        <f t="shared" si="19"/>
        <v>19.696442777777772</v>
      </c>
      <c r="AA151">
        <f t="shared" si="19"/>
        <v>19.622237777777773</v>
      </c>
      <c r="AB151">
        <f t="shared" si="19"/>
        <v>19.548032777777774</v>
      </c>
      <c r="AC151">
        <f t="shared" si="19"/>
        <v>19.473827777777771</v>
      </c>
      <c r="AD151">
        <f t="shared" si="22"/>
        <v>18.138137777777775</v>
      </c>
    </row>
    <row r="152" spans="2:30" x14ac:dyDescent="0.2">
      <c r="B152" s="7">
        <v>44721</v>
      </c>
      <c r="C152" s="8">
        <v>19.797916666666659</v>
      </c>
      <c r="D152">
        <f t="shared" si="18"/>
        <v>23.074091666666661</v>
      </c>
      <c r="E152">
        <f t="shared" si="21"/>
        <v>22.999886666666658</v>
      </c>
      <c r="F152">
        <f t="shared" si="21"/>
        <v>22.925681666666659</v>
      </c>
      <c r="G152">
        <f t="shared" si="20"/>
        <v>22.85147666666666</v>
      </c>
      <c r="H152">
        <f t="shared" si="20"/>
        <v>22.77727166666666</v>
      </c>
      <c r="I152">
        <f t="shared" si="20"/>
        <v>22.703066666666658</v>
      </c>
      <c r="J152">
        <f t="shared" si="20"/>
        <v>22.628861666666658</v>
      </c>
      <c r="K152">
        <f t="shared" si="20"/>
        <v>22.554656666666659</v>
      </c>
      <c r="L152">
        <f t="shared" si="20"/>
        <v>22.48045166666666</v>
      </c>
      <c r="M152">
        <f t="shared" si="20"/>
        <v>22.406246666666657</v>
      </c>
      <c r="N152">
        <f t="shared" si="20"/>
        <v>22.332041666666658</v>
      </c>
      <c r="O152">
        <f t="shared" si="20"/>
        <v>22.257836666666659</v>
      </c>
      <c r="P152">
        <f t="shared" si="20"/>
        <v>22.18363166666666</v>
      </c>
      <c r="Q152">
        <f t="shared" si="20"/>
        <v>22.109426666666657</v>
      </c>
      <c r="R152">
        <f t="shared" si="20"/>
        <v>22.035221666666658</v>
      </c>
      <c r="S152">
        <f t="shared" si="20"/>
        <v>21.961016666666659</v>
      </c>
      <c r="T152">
        <f t="shared" si="20"/>
        <v>21.886811666666659</v>
      </c>
      <c r="U152">
        <f t="shared" si="19"/>
        <v>21.81260666666666</v>
      </c>
      <c r="V152">
        <f t="shared" si="19"/>
        <v>21.738401666666658</v>
      </c>
      <c r="W152">
        <f t="shared" si="19"/>
        <v>21.664196666666658</v>
      </c>
      <c r="X152">
        <f t="shared" si="19"/>
        <v>21.589991666666659</v>
      </c>
      <c r="Y152">
        <f t="shared" si="19"/>
        <v>21.515786666666656</v>
      </c>
      <c r="Z152">
        <f t="shared" si="19"/>
        <v>21.441581666666657</v>
      </c>
      <c r="AA152">
        <f t="shared" si="19"/>
        <v>21.367376666666658</v>
      </c>
      <c r="AB152">
        <f t="shared" si="19"/>
        <v>21.293171666666659</v>
      </c>
      <c r="AC152">
        <f t="shared" si="19"/>
        <v>21.21896666666666</v>
      </c>
      <c r="AD152">
        <f t="shared" si="22"/>
        <v>19.88327666666666</v>
      </c>
    </row>
    <row r="153" spans="2:30" x14ac:dyDescent="0.2">
      <c r="B153" s="7">
        <v>44722</v>
      </c>
      <c r="C153" s="8">
        <v>20.292361111111109</v>
      </c>
      <c r="D153">
        <f t="shared" si="18"/>
        <v>23.568536111111108</v>
      </c>
      <c r="E153">
        <f t="shared" si="21"/>
        <v>23.494331111111109</v>
      </c>
      <c r="F153">
        <f t="shared" si="21"/>
        <v>23.420126111111109</v>
      </c>
      <c r="G153">
        <f t="shared" si="20"/>
        <v>23.34592111111111</v>
      </c>
      <c r="H153">
        <f t="shared" si="20"/>
        <v>23.271716111111111</v>
      </c>
      <c r="I153">
        <f t="shared" si="20"/>
        <v>23.197511111111108</v>
      </c>
      <c r="J153">
        <f t="shared" si="20"/>
        <v>23.123306111111109</v>
      </c>
      <c r="K153">
        <f t="shared" si="20"/>
        <v>23.04910111111111</v>
      </c>
      <c r="L153">
        <f t="shared" si="20"/>
        <v>22.974896111111111</v>
      </c>
      <c r="M153">
        <f t="shared" si="20"/>
        <v>22.900691111111108</v>
      </c>
      <c r="N153">
        <f t="shared" si="20"/>
        <v>22.826486111111109</v>
      </c>
      <c r="O153">
        <f t="shared" si="20"/>
        <v>22.75228111111111</v>
      </c>
      <c r="P153">
        <f t="shared" si="20"/>
        <v>22.67807611111111</v>
      </c>
      <c r="Q153">
        <f t="shared" si="20"/>
        <v>22.603871111111111</v>
      </c>
      <c r="R153">
        <f t="shared" si="20"/>
        <v>22.529666111111109</v>
      </c>
      <c r="S153">
        <f t="shared" si="20"/>
        <v>22.455461111111109</v>
      </c>
      <c r="T153">
        <f t="shared" si="20"/>
        <v>22.38125611111111</v>
      </c>
      <c r="U153">
        <f t="shared" si="19"/>
        <v>22.307051111111107</v>
      </c>
      <c r="V153">
        <f t="shared" si="19"/>
        <v>22.232846111111108</v>
      </c>
      <c r="W153">
        <f t="shared" si="19"/>
        <v>22.158641111111109</v>
      </c>
      <c r="X153">
        <f t="shared" si="19"/>
        <v>22.08443611111111</v>
      </c>
      <c r="Y153">
        <f t="shared" si="19"/>
        <v>22.010231111111111</v>
      </c>
      <c r="Z153">
        <f t="shared" si="19"/>
        <v>21.936026111111108</v>
      </c>
      <c r="AA153">
        <f t="shared" si="19"/>
        <v>21.861821111111109</v>
      </c>
      <c r="AB153">
        <f t="shared" si="19"/>
        <v>21.78761611111111</v>
      </c>
      <c r="AC153">
        <f t="shared" si="19"/>
        <v>21.713411111111107</v>
      </c>
      <c r="AD153">
        <f t="shared" si="22"/>
        <v>20.377721111111111</v>
      </c>
    </row>
    <row r="154" spans="2:30" x14ac:dyDescent="0.2">
      <c r="B154" s="7">
        <v>44723</v>
      </c>
      <c r="C154" s="8">
        <v>21.270833333333336</v>
      </c>
      <c r="D154">
        <f t="shared" si="18"/>
        <v>24.547008333333338</v>
      </c>
      <c r="E154">
        <f t="shared" si="21"/>
        <v>24.472803333333335</v>
      </c>
      <c r="F154">
        <f t="shared" si="21"/>
        <v>24.398598333333336</v>
      </c>
      <c r="G154">
        <f t="shared" si="20"/>
        <v>24.324393333333337</v>
      </c>
      <c r="H154">
        <f t="shared" si="20"/>
        <v>24.250188333333337</v>
      </c>
      <c r="I154">
        <f t="shared" si="20"/>
        <v>24.175983333333335</v>
      </c>
      <c r="J154">
        <f t="shared" si="20"/>
        <v>24.101778333333336</v>
      </c>
      <c r="K154">
        <f t="shared" si="20"/>
        <v>24.027573333333336</v>
      </c>
      <c r="L154">
        <f t="shared" si="20"/>
        <v>23.953368333333337</v>
      </c>
      <c r="M154">
        <f t="shared" si="20"/>
        <v>23.879163333333334</v>
      </c>
      <c r="N154">
        <f t="shared" si="20"/>
        <v>23.804958333333335</v>
      </c>
      <c r="O154">
        <f t="shared" si="20"/>
        <v>23.730753333333336</v>
      </c>
      <c r="P154">
        <f t="shared" si="20"/>
        <v>23.656548333333337</v>
      </c>
      <c r="Q154">
        <f t="shared" si="20"/>
        <v>23.582343333333334</v>
      </c>
      <c r="R154">
        <f t="shared" si="20"/>
        <v>23.508138333333335</v>
      </c>
      <c r="S154">
        <f t="shared" si="20"/>
        <v>23.433933333333336</v>
      </c>
      <c r="T154">
        <f t="shared" si="20"/>
        <v>23.359728333333337</v>
      </c>
      <c r="U154">
        <f t="shared" si="19"/>
        <v>23.285523333333337</v>
      </c>
      <c r="V154">
        <f t="shared" si="19"/>
        <v>23.211318333333335</v>
      </c>
      <c r="W154">
        <f t="shared" si="19"/>
        <v>23.137113333333335</v>
      </c>
      <c r="X154">
        <f t="shared" si="19"/>
        <v>23.062908333333336</v>
      </c>
      <c r="Y154">
        <f t="shared" si="19"/>
        <v>22.988703333333333</v>
      </c>
      <c r="Z154">
        <f t="shared" si="19"/>
        <v>22.914498333333334</v>
      </c>
      <c r="AA154">
        <f t="shared" si="19"/>
        <v>22.840293333333335</v>
      </c>
      <c r="AB154">
        <f t="shared" si="19"/>
        <v>22.766088333333336</v>
      </c>
      <c r="AC154">
        <f t="shared" si="19"/>
        <v>22.691883333333337</v>
      </c>
      <c r="AD154">
        <f t="shared" si="22"/>
        <v>21.356193333333337</v>
      </c>
    </row>
    <row r="155" spans="2:30" x14ac:dyDescent="0.2">
      <c r="B155" s="7">
        <v>44724</v>
      </c>
      <c r="C155" s="8">
        <v>21.422222222222228</v>
      </c>
      <c r="D155">
        <f t="shared" si="18"/>
        <v>24.698397222222226</v>
      </c>
      <c r="E155">
        <f t="shared" si="21"/>
        <v>24.624192222222227</v>
      </c>
      <c r="F155">
        <f t="shared" si="21"/>
        <v>24.549987222222228</v>
      </c>
      <c r="G155">
        <f t="shared" si="20"/>
        <v>24.475782222222229</v>
      </c>
      <c r="H155">
        <f t="shared" si="20"/>
        <v>24.40157722222223</v>
      </c>
      <c r="I155">
        <f t="shared" si="20"/>
        <v>24.327372222222227</v>
      </c>
      <c r="J155">
        <f t="shared" si="20"/>
        <v>24.253167222222228</v>
      </c>
      <c r="K155">
        <f t="shared" si="20"/>
        <v>24.178962222222228</v>
      </c>
      <c r="L155">
        <f t="shared" si="20"/>
        <v>24.104757222222229</v>
      </c>
      <c r="M155">
        <f t="shared" si="20"/>
        <v>24.030552222222227</v>
      </c>
      <c r="N155">
        <f t="shared" si="20"/>
        <v>23.956347222222227</v>
      </c>
      <c r="O155">
        <f t="shared" si="20"/>
        <v>23.882142222222228</v>
      </c>
      <c r="P155">
        <f t="shared" si="20"/>
        <v>23.807937222222229</v>
      </c>
      <c r="Q155">
        <f t="shared" si="20"/>
        <v>23.73373222222223</v>
      </c>
      <c r="R155">
        <f t="shared" si="20"/>
        <v>23.659527222222227</v>
      </c>
      <c r="S155">
        <f t="shared" si="20"/>
        <v>23.585322222222228</v>
      </c>
      <c r="T155">
        <f t="shared" si="20"/>
        <v>23.511117222222229</v>
      </c>
      <c r="U155">
        <f t="shared" si="19"/>
        <v>23.436912222222226</v>
      </c>
      <c r="V155">
        <f t="shared" si="19"/>
        <v>23.362707222222227</v>
      </c>
      <c r="W155">
        <f t="shared" si="19"/>
        <v>23.288502222222228</v>
      </c>
      <c r="X155">
        <f t="shared" si="19"/>
        <v>23.214297222222228</v>
      </c>
      <c r="Y155">
        <f t="shared" si="19"/>
        <v>23.140092222222229</v>
      </c>
      <c r="Z155">
        <f t="shared" si="19"/>
        <v>23.065887222222226</v>
      </c>
      <c r="AA155">
        <f t="shared" si="19"/>
        <v>22.991682222222227</v>
      </c>
      <c r="AB155">
        <f t="shared" si="19"/>
        <v>22.917477222222228</v>
      </c>
      <c r="AC155">
        <f t="shared" si="19"/>
        <v>22.843272222222225</v>
      </c>
      <c r="AD155">
        <f t="shared" si="22"/>
        <v>21.507582222222229</v>
      </c>
    </row>
    <row r="156" spans="2:30" x14ac:dyDescent="0.2">
      <c r="B156" s="7">
        <v>44725</v>
      </c>
      <c r="C156" s="8">
        <v>20.655555555555555</v>
      </c>
      <c r="D156">
        <f t="shared" si="18"/>
        <v>23.931730555555554</v>
      </c>
      <c r="E156">
        <f t="shared" si="21"/>
        <v>23.857525555555554</v>
      </c>
      <c r="F156">
        <f t="shared" si="21"/>
        <v>23.783320555555555</v>
      </c>
      <c r="G156">
        <f t="shared" si="20"/>
        <v>23.709115555555556</v>
      </c>
      <c r="H156">
        <f t="shared" si="20"/>
        <v>23.634910555555557</v>
      </c>
      <c r="I156">
        <f t="shared" si="20"/>
        <v>23.560705555555554</v>
      </c>
      <c r="J156">
        <f t="shared" si="20"/>
        <v>23.486500555555555</v>
      </c>
      <c r="K156">
        <f t="shared" si="20"/>
        <v>23.412295555555556</v>
      </c>
      <c r="L156">
        <f t="shared" si="20"/>
        <v>23.338090555555556</v>
      </c>
      <c r="M156">
        <f t="shared" si="20"/>
        <v>23.263885555555554</v>
      </c>
      <c r="N156">
        <f t="shared" si="20"/>
        <v>23.189680555555555</v>
      </c>
      <c r="O156">
        <f t="shared" si="20"/>
        <v>23.115475555555555</v>
      </c>
      <c r="P156">
        <f t="shared" si="20"/>
        <v>23.041270555555556</v>
      </c>
      <c r="Q156">
        <f t="shared" si="20"/>
        <v>22.967065555555557</v>
      </c>
      <c r="R156">
        <f t="shared" si="20"/>
        <v>22.892860555555554</v>
      </c>
      <c r="S156">
        <f t="shared" si="20"/>
        <v>22.818655555555555</v>
      </c>
      <c r="T156">
        <f t="shared" si="20"/>
        <v>22.744450555555556</v>
      </c>
      <c r="U156">
        <f t="shared" si="19"/>
        <v>22.670245555555553</v>
      </c>
      <c r="V156">
        <f t="shared" si="19"/>
        <v>22.596040555555554</v>
      </c>
      <c r="W156">
        <f t="shared" si="19"/>
        <v>22.521835555555555</v>
      </c>
      <c r="X156">
        <f t="shared" si="19"/>
        <v>22.447630555555556</v>
      </c>
      <c r="Y156">
        <f t="shared" si="19"/>
        <v>22.373425555555556</v>
      </c>
      <c r="Z156">
        <f t="shared" si="19"/>
        <v>22.299220555555554</v>
      </c>
      <c r="AA156">
        <f t="shared" si="19"/>
        <v>22.225015555555554</v>
      </c>
      <c r="AB156">
        <f t="shared" si="19"/>
        <v>22.150810555555555</v>
      </c>
      <c r="AC156">
        <f t="shared" si="19"/>
        <v>22.076605555555552</v>
      </c>
      <c r="AD156">
        <f t="shared" si="22"/>
        <v>20.740915555555556</v>
      </c>
    </row>
    <row r="157" spans="2:30" x14ac:dyDescent="0.2">
      <c r="B157" s="7">
        <v>44726</v>
      </c>
      <c r="C157" s="8">
        <v>20.669444444444448</v>
      </c>
      <c r="D157">
        <f t="shared" si="18"/>
        <v>23.945619444444446</v>
      </c>
      <c r="E157">
        <f t="shared" si="21"/>
        <v>23.871414444444447</v>
      </c>
      <c r="F157">
        <f t="shared" si="21"/>
        <v>23.797209444444448</v>
      </c>
      <c r="G157">
        <f t="shared" si="20"/>
        <v>23.723004444444449</v>
      </c>
      <c r="H157">
        <f t="shared" si="20"/>
        <v>23.64879944444445</v>
      </c>
      <c r="I157">
        <f t="shared" si="20"/>
        <v>23.574594444444447</v>
      </c>
      <c r="J157">
        <f t="shared" si="20"/>
        <v>23.500389444444448</v>
      </c>
      <c r="K157">
        <f t="shared" ref="G157:T175" si="23">(-1.4841*K$3+3.6472)+$C157</f>
        <v>23.426184444444448</v>
      </c>
      <c r="L157">
        <f t="shared" si="23"/>
        <v>23.351979444444449</v>
      </c>
      <c r="M157">
        <f t="shared" si="23"/>
        <v>23.277774444444447</v>
      </c>
      <c r="N157">
        <f t="shared" si="23"/>
        <v>23.203569444444447</v>
      </c>
      <c r="O157">
        <f t="shared" si="23"/>
        <v>23.129364444444448</v>
      </c>
      <c r="P157">
        <f t="shared" si="23"/>
        <v>23.055159444444449</v>
      </c>
      <c r="Q157">
        <f t="shared" si="23"/>
        <v>22.98095444444445</v>
      </c>
      <c r="R157">
        <f t="shared" si="23"/>
        <v>22.906749444444447</v>
      </c>
      <c r="S157">
        <f t="shared" si="23"/>
        <v>22.832544444444448</v>
      </c>
      <c r="T157">
        <f t="shared" si="23"/>
        <v>22.758339444444449</v>
      </c>
      <c r="U157">
        <f t="shared" si="19"/>
        <v>22.684134444444446</v>
      </c>
      <c r="V157">
        <f t="shared" si="19"/>
        <v>22.609929444444447</v>
      </c>
      <c r="W157">
        <f t="shared" si="19"/>
        <v>22.535724444444448</v>
      </c>
      <c r="X157">
        <f t="shared" si="19"/>
        <v>22.461519444444448</v>
      </c>
      <c r="Y157">
        <f t="shared" si="19"/>
        <v>22.387314444444449</v>
      </c>
      <c r="Z157">
        <f t="shared" si="19"/>
        <v>22.313109444444446</v>
      </c>
      <c r="AA157">
        <f t="shared" si="19"/>
        <v>22.238904444444447</v>
      </c>
      <c r="AB157">
        <f t="shared" si="19"/>
        <v>22.164699444444448</v>
      </c>
      <c r="AC157">
        <f t="shared" si="19"/>
        <v>22.090494444444445</v>
      </c>
      <c r="AD157">
        <f t="shared" si="22"/>
        <v>20.754804444444449</v>
      </c>
    </row>
    <row r="158" spans="2:30" x14ac:dyDescent="0.2">
      <c r="B158" s="7">
        <v>44727</v>
      </c>
      <c r="C158" s="8">
        <v>21.755555555555571</v>
      </c>
      <c r="D158">
        <f t="shared" si="18"/>
        <v>25.031730555555569</v>
      </c>
      <c r="E158">
        <f t="shared" si="21"/>
        <v>24.95752555555557</v>
      </c>
      <c r="F158">
        <f t="shared" si="21"/>
        <v>24.883320555555571</v>
      </c>
      <c r="G158">
        <f t="shared" si="23"/>
        <v>24.809115555555572</v>
      </c>
      <c r="H158">
        <f t="shared" si="23"/>
        <v>24.734910555555572</v>
      </c>
      <c r="I158">
        <f t="shared" si="23"/>
        <v>24.66070555555557</v>
      </c>
      <c r="J158">
        <f t="shared" si="23"/>
        <v>24.58650055555557</v>
      </c>
      <c r="K158">
        <f t="shared" si="23"/>
        <v>24.512295555555571</v>
      </c>
      <c r="L158">
        <f t="shared" si="23"/>
        <v>24.438090555555572</v>
      </c>
      <c r="M158">
        <f t="shared" si="23"/>
        <v>24.363885555555569</v>
      </c>
      <c r="N158">
        <f t="shared" si="23"/>
        <v>24.28968055555557</v>
      </c>
      <c r="O158">
        <f t="shared" si="23"/>
        <v>24.215475555555571</v>
      </c>
      <c r="P158">
        <f t="shared" si="23"/>
        <v>24.141270555555572</v>
      </c>
      <c r="Q158">
        <f t="shared" si="23"/>
        <v>24.067065555555573</v>
      </c>
      <c r="R158">
        <f t="shared" si="23"/>
        <v>23.99286055555557</v>
      </c>
      <c r="S158">
        <f t="shared" si="23"/>
        <v>23.918655555555571</v>
      </c>
      <c r="T158">
        <f t="shared" si="23"/>
        <v>23.844450555555571</v>
      </c>
      <c r="U158">
        <f t="shared" si="19"/>
        <v>23.770245555555569</v>
      </c>
      <c r="V158">
        <f t="shared" si="19"/>
        <v>23.69604055555557</v>
      </c>
      <c r="W158">
        <f t="shared" si="19"/>
        <v>23.62183555555557</v>
      </c>
      <c r="X158">
        <f t="shared" si="19"/>
        <v>23.547630555555571</v>
      </c>
      <c r="Y158">
        <f t="shared" si="19"/>
        <v>23.473425555555572</v>
      </c>
      <c r="Z158">
        <f t="shared" si="19"/>
        <v>23.399220555555569</v>
      </c>
      <c r="AA158">
        <f t="shared" si="19"/>
        <v>23.32501555555557</v>
      </c>
      <c r="AB158">
        <f t="shared" si="19"/>
        <v>23.250810555555571</v>
      </c>
      <c r="AC158">
        <f t="shared" si="19"/>
        <v>23.176605555555568</v>
      </c>
      <c r="AD158">
        <f t="shared" si="22"/>
        <v>21.840915555555572</v>
      </c>
    </row>
    <row r="159" spans="2:30" x14ac:dyDescent="0.2">
      <c r="B159" s="7">
        <v>44728</v>
      </c>
      <c r="C159" s="8">
        <v>22.964583333333337</v>
      </c>
      <c r="D159">
        <f t="shared" si="18"/>
        <v>26.240758333333339</v>
      </c>
      <c r="E159">
        <f t="shared" si="21"/>
        <v>26.166553333333336</v>
      </c>
      <c r="F159">
        <f t="shared" si="21"/>
        <v>26.092348333333337</v>
      </c>
      <c r="G159">
        <f t="shared" si="23"/>
        <v>26.018143333333338</v>
      </c>
      <c r="H159">
        <f t="shared" si="23"/>
        <v>25.943938333333339</v>
      </c>
      <c r="I159">
        <f t="shared" si="23"/>
        <v>25.869733333333336</v>
      </c>
      <c r="J159">
        <f t="shared" si="23"/>
        <v>25.795528333333337</v>
      </c>
      <c r="K159">
        <f t="shared" si="23"/>
        <v>25.721323333333338</v>
      </c>
      <c r="L159">
        <f t="shared" si="23"/>
        <v>25.647118333333339</v>
      </c>
      <c r="M159">
        <f t="shared" si="23"/>
        <v>25.572913333333336</v>
      </c>
      <c r="N159">
        <f t="shared" si="23"/>
        <v>25.498708333333337</v>
      </c>
      <c r="O159">
        <f t="shared" si="23"/>
        <v>25.424503333333337</v>
      </c>
      <c r="P159">
        <f t="shared" si="23"/>
        <v>25.350298333333338</v>
      </c>
      <c r="Q159">
        <f t="shared" si="23"/>
        <v>25.276093333333336</v>
      </c>
      <c r="R159">
        <f t="shared" si="23"/>
        <v>25.201888333333336</v>
      </c>
      <c r="S159">
        <f t="shared" si="23"/>
        <v>25.127683333333337</v>
      </c>
      <c r="T159">
        <f t="shared" si="23"/>
        <v>25.053478333333338</v>
      </c>
      <c r="U159">
        <f t="shared" si="19"/>
        <v>24.979273333333339</v>
      </c>
      <c r="V159">
        <f t="shared" si="19"/>
        <v>24.905068333333336</v>
      </c>
      <c r="W159">
        <f t="shared" si="19"/>
        <v>24.830863333333337</v>
      </c>
      <c r="X159">
        <f t="shared" si="19"/>
        <v>24.756658333333338</v>
      </c>
      <c r="Y159">
        <f t="shared" si="19"/>
        <v>24.682453333333335</v>
      </c>
      <c r="Z159">
        <f t="shared" si="19"/>
        <v>24.608248333333336</v>
      </c>
      <c r="AA159">
        <f t="shared" si="19"/>
        <v>24.534043333333337</v>
      </c>
      <c r="AB159">
        <f t="shared" si="19"/>
        <v>24.459838333333337</v>
      </c>
      <c r="AC159">
        <f t="shared" si="19"/>
        <v>24.385633333333338</v>
      </c>
      <c r="AD159">
        <f t="shared" si="22"/>
        <v>23.049943333333339</v>
      </c>
    </row>
    <row r="160" spans="2:30" x14ac:dyDescent="0.2">
      <c r="B160" s="7">
        <v>44729</v>
      </c>
      <c r="C160" s="8">
        <v>23.925694444444446</v>
      </c>
      <c r="D160">
        <f t="shared" si="18"/>
        <v>27.201869444444448</v>
      </c>
      <c r="E160">
        <f t="shared" si="21"/>
        <v>27.127664444444445</v>
      </c>
      <c r="F160">
        <f t="shared" si="21"/>
        <v>27.053459444444446</v>
      </c>
      <c r="G160">
        <f t="shared" si="23"/>
        <v>26.979254444444447</v>
      </c>
      <c r="H160">
        <f t="shared" si="23"/>
        <v>26.905049444444447</v>
      </c>
      <c r="I160">
        <f t="shared" si="23"/>
        <v>26.830844444444445</v>
      </c>
      <c r="J160">
        <f t="shared" si="23"/>
        <v>26.756639444444446</v>
      </c>
      <c r="K160">
        <f t="shared" si="23"/>
        <v>26.682434444444446</v>
      </c>
      <c r="L160">
        <f t="shared" si="23"/>
        <v>26.608229444444447</v>
      </c>
      <c r="M160">
        <f t="shared" si="23"/>
        <v>26.534024444444444</v>
      </c>
      <c r="N160">
        <f t="shared" si="23"/>
        <v>26.459819444444445</v>
      </c>
      <c r="O160">
        <f t="shared" si="23"/>
        <v>26.385614444444446</v>
      </c>
      <c r="P160">
        <f t="shared" si="23"/>
        <v>26.311409444444447</v>
      </c>
      <c r="Q160">
        <f t="shared" si="23"/>
        <v>26.237204444444444</v>
      </c>
      <c r="R160">
        <f t="shared" si="23"/>
        <v>26.162999444444445</v>
      </c>
      <c r="S160">
        <f t="shared" si="23"/>
        <v>26.088794444444446</v>
      </c>
      <c r="T160">
        <f t="shared" si="23"/>
        <v>26.014589444444447</v>
      </c>
      <c r="U160">
        <f t="shared" si="19"/>
        <v>25.940384444444447</v>
      </c>
      <c r="V160">
        <f t="shared" si="19"/>
        <v>25.866179444444445</v>
      </c>
      <c r="W160">
        <f t="shared" si="19"/>
        <v>25.791974444444445</v>
      </c>
      <c r="X160">
        <f t="shared" si="19"/>
        <v>25.717769444444446</v>
      </c>
      <c r="Y160">
        <f t="shared" si="19"/>
        <v>25.643564444444443</v>
      </c>
      <c r="Z160">
        <f t="shared" si="19"/>
        <v>25.569359444444444</v>
      </c>
      <c r="AA160">
        <f t="shared" si="19"/>
        <v>25.495154444444445</v>
      </c>
      <c r="AB160">
        <f t="shared" si="19"/>
        <v>25.420949444444446</v>
      </c>
      <c r="AC160">
        <f t="shared" si="19"/>
        <v>25.346744444444447</v>
      </c>
      <c r="AD160">
        <f t="shared" si="22"/>
        <v>24.011054444444447</v>
      </c>
    </row>
    <row r="161" spans="2:30" x14ac:dyDescent="0.2">
      <c r="B161" s="7">
        <v>44730</v>
      </c>
      <c r="C161" s="8">
        <v>23.795833333333334</v>
      </c>
      <c r="D161">
        <f t="shared" si="18"/>
        <v>27.072008333333336</v>
      </c>
      <c r="E161">
        <f t="shared" si="21"/>
        <v>26.997803333333334</v>
      </c>
      <c r="F161">
        <f t="shared" si="21"/>
        <v>26.923598333333334</v>
      </c>
      <c r="G161">
        <f t="shared" si="23"/>
        <v>26.849393333333335</v>
      </c>
      <c r="H161">
        <f t="shared" si="23"/>
        <v>26.775188333333336</v>
      </c>
      <c r="I161">
        <f t="shared" si="23"/>
        <v>26.700983333333333</v>
      </c>
      <c r="J161">
        <f t="shared" si="23"/>
        <v>26.626778333333334</v>
      </c>
      <c r="K161">
        <f t="shared" si="23"/>
        <v>26.552573333333335</v>
      </c>
      <c r="L161">
        <f t="shared" si="23"/>
        <v>26.478368333333336</v>
      </c>
      <c r="M161">
        <f t="shared" si="23"/>
        <v>26.404163333333333</v>
      </c>
      <c r="N161">
        <f t="shared" si="23"/>
        <v>26.329958333333334</v>
      </c>
      <c r="O161">
        <f t="shared" si="23"/>
        <v>26.255753333333335</v>
      </c>
      <c r="P161">
        <f t="shared" si="23"/>
        <v>26.181548333333335</v>
      </c>
      <c r="Q161">
        <f t="shared" si="23"/>
        <v>26.107343333333333</v>
      </c>
      <c r="R161">
        <f t="shared" si="23"/>
        <v>26.033138333333333</v>
      </c>
      <c r="S161">
        <f t="shared" si="23"/>
        <v>25.958933333333334</v>
      </c>
      <c r="T161">
        <f t="shared" si="23"/>
        <v>25.884728333333335</v>
      </c>
      <c r="U161">
        <f t="shared" si="19"/>
        <v>25.810523333333336</v>
      </c>
      <c r="V161">
        <f t="shared" si="19"/>
        <v>25.736318333333333</v>
      </c>
      <c r="W161">
        <f t="shared" si="19"/>
        <v>25.662113333333334</v>
      </c>
      <c r="X161">
        <f t="shared" si="19"/>
        <v>25.587908333333335</v>
      </c>
      <c r="Y161">
        <f t="shared" si="19"/>
        <v>25.513703333333332</v>
      </c>
      <c r="Z161">
        <f t="shared" si="19"/>
        <v>25.439498333333333</v>
      </c>
      <c r="AA161">
        <f t="shared" si="19"/>
        <v>25.365293333333334</v>
      </c>
      <c r="AB161">
        <f t="shared" si="19"/>
        <v>25.291088333333335</v>
      </c>
      <c r="AC161">
        <f t="shared" si="19"/>
        <v>25.216883333333335</v>
      </c>
      <c r="AD161">
        <f t="shared" si="22"/>
        <v>23.881193333333336</v>
      </c>
    </row>
    <row r="162" spans="2:30" x14ac:dyDescent="0.2">
      <c r="B162" s="7">
        <v>44731</v>
      </c>
      <c r="C162" s="8">
        <v>18.568750000000016</v>
      </c>
      <c r="D162">
        <f t="shared" si="18"/>
        <v>21.844925000000018</v>
      </c>
      <c r="E162">
        <f t="shared" si="21"/>
        <v>21.770720000000015</v>
      </c>
      <c r="F162">
        <f t="shared" si="21"/>
        <v>21.696515000000016</v>
      </c>
      <c r="G162">
        <f t="shared" si="23"/>
        <v>21.622310000000017</v>
      </c>
      <c r="H162">
        <f t="shared" si="23"/>
        <v>21.548105000000017</v>
      </c>
      <c r="I162">
        <f t="shared" si="23"/>
        <v>21.473900000000015</v>
      </c>
      <c r="J162">
        <f t="shared" si="23"/>
        <v>21.399695000000015</v>
      </c>
      <c r="K162">
        <f t="shared" si="23"/>
        <v>21.325490000000016</v>
      </c>
      <c r="L162">
        <f t="shared" si="23"/>
        <v>21.251285000000017</v>
      </c>
      <c r="M162">
        <f t="shared" si="23"/>
        <v>21.177080000000014</v>
      </c>
      <c r="N162">
        <f t="shared" si="23"/>
        <v>21.102875000000015</v>
      </c>
      <c r="O162">
        <f t="shared" si="23"/>
        <v>21.028670000000016</v>
      </c>
      <c r="P162">
        <f t="shared" si="23"/>
        <v>20.954465000000017</v>
      </c>
      <c r="Q162">
        <f t="shared" si="23"/>
        <v>20.880260000000014</v>
      </c>
      <c r="R162">
        <f t="shared" si="23"/>
        <v>20.806055000000015</v>
      </c>
      <c r="S162">
        <f t="shared" si="23"/>
        <v>20.731850000000016</v>
      </c>
      <c r="T162">
        <f t="shared" si="23"/>
        <v>20.657645000000016</v>
      </c>
      <c r="U162">
        <f t="shared" si="19"/>
        <v>20.583440000000017</v>
      </c>
      <c r="V162">
        <f t="shared" si="19"/>
        <v>20.509235000000015</v>
      </c>
      <c r="W162">
        <f t="shared" si="19"/>
        <v>20.435030000000015</v>
      </c>
      <c r="X162">
        <f t="shared" si="19"/>
        <v>20.360825000000016</v>
      </c>
      <c r="Y162">
        <f t="shared" si="19"/>
        <v>20.286620000000013</v>
      </c>
      <c r="Z162">
        <f t="shared" si="19"/>
        <v>20.212415000000014</v>
      </c>
      <c r="AA162">
        <f t="shared" si="19"/>
        <v>20.138210000000015</v>
      </c>
      <c r="AB162">
        <f t="shared" si="19"/>
        <v>20.064005000000016</v>
      </c>
      <c r="AC162">
        <f t="shared" ref="U162:AC191" si="24">(-1.4841*AC$3+3.6472)+$C162</f>
        <v>19.989800000000017</v>
      </c>
      <c r="AD162">
        <f t="shared" si="22"/>
        <v>18.654110000000017</v>
      </c>
    </row>
    <row r="163" spans="2:30" x14ac:dyDescent="0.2">
      <c r="B163" s="7">
        <v>44732</v>
      </c>
      <c r="C163" s="8">
        <v>18.883333333333329</v>
      </c>
      <c r="D163">
        <f t="shared" si="18"/>
        <v>22.159508333333328</v>
      </c>
      <c r="E163">
        <f t="shared" si="21"/>
        <v>22.085303333333329</v>
      </c>
      <c r="F163">
        <f t="shared" si="21"/>
        <v>22.011098333333329</v>
      </c>
      <c r="G163">
        <f t="shared" si="23"/>
        <v>21.93689333333333</v>
      </c>
      <c r="H163">
        <f t="shared" si="23"/>
        <v>21.862688333333331</v>
      </c>
      <c r="I163">
        <f t="shared" si="23"/>
        <v>21.788483333333328</v>
      </c>
      <c r="J163">
        <f t="shared" si="23"/>
        <v>21.714278333333329</v>
      </c>
      <c r="K163">
        <f t="shared" si="23"/>
        <v>21.64007333333333</v>
      </c>
      <c r="L163">
        <f t="shared" si="23"/>
        <v>21.565868333333331</v>
      </c>
      <c r="M163">
        <f t="shared" si="23"/>
        <v>21.491663333333328</v>
      </c>
      <c r="N163">
        <f t="shared" si="23"/>
        <v>21.417458333333329</v>
      </c>
      <c r="O163">
        <f t="shared" si="23"/>
        <v>21.34325333333333</v>
      </c>
      <c r="P163">
        <f t="shared" si="23"/>
        <v>21.26904833333333</v>
      </c>
      <c r="Q163">
        <f t="shared" si="23"/>
        <v>21.194843333333331</v>
      </c>
      <c r="R163">
        <f t="shared" si="23"/>
        <v>21.120638333333329</v>
      </c>
      <c r="S163">
        <f t="shared" si="23"/>
        <v>21.046433333333329</v>
      </c>
      <c r="T163">
        <f t="shared" si="23"/>
        <v>20.97222833333333</v>
      </c>
      <c r="U163">
        <f t="shared" si="24"/>
        <v>20.898023333333327</v>
      </c>
      <c r="V163">
        <f t="shared" si="24"/>
        <v>20.823818333333328</v>
      </c>
      <c r="W163">
        <f t="shared" si="24"/>
        <v>20.749613333333329</v>
      </c>
      <c r="X163">
        <f t="shared" si="24"/>
        <v>20.67540833333333</v>
      </c>
      <c r="Y163">
        <f t="shared" si="24"/>
        <v>20.601203333333331</v>
      </c>
      <c r="Z163">
        <f t="shared" si="24"/>
        <v>20.526998333333328</v>
      </c>
      <c r="AA163">
        <f t="shared" si="24"/>
        <v>20.452793333333329</v>
      </c>
      <c r="AB163">
        <f t="shared" si="24"/>
        <v>20.37858833333333</v>
      </c>
      <c r="AC163">
        <f t="shared" si="24"/>
        <v>20.304383333333327</v>
      </c>
      <c r="AD163">
        <f t="shared" si="22"/>
        <v>18.968693333333331</v>
      </c>
    </row>
    <row r="164" spans="2:30" x14ac:dyDescent="0.2">
      <c r="B164" s="7">
        <v>44733</v>
      </c>
      <c r="C164" s="8">
        <v>20.196527777777774</v>
      </c>
      <c r="D164">
        <f t="shared" si="18"/>
        <v>23.472702777777776</v>
      </c>
      <c r="E164">
        <f t="shared" si="21"/>
        <v>23.398497777777774</v>
      </c>
      <c r="F164">
        <f t="shared" si="21"/>
        <v>23.324292777777774</v>
      </c>
      <c r="G164">
        <f t="shared" si="23"/>
        <v>23.250087777777775</v>
      </c>
      <c r="H164">
        <f t="shared" si="23"/>
        <v>23.175882777777776</v>
      </c>
      <c r="I164">
        <f t="shared" si="23"/>
        <v>23.101677777777773</v>
      </c>
      <c r="J164">
        <f t="shared" si="23"/>
        <v>23.027472777777774</v>
      </c>
      <c r="K164">
        <f t="shared" si="23"/>
        <v>22.953267777777775</v>
      </c>
      <c r="L164">
        <f t="shared" si="23"/>
        <v>22.879062777777776</v>
      </c>
      <c r="M164">
        <f t="shared" si="23"/>
        <v>22.804857777777773</v>
      </c>
      <c r="N164">
        <f t="shared" si="23"/>
        <v>22.730652777777774</v>
      </c>
      <c r="O164">
        <f t="shared" si="23"/>
        <v>22.656447777777775</v>
      </c>
      <c r="P164">
        <f t="shared" si="23"/>
        <v>22.582242777777775</v>
      </c>
      <c r="Q164">
        <f t="shared" si="23"/>
        <v>22.508037777777773</v>
      </c>
      <c r="R164">
        <f t="shared" si="23"/>
        <v>22.433832777777774</v>
      </c>
      <c r="S164">
        <f t="shared" si="23"/>
        <v>22.359627777777774</v>
      </c>
      <c r="T164">
        <f t="shared" si="23"/>
        <v>22.285422777777775</v>
      </c>
      <c r="U164">
        <f t="shared" si="24"/>
        <v>22.211217777777776</v>
      </c>
      <c r="V164">
        <f t="shared" si="24"/>
        <v>22.137012777777773</v>
      </c>
      <c r="W164">
        <f t="shared" si="24"/>
        <v>22.062807777777774</v>
      </c>
      <c r="X164">
        <f t="shared" si="24"/>
        <v>21.988602777777775</v>
      </c>
      <c r="Y164">
        <f t="shared" si="24"/>
        <v>21.914397777777772</v>
      </c>
      <c r="Z164">
        <f t="shared" si="24"/>
        <v>21.840192777777773</v>
      </c>
      <c r="AA164">
        <f t="shared" si="24"/>
        <v>21.765987777777774</v>
      </c>
      <c r="AB164">
        <f t="shared" si="24"/>
        <v>21.691782777777775</v>
      </c>
      <c r="AC164">
        <f t="shared" si="24"/>
        <v>21.617577777777775</v>
      </c>
      <c r="AD164">
        <f t="shared" si="22"/>
        <v>20.281887777777776</v>
      </c>
    </row>
    <row r="165" spans="2:30" x14ac:dyDescent="0.2">
      <c r="B165" s="7">
        <v>44734</v>
      </c>
      <c r="C165" s="8">
        <v>21.872916666666676</v>
      </c>
      <c r="D165">
        <f t="shared" si="18"/>
        <v>25.149091666666678</v>
      </c>
      <c r="E165">
        <f t="shared" si="21"/>
        <v>25.074886666666675</v>
      </c>
      <c r="F165">
        <f t="shared" si="21"/>
        <v>25.000681666666676</v>
      </c>
      <c r="G165">
        <f t="shared" si="23"/>
        <v>24.926476666666677</v>
      </c>
      <c r="H165">
        <f t="shared" si="23"/>
        <v>24.852271666666677</v>
      </c>
      <c r="I165">
        <f t="shared" si="23"/>
        <v>24.778066666666675</v>
      </c>
      <c r="J165">
        <f t="shared" si="23"/>
        <v>24.703861666666675</v>
      </c>
      <c r="K165">
        <f t="shared" si="23"/>
        <v>24.629656666666676</v>
      </c>
      <c r="L165">
        <f t="shared" si="23"/>
        <v>24.555451666666677</v>
      </c>
      <c r="M165">
        <f t="shared" si="23"/>
        <v>24.481246666666674</v>
      </c>
      <c r="N165">
        <f t="shared" si="23"/>
        <v>24.407041666666675</v>
      </c>
      <c r="O165">
        <f t="shared" si="23"/>
        <v>24.332836666666676</v>
      </c>
      <c r="P165">
        <f t="shared" si="23"/>
        <v>24.258631666666677</v>
      </c>
      <c r="Q165">
        <f t="shared" si="23"/>
        <v>24.184426666666674</v>
      </c>
      <c r="R165">
        <f t="shared" si="23"/>
        <v>24.110221666666675</v>
      </c>
      <c r="S165">
        <f t="shared" si="23"/>
        <v>24.036016666666676</v>
      </c>
      <c r="T165">
        <f t="shared" si="23"/>
        <v>23.961811666666677</v>
      </c>
      <c r="U165">
        <f t="shared" si="24"/>
        <v>23.887606666666677</v>
      </c>
      <c r="V165">
        <f t="shared" si="24"/>
        <v>23.813401666666675</v>
      </c>
      <c r="W165">
        <f t="shared" si="24"/>
        <v>23.739196666666675</v>
      </c>
      <c r="X165">
        <f t="shared" si="24"/>
        <v>23.664991666666676</v>
      </c>
      <c r="Y165">
        <f t="shared" si="24"/>
        <v>23.590786666666673</v>
      </c>
      <c r="Z165">
        <f t="shared" si="24"/>
        <v>23.516581666666674</v>
      </c>
      <c r="AA165">
        <f t="shared" si="24"/>
        <v>23.442376666666675</v>
      </c>
      <c r="AB165">
        <f t="shared" si="24"/>
        <v>23.368171666666676</v>
      </c>
      <c r="AC165">
        <f t="shared" si="24"/>
        <v>23.293966666666677</v>
      </c>
      <c r="AD165">
        <f t="shared" si="22"/>
        <v>21.958276666666677</v>
      </c>
    </row>
    <row r="166" spans="2:30" x14ac:dyDescent="0.2">
      <c r="B166" s="7">
        <v>44735</v>
      </c>
      <c r="C166" s="8">
        <v>23.430555555555561</v>
      </c>
      <c r="D166">
        <f t="shared" si="18"/>
        <v>26.706730555555559</v>
      </c>
      <c r="E166">
        <f t="shared" si="21"/>
        <v>26.63252555555556</v>
      </c>
      <c r="F166">
        <f t="shared" si="21"/>
        <v>26.558320555555561</v>
      </c>
      <c r="G166">
        <f t="shared" si="23"/>
        <v>26.484115555555562</v>
      </c>
      <c r="H166">
        <f t="shared" si="23"/>
        <v>26.409910555555562</v>
      </c>
      <c r="I166">
        <f t="shared" si="23"/>
        <v>26.33570555555556</v>
      </c>
      <c r="J166">
        <f t="shared" si="23"/>
        <v>26.261500555555561</v>
      </c>
      <c r="K166">
        <f t="shared" si="23"/>
        <v>26.187295555555561</v>
      </c>
      <c r="L166">
        <f t="shared" si="23"/>
        <v>26.113090555555562</v>
      </c>
      <c r="M166">
        <f t="shared" si="23"/>
        <v>26.038885555555559</v>
      </c>
      <c r="N166">
        <f t="shared" si="23"/>
        <v>25.96468055555556</v>
      </c>
      <c r="O166">
        <f t="shared" si="23"/>
        <v>25.890475555555561</v>
      </c>
      <c r="P166">
        <f t="shared" si="23"/>
        <v>25.816270555555562</v>
      </c>
      <c r="Q166">
        <f t="shared" si="23"/>
        <v>25.742065555555563</v>
      </c>
      <c r="R166">
        <f t="shared" si="23"/>
        <v>25.66786055555556</v>
      </c>
      <c r="S166">
        <f t="shared" si="23"/>
        <v>25.593655555555561</v>
      </c>
      <c r="T166">
        <f t="shared" si="23"/>
        <v>25.519450555555562</v>
      </c>
      <c r="U166">
        <f t="shared" si="24"/>
        <v>25.445245555555559</v>
      </c>
      <c r="V166">
        <f t="shared" si="24"/>
        <v>25.37104055555556</v>
      </c>
      <c r="W166">
        <f t="shared" si="24"/>
        <v>25.29683555555556</v>
      </c>
      <c r="X166">
        <f t="shared" si="24"/>
        <v>25.222630555555561</v>
      </c>
      <c r="Y166">
        <f t="shared" si="24"/>
        <v>25.148425555555562</v>
      </c>
      <c r="Z166">
        <f t="shared" si="24"/>
        <v>25.074220555555559</v>
      </c>
      <c r="AA166">
        <f t="shared" si="24"/>
        <v>25.00001555555556</v>
      </c>
      <c r="AB166">
        <f t="shared" si="24"/>
        <v>24.925810555555561</v>
      </c>
      <c r="AC166">
        <f t="shared" si="24"/>
        <v>24.851605555555558</v>
      </c>
      <c r="AD166">
        <f t="shared" si="22"/>
        <v>23.515915555555562</v>
      </c>
    </row>
    <row r="167" spans="2:30" x14ac:dyDescent="0.2">
      <c r="B167" s="7">
        <v>44736</v>
      </c>
      <c r="C167" s="8">
        <v>23.881250000000012</v>
      </c>
      <c r="D167">
        <f t="shared" si="18"/>
        <v>27.157425000000011</v>
      </c>
      <c r="E167">
        <f t="shared" si="21"/>
        <v>27.083220000000011</v>
      </c>
      <c r="F167">
        <f t="shared" si="21"/>
        <v>27.009015000000012</v>
      </c>
      <c r="G167">
        <f t="shared" si="23"/>
        <v>26.934810000000013</v>
      </c>
      <c r="H167">
        <f t="shared" si="23"/>
        <v>26.860605000000014</v>
      </c>
      <c r="I167">
        <f t="shared" si="23"/>
        <v>26.786400000000011</v>
      </c>
      <c r="J167">
        <f t="shared" si="23"/>
        <v>26.712195000000012</v>
      </c>
      <c r="K167">
        <f t="shared" si="23"/>
        <v>26.637990000000013</v>
      </c>
      <c r="L167">
        <f t="shared" si="23"/>
        <v>26.563785000000014</v>
      </c>
      <c r="M167">
        <f t="shared" si="23"/>
        <v>26.489580000000011</v>
      </c>
      <c r="N167">
        <f t="shared" si="23"/>
        <v>26.415375000000012</v>
      </c>
      <c r="O167">
        <f t="shared" si="23"/>
        <v>26.341170000000012</v>
      </c>
      <c r="P167">
        <f t="shared" si="23"/>
        <v>26.266965000000013</v>
      </c>
      <c r="Q167">
        <f t="shared" si="23"/>
        <v>26.192760000000014</v>
      </c>
      <c r="R167">
        <f t="shared" si="23"/>
        <v>26.118555000000011</v>
      </c>
      <c r="S167">
        <f t="shared" si="23"/>
        <v>26.044350000000012</v>
      </c>
      <c r="T167">
        <f t="shared" si="23"/>
        <v>25.970145000000013</v>
      </c>
      <c r="U167">
        <f t="shared" si="24"/>
        <v>25.89594000000001</v>
      </c>
      <c r="V167">
        <f t="shared" si="24"/>
        <v>25.821735000000011</v>
      </c>
      <c r="W167">
        <f t="shared" si="24"/>
        <v>25.747530000000012</v>
      </c>
      <c r="X167">
        <f t="shared" si="24"/>
        <v>25.673325000000013</v>
      </c>
      <c r="Y167">
        <f t="shared" si="24"/>
        <v>25.599120000000013</v>
      </c>
      <c r="Z167">
        <f t="shared" si="24"/>
        <v>25.524915000000011</v>
      </c>
      <c r="AA167">
        <f t="shared" si="24"/>
        <v>25.450710000000011</v>
      </c>
      <c r="AB167">
        <f t="shared" si="24"/>
        <v>25.376505000000012</v>
      </c>
      <c r="AC167">
        <f t="shared" si="24"/>
        <v>25.30230000000001</v>
      </c>
      <c r="AD167">
        <f t="shared" si="22"/>
        <v>23.966610000000014</v>
      </c>
    </row>
    <row r="168" spans="2:30" x14ac:dyDescent="0.2">
      <c r="B168" s="7">
        <v>44737</v>
      </c>
      <c r="C168" s="8">
        <v>22.049305555555556</v>
      </c>
      <c r="D168">
        <f t="shared" si="18"/>
        <v>25.325480555555558</v>
      </c>
      <c r="E168">
        <f t="shared" si="21"/>
        <v>25.251275555555555</v>
      </c>
      <c r="F168">
        <f t="shared" si="21"/>
        <v>25.177070555555556</v>
      </c>
      <c r="G168">
        <f t="shared" si="23"/>
        <v>25.102865555555557</v>
      </c>
      <c r="H168">
        <f t="shared" si="23"/>
        <v>25.028660555555557</v>
      </c>
      <c r="I168">
        <f t="shared" si="23"/>
        <v>24.954455555555555</v>
      </c>
      <c r="J168">
        <f t="shared" si="23"/>
        <v>24.880250555555556</v>
      </c>
      <c r="K168">
        <f t="shared" si="23"/>
        <v>24.806045555555556</v>
      </c>
      <c r="L168">
        <f t="shared" si="23"/>
        <v>24.731840555555557</v>
      </c>
      <c r="M168">
        <f t="shared" si="23"/>
        <v>24.657635555555554</v>
      </c>
      <c r="N168">
        <f t="shared" si="23"/>
        <v>24.583430555555555</v>
      </c>
      <c r="O168">
        <f t="shared" si="23"/>
        <v>24.509225555555556</v>
      </c>
      <c r="P168">
        <f t="shared" si="23"/>
        <v>24.435020555555557</v>
      </c>
      <c r="Q168">
        <f t="shared" si="23"/>
        <v>24.360815555555554</v>
      </c>
      <c r="R168">
        <f t="shared" si="23"/>
        <v>24.286610555555555</v>
      </c>
      <c r="S168">
        <f t="shared" si="23"/>
        <v>24.212405555555556</v>
      </c>
      <c r="T168">
        <f t="shared" si="23"/>
        <v>24.138200555555557</v>
      </c>
      <c r="U168">
        <f t="shared" si="24"/>
        <v>24.063995555555557</v>
      </c>
      <c r="V168">
        <f t="shared" si="24"/>
        <v>23.989790555555555</v>
      </c>
      <c r="W168">
        <f t="shared" si="24"/>
        <v>23.915585555555555</v>
      </c>
      <c r="X168">
        <f t="shared" si="24"/>
        <v>23.841380555555556</v>
      </c>
      <c r="Y168">
        <f t="shared" si="24"/>
        <v>23.767175555555554</v>
      </c>
      <c r="Z168">
        <f t="shared" si="24"/>
        <v>23.692970555555554</v>
      </c>
      <c r="AA168">
        <f t="shared" si="24"/>
        <v>23.618765555555555</v>
      </c>
      <c r="AB168">
        <f t="shared" si="24"/>
        <v>23.544560555555556</v>
      </c>
      <c r="AC168">
        <f t="shared" si="24"/>
        <v>23.470355555555557</v>
      </c>
      <c r="AD168">
        <f t="shared" si="22"/>
        <v>22.134665555555557</v>
      </c>
    </row>
    <row r="169" spans="2:30" x14ac:dyDescent="0.2">
      <c r="B169" s="7">
        <v>44738</v>
      </c>
      <c r="C169" s="8">
        <v>21.722222222222214</v>
      </c>
      <c r="D169">
        <f t="shared" si="18"/>
        <v>24.998397222222216</v>
      </c>
      <c r="E169">
        <f t="shared" si="21"/>
        <v>24.924192222222214</v>
      </c>
      <c r="F169">
        <f t="shared" si="21"/>
        <v>24.849987222222214</v>
      </c>
      <c r="G169">
        <f t="shared" si="23"/>
        <v>24.775782222222215</v>
      </c>
      <c r="H169">
        <f t="shared" si="23"/>
        <v>24.701577222222216</v>
      </c>
      <c r="I169">
        <f t="shared" si="23"/>
        <v>24.627372222222213</v>
      </c>
      <c r="J169">
        <f t="shared" si="23"/>
        <v>24.553167222222214</v>
      </c>
      <c r="K169">
        <f t="shared" si="23"/>
        <v>24.478962222222215</v>
      </c>
      <c r="L169">
        <f t="shared" si="23"/>
        <v>24.404757222222216</v>
      </c>
      <c r="M169">
        <f t="shared" si="23"/>
        <v>24.330552222222213</v>
      </c>
      <c r="N169">
        <f t="shared" si="23"/>
        <v>24.256347222222214</v>
      </c>
      <c r="O169">
        <f t="shared" si="23"/>
        <v>24.182142222222215</v>
      </c>
      <c r="P169">
        <f t="shared" si="23"/>
        <v>24.107937222222215</v>
      </c>
      <c r="Q169">
        <f t="shared" si="23"/>
        <v>24.033732222222213</v>
      </c>
      <c r="R169">
        <f t="shared" si="23"/>
        <v>23.959527222222214</v>
      </c>
      <c r="S169">
        <f t="shared" si="23"/>
        <v>23.885322222222214</v>
      </c>
      <c r="T169">
        <f t="shared" si="23"/>
        <v>23.811117222222215</v>
      </c>
      <c r="U169">
        <f t="shared" si="24"/>
        <v>23.736912222222216</v>
      </c>
      <c r="V169">
        <f t="shared" si="24"/>
        <v>23.662707222222213</v>
      </c>
      <c r="W169">
        <f t="shared" si="24"/>
        <v>23.588502222222214</v>
      </c>
      <c r="X169">
        <f t="shared" si="24"/>
        <v>23.514297222222215</v>
      </c>
      <c r="Y169">
        <f t="shared" si="24"/>
        <v>23.440092222222212</v>
      </c>
      <c r="Z169">
        <f t="shared" si="24"/>
        <v>23.365887222222213</v>
      </c>
      <c r="AA169">
        <f t="shared" si="24"/>
        <v>23.291682222222214</v>
      </c>
      <c r="AB169">
        <f t="shared" si="24"/>
        <v>23.217477222222215</v>
      </c>
      <c r="AC169">
        <f t="shared" si="24"/>
        <v>23.143272222222215</v>
      </c>
      <c r="AD169">
        <f t="shared" si="22"/>
        <v>21.807582222222216</v>
      </c>
    </row>
    <row r="170" spans="2:30" x14ac:dyDescent="0.2">
      <c r="B170" s="7">
        <v>44739</v>
      </c>
      <c r="C170" s="8">
        <v>20.281249999999996</v>
      </c>
      <c r="D170">
        <f t="shared" si="18"/>
        <v>23.557424999999995</v>
      </c>
      <c r="E170">
        <f t="shared" si="21"/>
        <v>23.483219999999996</v>
      </c>
      <c r="F170">
        <f t="shared" si="21"/>
        <v>23.409014999999997</v>
      </c>
      <c r="G170">
        <f t="shared" si="23"/>
        <v>23.334809999999997</v>
      </c>
      <c r="H170">
        <f t="shared" si="23"/>
        <v>23.260604999999998</v>
      </c>
      <c r="I170">
        <f t="shared" si="23"/>
        <v>23.186399999999995</v>
      </c>
      <c r="J170">
        <f t="shared" si="23"/>
        <v>23.112194999999996</v>
      </c>
      <c r="K170">
        <f t="shared" si="23"/>
        <v>23.037989999999997</v>
      </c>
      <c r="L170">
        <f t="shared" si="23"/>
        <v>22.963784999999998</v>
      </c>
      <c r="M170">
        <f t="shared" si="23"/>
        <v>22.889579999999995</v>
      </c>
      <c r="N170">
        <f t="shared" si="23"/>
        <v>22.815374999999996</v>
      </c>
      <c r="O170">
        <f t="shared" si="23"/>
        <v>22.741169999999997</v>
      </c>
      <c r="P170">
        <f t="shared" si="23"/>
        <v>22.666964999999998</v>
      </c>
      <c r="Q170">
        <f t="shared" si="23"/>
        <v>22.592759999999998</v>
      </c>
      <c r="R170">
        <f t="shared" si="23"/>
        <v>22.518554999999996</v>
      </c>
      <c r="S170">
        <f t="shared" si="23"/>
        <v>22.444349999999996</v>
      </c>
      <c r="T170">
        <f t="shared" si="23"/>
        <v>22.370144999999997</v>
      </c>
      <c r="U170">
        <f t="shared" si="24"/>
        <v>22.295939999999995</v>
      </c>
      <c r="V170">
        <f t="shared" si="24"/>
        <v>22.221734999999995</v>
      </c>
      <c r="W170">
        <f t="shared" si="24"/>
        <v>22.147529999999996</v>
      </c>
      <c r="X170">
        <f t="shared" si="24"/>
        <v>22.073324999999997</v>
      </c>
      <c r="Y170">
        <f t="shared" si="24"/>
        <v>21.999119999999998</v>
      </c>
      <c r="Z170">
        <f t="shared" si="24"/>
        <v>21.924914999999995</v>
      </c>
      <c r="AA170">
        <f t="shared" si="24"/>
        <v>21.850709999999996</v>
      </c>
      <c r="AB170">
        <f t="shared" si="24"/>
        <v>21.776504999999997</v>
      </c>
      <c r="AC170">
        <f t="shared" si="24"/>
        <v>21.702299999999994</v>
      </c>
      <c r="AD170">
        <f t="shared" si="22"/>
        <v>20.366609999999998</v>
      </c>
    </row>
    <row r="171" spans="2:30" x14ac:dyDescent="0.2">
      <c r="B171" s="7">
        <v>44740</v>
      </c>
      <c r="C171" s="8">
        <v>21.104166666666671</v>
      </c>
      <c r="D171">
        <f t="shared" si="18"/>
        <v>24.380341666666673</v>
      </c>
      <c r="E171">
        <f t="shared" si="21"/>
        <v>24.306136666666671</v>
      </c>
      <c r="F171">
        <f t="shared" si="21"/>
        <v>24.231931666666672</v>
      </c>
      <c r="G171">
        <f t="shared" si="23"/>
        <v>24.157726666666672</v>
      </c>
      <c r="H171">
        <f t="shared" si="23"/>
        <v>24.083521666666673</v>
      </c>
      <c r="I171">
        <f t="shared" si="23"/>
        <v>24.00931666666667</v>
      </c>
      <c r="J171">
        <f t="shared" si="23"/>
        <v>23.935111666666671</v>
      </c>
      <c r="K171">
        <f t="shared" si="23"/>
        <v>23.860906666666672</v>
      </c>
      <c r="L171">
        <f t="shared" si="23"/>
        <v>23.786701666666673</v>
      </c>
      <c r="M171">
        <f t="shared" si="23"/>
        <v>23.71249666666667</v>
      </c>
      <c r="N171">
        <f t="shared" si="23"/>
        <v>23.638291666666671</v>
      </c>
      <c r="O171">
        <f t="shared" si="23"/>
        <v>23.564086666666672</v>
      </c>
      <c r="P171">
        <f t="shared" si="23"/>
        <v>23.489881666666673</v>
      </c>
      <c r="Q171">
        <f t="shared" si="23"/>
        <v>23.41567666666667</v>
      </c>
      <c r="R171">
        <f t="shared" si="23"/>
        <v>23.341471666666671</v>
      </c>
      <c r="S171">
        <f t="shared" si="23"/>
        <v>23.267266666666671</v>
      </c>
      <c r="T171">
        <f t="shared" si="23"/>
        <v>23.193061666666672</v>
      </c>
      <c r="U171">
        <f t="shared" si="24"/>
        <v>23.118856666666673</v>
      </c>
      <c r="V171">
        <f t="shared" si="24"/>
        <v>23.04465166666667</v>
      </c>
      <c r="W171">
        <f t="shared" si="24"/>
        <v>22.970446666666671</v>
      </c>
      <c r="X171">
        <f t="shared" si="24"/>
        <v>22.896241666666672</v>
      </c>
      <c r="Y171">
        <f t="shared" si="24"/>
        <v>22.822036666666669</v>
      </c>
      <c r="Z171">
        <f t="shared" si="24"/>
        <v>22.74783166666667</v>
      </c>
      <c r="AA171">
        <f t="shared" si="24"/>
        <v>22.673626666666671</v>
      </c>
      <c r="AB171">
        <f t="shared" si="24"/>
        <v>22.599421666666672</v>
      </c>
      <c r="AC171">
        <f t="shared" si="24"/>
        <v>22.525216666666672</v>
      </c>
      <c r="AD171">
        <f t="shared" si="22"/>
        <v>21.189526666666673</v>
      </c>
    </row>
    <row r="172" spans="2:30" x14ac:dyDescent="0.2">
      <c r="B172" s="7">
        <v>44741</v>
      </c>
      <c r="C172" s="8">
        <v>22.908333333333335</v>
      </c>
      <c r="D172">
        <f t="shared" si="18"/>
        <v>26.184508333333333</v>
      </c>
      <c r="E172">
        <f t="shared" si="21"/>
        <v>26.110303333333334</v>
      </c>
      <c r="F172">
        <f t="shared" si="21"/>
        <v>26.036098333333335</v>
      </c>
      <c r="G172">
        <f t="shared" si="23"/>
        <v>25.961893333333336</v>
      </c>
      <c r="H172">
        <f t="shared" si="23"/>
        <v>25.887688333333337</v>
      </c>
      <c r="I172">
        <f t="shared" si="23"/>
        <v>25.813483333333334</v>
      </c>
      <c r="J172">
        <f t="shared" si="23"/>
        <v>25.739278333333335</v>
      </c>
      <c r="K172">
        <f t="shared" si="23"/>
        <v>25.665073333333336</v>
      </c>
      <c r="L172">
        <f t="shared" si="23"/>
        <v>25.590868333333336</v>
      </c>
      <c r="M172">
        <f t="shared" si="23"/>
        <v>25.516663333333334</v>
      </c>
      <c r="N172">
        <f t="shared" si="23"/>
        <v>25.442458333333335</v>
      </c>
      <c r="O172">
        <f t="shared" si="23"/>
        <v>25.368253333333335</v>
      </c>
      <c r="P172">
        <f t="shared" si="23"/>
        <v>25.294048333333336</v>
      </c>
      <c r="Q172">
        <f t="shared" si="23"/>
        <v>25.219843333333337</v>
      </c>
      <c r="R172">
        <f t="shared" si="23"/>
        <v>25.145638333333334</v>
      </c>
      <c r="S172">
        <f t="shared" si="23"/>
        <v>25.071433333333335</v>
      </c>
      <c r="T172">
        <f t="shared" si="23"/>
        <v>24.997228333333336</v>
      </c>
      <c r="U172">
        <f t="shared" si="24"/>
        <v>24.923023333333333</v>
      </c>
      <c r="V172">
        <f t="shared" si="24"/>
        <v>24.848818333333334</v>
      </c>
      <c r="W172">
        <f t="shared" si="24"/>
        <v>24.774613333333335</v>
      </c>
      <c r="X172">
        <f t="shared" si="24"/>
        <v>24.700408333333336</v>
      </c>
      <c r="Y172">
        <f t="shared" si="24"/>
        <v>24.626203333333336</v>
      </c>
      <c r="Z172">
        <f t="shared" si="24"/>
        <v>24.551998333333334</v>
      </c>
      <c r="AA172">
        <f t="shared" si="24"/>
        <v>24.477793333333334</v>
      </c>
      <c r="AB172">
        <f t="shared" si="24"/>
        <v>24.403588333333335</v>
      </c>
      <c r="AC172">
        <f t="shared" si="24"/>
        <v>24.329383333333332</v>
      </c>
      <c r="AD172">
        <f t="shared" si="22"/>
        <v>22.993693333333336</v>
      </c>
    </row>
    <row r="173" spans="2:30" x14ac:dyDescent="0.2">
      <c r="B173" s="7">
        <v>44742</v>
      </c>
      <c r="C173" s="8">
        <v>21.777777777777782</v>
      </c>
      <c r="D173">
        <f t="shared" si="18"/>
        <v>25.053952777777781</v>
      </c>
      <c r="E173">
        <f t="shared" si="21"/>
        <v>24.979747777777781</v>
      </c>
      <c r="F173">
        <f t="shared" si="21"/>
        <v>24.905542777777782</v>
      </c>
      <c r="G173">
        <f t="shared" si="23"/>
        <v>24.831337777777783</v>
      </c>
      <c r="H173">
        <f t="shared" si="23"/>
        <v>24.757132777777784</v>
      </c>
      <c r="I173">
        <f t="shared" si="23"/>
        <v>24.682927777777781</v>
      </c>
      <c r="J173">
        <f t="shared" si="23"/>
        <v>24.608722777777782</v>
      </c>
      <c r="K173">
        <f t="shared" si="23"/>
        <v>24.534517777777783</v>
      </c>
      <c r="L173">
        <f t="shared" si="23"/>
        <v>24.460312777777784</v>
      </c>
      <c r="M173">
        <f t="shared" si="23"/>
        <v>24.386107777777781</v>
      </c>
      <c r="N173">
        <f t="shared" si="23"/>
        <v>24.311902777777782</v>
      </c>
      <c r="O173">
        <f t="shared" si="23"/>
        <v>24.237697777777782</v>
      </c>
      <c r="P173">
        <f t="shared" si="23"/>
        <v>24.163492777777783</v>
      </c>
      <c r="Q173">
        <f t="shared" si="23"/>
        <v>24.089287777777784</v>
      </c>
      <c r="R173">
        <f t="shared" si="23"/>
        <v>24.015082777777781</v>
      </c>
      <c r="S173">
        <f t="shared" si="23"/>
        <v>23.940877777777782</v>
      </c>
      <c r="T173">
        <f t="shared" si="23"/>
        <v>23.866672777777783</v>
      </c>
      <c r="U173">
        <f t="shared" si="24"/>
        <v>23.79246777777778</v>
      </c>
      <c r="V173">
        <f t="shared" si="24"/>
        <v>23.718262777777781</v>
      </c>
      <c r="W173">
        <f t="shared" si="24"/>
        <v>23.644057777777782</v>
      </c>
      <c r="X173">
        <f t="shared" si="24"/>
        <v>23.569852777777783</v>
      </c>
      <c r="Y173">
        <f t="shared" si="24"/>
        <v>23.495647777777783</v>
      </c>
      <c r="Z173">
        <f t="shared" si="24"/>
        <v>23.421442777777781</v>
      </c>
      <c r="AA173">
        <f t="shared" si="24"/>
        <v>23.347237777777782</v>
      </c>
      <c r="AB173">
        <f t="shared" si="24"/>
        <v>23.273032777777782</v>
      </c>
      <c r="AC173">
        <f t="shared" si="24"/>
        <v>23.19882777777778</v>
      </c>
      <c r="AD173">
        <f t="shared" si="22"/>
        <v>21.863137777777784</v>
      </c>
    </row>
    <row r="174" spans="2:30" x14ac:dyDescent="0.2">
      <c r="B174" s="7">
        <v>44743</v>
      </c>
      <c r="C174" s="8">
        <v>19.943055555555546</v>
      </c>
      <c r="D174">
        <f t="shared" si="18"/>
        <v>23.219230555555548</v>
      </c>
      <c r="E174">
        <f t="shared" si="21"/>
        <v>23.145025555555545</v>
      </c>
      <c r="F174">
        <f t="shared" si="21"/>
        <v>23.070820555555546</v>
      </c>
      <c r="G174">
        <f t="shared" si="23"/>
        <v>22.996615555555547</v>
      </c>
      <c r="H174">
        <f t="shared" si="23"/>
        <v>22.922410555555548</v>
      </c>
      <c r="I174">
        <f t="shared" si="23"/>
        <v>22.848205555555545</v>
      </c>
      <c r="J174">
        <f t="shared" si="23"/>
        <v>22.774000555555546</v>
      </c>
      <c r="K174">
        <f t="shared" si="23"/>
        <v>22.699795555555546</v>
      </c>
      <c r="L174">
        <f t="shared" si="23"/>
        <v>22.625590555555547</v>
      </c>
      <c r="M174">
        <f t="shared" si="23"/>
        <v>22.551385555555544</v>
      </c>
      <c r="N174">
        <f t="shared" si="23"/>
        <v>22.477180555555545</v>
      </c>
      <c r="O174">
        <f t="shared" si="23"/>
        <v>22.402975555555546</v>
      </c>
      <c r="P174">
        <f t="shared" si="23"/>
        <v>22.328770555555547</v>
      </c>
      <c r="Q174">
        <f t="shared" si="23"/>
        <v>22.254565555555544</v>
      </c>
      <c r="R174">
        <f t="shared" si="23"/>
        <v>22.180360555555545</v>
      </c>
      <c r="S174">
        <f t="shared" si="23"/>
        <v>22.106155555555546</v>
      </c>
      <c r="T174">
        <f t="shared" si="23"/>
        <v>22.031950555555547</v>
      </c>
      <c r="U174">
        <f t="shared" si="24"/>
        <v>21.957745555555547</v>
      </c>
      <c r="V174">
        <f t="shared" si="24"/>
        <v>21.883540555555545</v>
      </c>
      <c r="W174">
        <f t="shared" si="24"/>
        <v>21.809335555555545</v>
      </c>
      <c r="X174">
        <f t="shared" si="24"/>
        <v>21.735130555555546</v>
      </c>
      <c r="Y174">
        <f t="shared" si="24"/>
        <v>21.660925555555544</v>
      </c>
      <c r="Z174">
        <f t="shared" si="24"/>
        <v>21.586720555555544</v>
      </c>
      <c r="AA174">
        <f t="shared" si="24"/>
        <v>21.512515555555545</v>
      </c>
      <c r="AB174">
        <f t="shared" si="24"/>
        <v>21.438310555555546</v>
      </c>
      <c r="AC174">
        <f t="shared" si="24"/>
        <v>21.364105555555547</v>
      </c>
      <c r="AD174">
        <f t="shared" si="22"/>
        <v>20.028415555555547</v>
      </c>
    </row>
    <row r="175" spans="2:30" x14ac:dyDescent="0.2">
      <c r="B175" s="7">
        <v>44744</v>
      </c>
      <c r="C175" s="8">
        <v>20.959027777777777</v>
      </c>
      <c r="D175">
        <f t="shared" si="18"/>
        <v>24.235202777777779</v>
      </c>
      <c r="E175">
        <f t="shared" si="21"/>
        <v>24.160997777777776</v>
      </c>
      <c r="F175">
        <f t="shared" si="21"/>
        <v>24.086792777777777</v>
      </c>
      <c r="G175">
        <f t="shared" si="23"/>
        <v>24.012587777777778</v>
      </c>
      <c r="H175">
        <f t="shared" si="23"/>
        <v>23.938382777777779</v>
      </c>
      <c r="I175">
        <f t="shared" si="23"/>
        <v>23.864177777777776</v>
      </c>
      <c r="J175">
        <f t="shared" si="23"/>
        <v>23.789972777777777</v>
      </c>
      <c r="K175">
        <f t="shared" si="23"/>
        <v>23.715767777777778</v>
      </c>
      <c r="L175">
        <f t="shared" si="23"/>
        <v>23.641562777777779</v>
      </c>
      <c r="M175">
        <f t="shared" si="23"/>
        <v>23.567357777777776</v>
      </c>
      <c r="N175">
        <f t="shared" ref="G175:T193" si="25">(-1.4841*N$3+3.6472)+$C175</f>
        <v>23.493152777777777</v>
      </c>
      <c r="O175">
        <f t="shared" si="25"/>
        <v>23.418947777777777</v>
      </c>
      <c r="P175">
        <f t="shared" si="25"/>
        <v>23.344742777777778</v>
      </c>
      <c r="Q175">
        <f t="shared" si="25"/>
        <v>23.270537777777776</v>
      </c>
      <c r="R175">
        <f t="shared" si="25"/>
        <v>23.196332777777776</v>
      </c>
      <c r="S175">
        <f t="shared" si="25"/>
        <v>23.122127777777777</v>
      </c>
      <c r="T175">
        <f t="shared" si="25"/>
        <v>23.047922777777778</v>
      </c>
      <c r="U175">
        <f t="shared" si="24"/>
        <v>22.973717777777779</v>
      </c>
      <c r="V175">
        <f t="shared" si="24"/>
        <v>22.899512777777776</v>
      </c>
      <c r="W175">
        <f t="shared" si="24"/>
        <v>22.825307777777777</v>
      </c>
      <c r="X175">
        <f t="shared" si="24"/>
        <v>22.751102777777778</v>
      </c>
      <c r="Y175">
        <f t="shared" si="24"/>
        <v>22.676897777777775</v>
      </c>
      <c r="Z175">
        <f t="shared" si="24"/>
        <v>22.602692777777776</v>
      </c>
      <c r="AA175">
        <f t="shared" si="24"/>
        <v>22.528487777777777</v>
      </c>
      <c r="AB175">
        <f t="shared" si="24"/>
        <v>22.454282777777777</v>
      </c>
      <c r="AC175">
        <f t="shared" si="24"/>
        <v>22.380077777777778</v>
      </c>
      <c r="AD175">
        <f t="shared" si="22"/>
        <v>21.044387777777779</v>
      </c>
    </row>
    <row r="176" spans="2:30" x14ac:dyDescent="0.2">
      <c r="B176" s="7">
        <v>44745</v>
      </c>
      <c r="C176" s="8">
        <v>21.762500000000006</v>
      </c>
      <c r="D176">
        <f t="shared" si="18"/>
        <v>25.038675000000005</v>
      </c>
      <c r="E176">
        <f t="shared" si="21"/>
        <v>24.964470000000006</v>
      </c>
      <c r="F176">
        <f t="shared" si="21"/>
        <v>24.890265000000007</v>
      </c>
      <c r="G176">
        <f t="shared" si="25"/>
        <v>24.816060000000007</v>
      </c>
      <c r="H176">
        <f t="shared" si="25"/>
        <v>24.741855000000008</v>
      </c>
      <c r="I176">
        <f t="shared" si="25"/>
        <v>24.667650000000005</v>
      </c>
      <c r="J176">
        <f t="shared" si="25"/>
        <v>24.593445000000006</v>
      </c>
      <c r="K176">
        <f t="shared" si="25"/>
        <v>24.519240000000007</v>
      </c>
      <c r="L176">
        <f t="shared" si="25"/>
        <v>24.445035000000008</v>
      </c>
      <c r="M176">
        <f t="shared" si="25"/>
        <v>24.370830000000005</v>
      </c>
      <c r="N176">
        <f t="shared" si="25"/>
        <v>24.296625000000006</v>
      </c>
      <c r="O176">
        <f t="shared" si="25"/>
        <v>24.222420000000007</v>
      </c>
      <c r="P176">
        <f t="shared" si="25"/>
        <v>24.148215000000008</v>
      </c>
      <c r="Q176">
        <f t="shared" si="25"/>
        <v>24.074010000000008</v>
      </c>
      <c r="R176">
        <f t="shared" si="25"/>
        <v>23.999805000000006</v>
      </c>
      <c r="S176">
        <f t="shared" si="25"/>
        <v>23.925600000000006</v>
      </c>
      <c r="T176">
        <f t="shared" si="25"/>
        <v>23.851395000000007</v>
      </c>
      <c r="U176">
        <f t="shared" si="24"/>
        <v>23.777190000000004</v>
      </c>
      <c r="V176">
        <f t="shared" si="24"/>
        <v>23.702985000000005</v>
      </c>
      <c r="W176">
        <f t="shared" si="24"/>
        <v>23.628780000000006</v>
      </c>
      <c r="X176">
        <f t="shared" si="24"/>
        <v>23.554575000000007</v>
      </c>
      <c r="Y176">
        <f t="shared" si="24"/>
        <v>23.480370000000008</v>
      </c>
      <c r="Z176">
        <f t="shared" si="24"/>
        <v>23.406165000000005</v>
      </c>
      <c r="AA176">
        <f t="shared" si="24"/>
        <v>23.331960000000006</v>
      </c>
      <c r="AB176">
        <f t="shared" si="24"/>
        <v>23.257755000000007</v>
      </c>
      <c r="AC176">
        <f t="shared" si="24"/>
        <v>23.183550000000004</v>
      </c>
      <c r="AD176">
        <f t="shared" si="22"/>
        <v>21.847860000000008</v>
      </c>
    </row>
    <row r="177" spans="2:30" x14ac:dyDescent="0.2">
      <c r="B177" s="7">
        <v>44746</v>
      </c>
      <c r="C177" s="8">
        <v>22.02847222222222</v>
      </c>
      <c r="D177">
        <f t="shared" si="18"/>
        <v>25.304647222222222</v>
      </c>
      <c r="E177">
        <f t="shared" si="21"/>
        <v>25.230442222222219</v>
      </c>
      <c r="F177">
        <f t="shared" si="21"/>
        <v>25.15623722222222</v>
      </c>
      <c r="G177">
        <f t="shared" si="25"/>
        <v>25.082032222222221</v>
      </c>
      <c r="H177">
        <f t="shared" si="25"/>
        <v>25.007827222222222</v>
      </c>
      <c r="I177">
        <f t="shared" si="25"/>
        <v>24.933622222222219</v>
      </c>
      <c r="J177">
        <f t="shared" si="25"/>
        <v>24.85941722222222</v>
      </c>
      <c r="K177">
        <f t="shared" si="25"/>
        <v>24.785212222222221</v>
      </c>
      <c r="L177">
        <f t="shared" si="25"/>
        <v>24.711007222222221</v>
      </c>
      <c r="M177">
        <f t="shared" si="25"/>
        <v>24.636802222222219</v>
      </c>
      <c r="N177">
        <f t="shared" si="25"/>
        <v>24.56259722222222</v>
      </c>
      <c r="O177">
        <f t="shared" si="25"/>
        <v>24.48839222222222</v>
      </c>
      <c r="P177">
        <f t="shared" si="25"/>
        <v>24.414187222222221</v>
      </c>
      <c r="Q177">
        <f t="shared" si="25"/>
        <v>24.339982222222218</v>
      </c>
      <c r="R177">
        <f t="shared" si="25"/>
        <v>24.265777222222219</v>
      </c>
      <c r="S177">
        <f t="shared" si="25"/>
        <v>24.19157222222222</v>
      </c>
      <c r="T177">
        <f t="shared" si="25"/>
        <v>24.117367222222221</v>
      </c>
      <c r="U177">
        <f t="shared" si="24"/>
        <v>24.043162222222222</v>
      </c>
      <c r="V177">
        <f t="shared" si="24"/>
        <v>23.968957222222219</v>
      </c>
      <c r="W177">
        <f t="shared" si="24"/>
        <v>23.89475222222222</v>
      </c>
      <c r="X177">
        <f t="shared" si="24"/>
        <v>23.820547222222221</v>
      </c>
      <c r="Y177">
        <f t="shared" si="24"/>
        <v>23.746342222222218</v>
      </c>
      <c r="Z177">
        <f t="shared" si="24"/>
        <v>23.672137222222219</v>
      </c>
      <c r="AA177">
        <f t="shared" si="24"/>
        <v>23.597932222222219</v>
      </c>
      <c r="AB177">
        <f t="shared" si="24"/>
        <v>23.52372722222222</v>
      </c>
      <c r="AC177">
        <f t="shared" si="24"/>
        <v>23.449522222222221</v>
      </c>
      <c r="AD177">
        <f t="shared" si="22"/>
        <v>22.113832222222221</v>
      </c>
    </row>
    <row r="178" spans="2:30" x14ac:dyDescent="0.2">
      <c r="B178" s="7">
        <v>44747</v>
      </c>
      <c r="C178" s="8">
        <v>21.854861111111109</v>
      </c>
      <c r="D178">
        <f t="shared" si="18"/>
        <v>25.131036111111108</v>
      </c>
      <c r="E178">
        <f t="shared" si="21"/>
        <v>25.056831111111109</v>
      </c>
      <c r="F178">
        <f t="shared" si="21"/>
        <v>24.982626111111109</v>
      </c>
      <c r="G178">
        <f t="shared" si="25"/>
        <v>24.90842111111111</v>
      </c>
      <c r="H178">
        <f t="shared" si="25"/>
        <v>24.834216111111111</v>
      </c>
      <c r="I178">
        <f t="shared" si="25"/>
        <v>24.760011111111108</v>
      </c>
      <c r="J178">
        <f t="shared" si="25"/>
        <v>24.685806111111109</v>
      </c>
      <c r="K178">
        <f t="shared" si="25"/>
        <v>24.61160111111111</v>
      </c>
      <c r="L178">
        <f t="shared" si="25"/>
        <v>24.537396111111111</v>
      </c>
      <c r="M178">
        <f t="shared" si="25"/>
        <v>24.463191111111108</v>
      </c>
      <c r="N178">
        <f t="shared" si="25"/>
        <v>24.388986111111109</v>
      </c>
      <c r="O178">
        <f t="shared" si="25"/>
        <v>24.31478111111111</v>
      </c>
      <c r="P178">
        <f t="shared" si="25"/>
        <v>24.24057611111111</v>
      </c>
      <c r="Q178">
        <f t="shared" si="25"/>
        <v>24.166371111111111</v>
      </c>
      <c r="R178">
        <f t="shared" si="25"/>
        <v>24.092166111111109</v>
      </c>
      <c r="S178">
        <f t="shared" si="25"/>
        <v>24.017961111111109</v>
      </c>
      <c r="T178">
        <f t="shared" si="25"/>
        <v>23.94375611111111</v>
      </c>
      <c r="U178">
        <f t="shared" si="24"/>
        <v>23.869551111111107</v>
      </c>
      <c r="V178">
        <f t="shared" si="24"/>
        <v>23.795346111111108</v>
      </c>
      <c r="W178">
        <f t="shared" si="24"/>
        <v>23.721141111111109</v>
      </c>
      <c r="X178">
        <f t="shared" si="24"/>
        <v>23.64693611111111</v>
      </c>
      <c r="Y178">
        <f t="shared" si="24"/>
        <v>23.572731111111111</v>
      </c>
      <c r="Z178">
        <f t="shared" si="24"/>
        <v>23.498526111111108</v>
      </c>
      <c r="AA178">
        <f t="shared" si="24"/>
        <v>23.424321111111109</v>
      </c>
      <c r="AB178">
        <f t="shared" si="24"/>
        <v>23.35011611111111</v>
      </c>
      <c r="AC178">
        <f t="shared" si="24"/>
        <v>23.275911111111107</v>
      </c>
      <c r="AD178">
        <f t="shared" si="22"/>
        <v>21.940221111111111</v>
      </c>
    </row>
    <row r="179" spans="2:30" x14ac:dyDescent="0.2">
      <c r="B179" s="7">
        <v>44748</v>
      </c>
      <c r="C179" s="8">
        <v>20.296527777777769</v>
      </c>
      <c r="D179">
        <f t="shared" si="18"/>
        <v>23.572702777777771</v>
      </c>
      <c r="E179">
        <f t="shared" si="21"/>
        <v>23.498497777777768</v>
      </c>
      <c r="F179">
        <f t="shared" si="21"/>
        <v>23.424292777777769</v>
      </c>
      <c r="G179">
        <f t="shared" si="25"/>
        <v>23.35008777777777</v>
      </c>
      <c r="H179">
        <f t="shared" si="25"/>
        <v>23.27588277777777</v>
      </c>
      <c r="I179">
        <f t="shared" si="25"/>
        <v>23.201677777777768</v>
      </c>
      <c r="J179">
        <f t="shared" si="25"/>
        <v>23.127472777777768</v>
      </c>
      <c r="K179">
        <f t="shared" si="25"/>
        <v>23.053267777777769</v>
      </c>
      <c r="L179">
        <f t="shared" si="25"/>
        <v>22.97906277777777</v>
      </c>
      <c r="M179">
        <f t="shared" si="25"/>
        <v>22.904857777777767</v>
      </c>
      <c r="N179">
        <f t="shared" si="25"/>
        <v>22.830652777777768</v>
      </c>
      <c r="O179">
        <f t="shared" si="25"/>
        <v>22.756447777777769</v>
      </c>
      <c r="P179">
        <f t="shared" si="25"/>
        <v>22.68224277777777</v>
      </c>
      <c r="Q179">
        <f t="shared" si="25"/>
        <v>22.608037777777767</v>
      </c>
      <c r="R179">
        <f t="shared" si="25"/>
        <v>22.533832777777768</v>
      </c>
      <c r="S179">
        <f t="shared" si="25"/>
        <v>22.459627777777769</v>
      </c>
      <c r="T179">
        <f t="shared" si="25"/>
        <v>22.385422777777769</v>
      </c>
      <c r="U179">
        <f t="shared" si="24"/>
        <v>22.31121777777777</v>
      </c>
      <c r="V179">
        <f t="shared" si="24"/>
        <v>22.237012777777768</v>
      </c>
      <c r="W179">
        <f t="shared" si="24"/>
        <v>22.162807777777768</v>
      </c>
      <c r="X179">
        <f t="shared" si="24"/>
        <v>22.088602777777769</v>
      </c>
      <c r="Y179">
        <f t="shared" si="24"/>
        <v>22.014397777777766</v>
      </c>
      <c r="Z179">
        <f t="shared" si="24"/>
        <v>21.940192777777767</v>
      </c>
      <c r="AA179">
        <f t="shared" si="24"/>
        <v>21.865987777777768</v>
      </c>
      <c r="AB179">
        <f t="shared" si="24"/>
        <v>21.791782777777769</v>
      </c>
      <c r="AC179">
        <f t="shared" si="24"/>
        <v>21.71757777777777</v>
      </c>
      <c r="AD179">
        <f t="shared" si="22"/>
        <v>20.38188777777777</v>
      </c>
    </row>
    <row r="180" spans="2:30" x14ac:dyDescent="0.2">
      <c r="B180" s="7">
        <v>44749</v>
      </c>
      <c r="C180" s="8">
        <v>18.645138888888891</v>
      </c>
      <c r="D180">
        <f t="shared" si="18"/>
        <v>21.921313888888889</v>
      </c>
      <c r="E180">
        <f t="shared" si="21"/>
        <v>21.84710888888889</v>
      </c>
      <c r="F180">
        <f t="shared" si="21"/>
        <v>21.772903888888891</v>
      </c>
      <c r="G180">
        <f t="shared" si="25"/>
        <v>21.698698888888892</v>
      </c>
      <c r="H180">
        <f t="shared" si="25"/>
        <v>21.624493888888892</v>
      </c>
      <c r="I180">
        <f t="shared" si="25"/>
        <v>21.55028888888889</v>
      </c>
      <c r="J180">
        <f t="shared" si="25"/>
        <v>21.476083888888891</v>
      </c>
      <c r="K180">
        <f t="shared" si="25"/>
        <v>21.401878888888891</v>
      </c>
      <c r="L180">
        <f t="shared" si="25"/>
        <v>21.327673888888892</v>
      </c>
      <c r="M180">
        <f t="shared" si="25"/>
        <v>21.253468888888889</v>
      </c>
      <c r="N180">
        <f t="shared" si="25"/>
        <v>21.17926388888889</v>
      </c>
      <c r="O180">
        <f t="shared" si="25"/>
        <v>21.105058888888891</v>
      </c>
      <c r="P180">
        <f t="shared" si="25"/>
        <v>21.030853888888892</v>
      </c>
      <c r="Q180">
        <f t="shared" si="25"/>
        <v>20.956648888888893</v>
      </c>
      <c r="R180">
        <f t="shared" si="25"/>
        <v>20.88244388888889</v>
      </c>
      <c r="S180">
        <f t="shared" si="25"/>
        <v>20.808238888888891</v>
      </c>
      <c r="T180">
        <f t="shared" si="25"/>
        <v>20.734033888888892</v>
      </c>
      <c r="U180">
        <f t="shared" si="24"/>
        <v>20.659828888888889</v>
      </c>
      <c r="V180">
        <f t="shared" si="24"/>
        <v>20.58562388888889</v>
      </c>
      <c r="W180">
        <f t="shared" si="24"/>
        <v>20.51141888888889</v>
      </c>
      <c r="X180">
        <f t="shared" si="24"/>
        <v>20.437213888888891</v>
      </c>
      <c r="Y180">
        <f t="shared" si="24"/>
        <v>20.363008888888892</v>
      </c>
      <c r="Z180">
        <f t="shared" si="24"/>
        <v>20.288803888888889</v>
      </c>
      <c r="AA180">
        <f t="shared" si="24"/>
        <v>20.21459888888889</v>
      </c>
      <c r="AB180">
        <f t="shared" si="24"/>
        <v>20.140393888888891</v>
      </c>
      <c r="AC180">
        <f t="shared" si="24"/>
        <v>20.066188888888888</v>
      </c>
      <c r="AD180">
        <f t="shared" si="22"/>
        <v>18.730498888888892</v>
      </c>
    </row>
    <row r="181" spans="2:30" x14ac:dyDescent="0.2">
      <c r="B181" s="7">
        <v>44750</v>
      </c>
      <c r="C181" s="8">
        <v>20.25138888888889</v>
      </c>
      <c r="D181">
        <f t="shared" si="18"/>
        <v>23.527563888888892</v>
      </c>
      <c r="E181">
        <f t="shared" si="21"/>
        <v>23.453358888888889</v>
      </c>
      <c r="F181">
        <f t="shared" si="21"/>
        <v>23.37915388888889</v>
      </c>
      <c r="G181">
        <f t="shared" si="25"/>
        <v>23.304948888888891</v>
      </c>
      <c r="H181">
        <f t="shared" si="25"/>
        <v>23.230743888888892</v>
      </c>
      <c r="I181">
        <f t="shared" si="25"/>
        <v>23.156538888888889</v>
      </c>
      <c r="J181">
        <f t="shared" si="25"/>
        <v>23.08233388888889</v>
      </c>
      <c r="K181">
        <f t="shared" si="25"/>
        <v>23.008128888888891</v>
      </c>
      <c r="L181">
        <f t="shared" si="25"/>
        <v>22.933923888888891</v>
      </c>
      <c r="M181">
        <f t="shared" si="25"/>
        <v>22.859718888888889</v>
      </c>
      <c r="N181">
        <f t="shared" si="25"/>
        <v>22.78551388888889</v>
      </c>
      <c r="O181">
        <f t="shared" si="25"/>
        <v>22.71130888888889</v>
      </c>
      <c r="P181">
        <f t="shared" si="25"/>
        <v>22.637103888888891</v>
      </c>
      <c r="Q181">
        <f t="shared" si="25"/>
        <v>22.562898888888888</v>
      </c>
      <c r="R181">
        <f t="shared" si="25"/>
        <v>22.488693888888889</v>
      </c>
      <c r="S181">
        <f t="shared" si="25"/>
        <v>22.41448888888889</v>
      </c>
      <c r="T181">
        <f t="shared" si="25"/>
        <v>22.340283888888891</v>
      </c>
      <c r="U181">
        <f t="shared" si="24"/>
        <v>22.266078888888892</v>
      </c>
      <c r="V181">
        <f t="shared" si="24"/>
        <v>22.191873888888889</v>
      </c>
      <c r="W181">
        <f t="shared" si="24"/>
        <v>22.11766888888889</v>
      </c>
      <c r="X181">
        <f t="shared" si="24"/>
        <v>22.043463888888891</v>
      </c>
      <c r="Y181">
        <f t="shared" si="24"/>
        <v>21.969258888888888</v>
      </c>
      <c r="Z181">
        <f t="shared" si="24"/>
        <v>21.895053888888889</v>
      </c>
      <c r="AA181">
        <f t="shared" si="24"/>
        <v>21.820848888888889</v>
      </c>
      <c r="AB181">
        <f t="shared" si="24"/>
        <v>21.74664388888889</v>
      </c>
      <c r="AC181">
        <f t="shared" si="24"/>
        <v>21.672438888888891</v>
      </c>
      <c r="AD181">
        <f t="shared" si="22"/>
        <v>20.336748888888891</v>
      </c>
    </row>
    <row r="182" spans="2:30" x14ac:dyDescent="0.2">
      <c r="B182" s="7">
        <v>44751</v>
      </c>
      <c r="C182" s="8">
        <v>21.553472222222226</v>
      </c>
      <c r="D182">
        <f t="shared" si="18"/>
        <v>24.829647222222228</v>
      </c>
      <c r="E182">
        <f t="shared" si="21"/>
        <v>24.755442222222225</v>
      </c>
      <c r="F182">
        <f t="shared" si="21"/>
        <v>24.681237222222226</v>
      </c>
      <c r="G182">
        <f t="shared" si="25"/>
        <v>24.607032222222227</v>
      </c>
      <c r="H182">
        <f t="shared" si="25"/>
        <v>24.532827222222227</v>
      </c>
      <c r="I182">
        <f t="shared" si="25"/>
        <v>24.458622222222225</v>
      </c>
      <c r="J182">
        <f t="shared" si="25"/>
        <v>24.384417222222226</v>
      </c>
      <c r="K182">
        <f t="shared" si="25"/>
        <v>24.310212222222226</v>
      </c>
      <c r="L182">
        <f t="shared" si="25"/>
        <v>24.236007222222227</v>
      </c>
      <c r="M182">
        <f t="shared" si="25"/>
        <v>24.161802222222224</v>
      </c>
      <c r="N182">
        <f t="shared" si="25"/>
        <v>24.087597222222225</v>
      </c>
      <c r="O182">
        <f t="shared" si="25"/>
        <v>24.013392222222226</v>
      </c>
      <c r="P182">
        <f t="shared" si="25"/>
        <v>23.939187222222227</v>
      </c>
      <c r="Q182">
        <f t="shared" si="25"/>
        <v>23.864982222222224</v>
      </c>
      <c r="R182">
        <f t="shared" si="25"/>
        <v>23.790777222222225</v>
      </c>
      <c r="S182">
        <f t="shared" si="25"/>
        <v>23.716572222222226</v>
      </c>
      <c r="T182">
        <f t="shared" si="25"/>
        <v>23.642367222222227</v>
      </c>
      <c r="U182">
        <f t="shared" si="24"/>
        <v>23.568162222222227</v>
      </c>
      <c r="V182">
        <f t="shared" si="24"/>
        <v>23.493957222222225</v>
      </c>
      <c r="W182">
        <f t="shared" si="24"/>
        <v>23.419752222222225</v>
      </c>
      <c r="X182">
        <f t="shared" si="24"/>
        <v>23.345547222222226</v>
      </c>
      <c r="Y182">
        <f t="shared" si="24"/>
        <v>23.271342222222223</v>
      </c>
      <c r="Z182">
        <f t="shared" si="24"/>
        <v>23.197137222222224</v>
      </c>
      <c r="AA182">
        <f t="shared" si="24"/>
        <v>23.122932222222225</v>
      </c>
      <c r="AB182">
        <f t="shared" si="24"/>
        <v>23.048727222222226</v>
      </c>
      <c r="AC182">
        <f t="shared" si="24"/>
        <v>22.974522222222227</v>
      </c>
      <c r="AD182">
        <f t="shared" si="22"/>
        <v>21.638832222222227</v>
      </c>
    </row>
    <row r="183" spans="2:30" x14ac:dyDescent="0.2">
      <c r="B183" s="7">
        <v>44752</v>
      </c>
      <c r="C183" s="8">
        <v>20.055555555555557</v>
      </c>
      <c r="D183">
        <f t="shared" si="18"/>
        <v>23.331730555555559</v>
      </c>
      <c r="E183">
        <f t="shared" si="21"/>
        <v>23.257525555555556</v>
      </c>
      <c r="F183">
        <f t="shared" si="21"/>
        <v>23.183320555555557</v>
      </c>
      <c r="G183">
        <f t="shared" si="25"/>
        <v>23.109115555555558</v>
      </c>
      <c r="H183">
        <f t="shared" si="25"/>
        <v>23.034910555555559</v>
      </c>
      <c r="I183">
        <f t="shared" si="25"/>
        <v>22.960705555555556</v>
      </c>
      <c r="J183">
        <f t="shared" si="25"/>
        <v>22.886500555555557</v>
      </c>
      <c r="K183">
        <f t="shared" si="25"/>
        <v>22.812295555555558</v>
      </c>
      <c r="L183">
        <f t="shared" si="25"/>
        <v>22.738090555555559</v>
      </c>
      <c r="M183">
        <f t="shared" si="25"/>
        <v>22.663885555555556</v>
      </c>
      <c r="N183">
        <f t="shared" si="25"/>
        <v>22.589680555555557</v>
      </c>
      <c r="O183">
        <f t="shared" si="25"/>
        <v>22.515475555555557</v>
      </c>
      <c r="P183">
        <f t="shared" si="25"/>
        <v>22.441270555555558</v>
      </c>
      <c r="Q183">
        <f t="shared" si="25"/>
        <v>22.367065555555556</v>
      </c>
      <c r="R183">
        <f t="shared" si="25"/>
        <v>22.292860555555556</v>
      </c>
      <c r="S183">
        <f t="shared" si="25"/>
        <v>22.218655555555557</v>
      </c>
      <c r="T183">
        <f t="shared" si="25"/>
        <v>22.144450555555558</v>
      </c>
      <c r="U183">
        <f t="shared" si="24"/>
        <v>22.070245555555559</v>
      </c>
      <c r="V183">
        <f t="shared" si="24"/>
        <v>21.996040555555556</v>
      </c>
      <c r="W183">
        <f t="shared" si="24"/>
        <v>21.921835555555557</v>
      </c>
      <c r="X183">
        <f t="shared" si="24"/>
        <v>21.847630555555558</v>
      </c>
      <c r="Y183">
        <f t="shared" si="24"/>
        <v>21.773425555555555</v>
      </c>
      <c r="Z183">
        <f t="shared" si="24"/>
        <v>21.699220555555556</v>
      </c>
      <c r="AA183">
        <f t="shared" si="24"/>
        <v>21.625015555555557</v>
      </c>
      <c r="AB183">
        <f t="shared" si="24"/>
        <v>21.550810555555557</v>
      </c>
      <c r="AC183">
        <f t="shared" si="24"/>
        <v>21.476605555555558</v>
      </c>
      <c r="AD183">
        <f t="shared" si="22"/>
        <v>20.140915555555559</v>
      </c>
    </row>
    <row r="184" spans="2:30" x14ac:dyDescent="0.2">
      <c r="B184" s="7">
        <v>44753</v>
      </c>
      <c r="C184" s="8">
        <v>22.147916666666667</v>
      </c>
      <c r="D184">
        <f t="shared" si="18"/>
        <v>25.424091666666669</v>
      </c>
      <c r="E184">
        <f t="shared" si="21"/>
        <v>25.349886666666666</v>
      </c>
      <c r="F184">
        <f t="shared" si="21"/>
        <v>25.275681666666667</v>
      </c>
      <c r="G184">
        <f t="shared" si="25"/>
        <v>25.201476666666668</v>
      </c>
      <c r="H184">
        <f t="shared" si="25"/>
        <v>25.127271666666669</v>
      </c>
      <c r="I184">
        <f t="shared" si="25"/>
        <v>25.053066666666666</v>
      </c>
      <c r="J184">
        <f t="shared" si="25"/>
        <v>24.978861666666667</v>
      </c>
      <c r="K184">
        <f t="shared" si="25"/>
        <v>24.904656666666668</v>
      </c>
      <c r="L184">
        <f t="shared" si="25"/>
        <v>24.830451666666669</v>
      </c>
      <c r="M184">
        <f t="shared" si="25"/>
        <v>24.756246666666666</v>
      </c>
      <c r="N184">
        <f t="shared" si="25"/>
        <v>24.682041666666667</v>
      </c>
      <c r="O184">
        <f t="shared" si="25"/>
        <v>24.607836666666667</v>
      </c>
      <c r="P184">
        <f t="shared" si="25"/>
        <v>24.533631666666668</v>
      </c>
      <c r="Q184">
        <f t="shared" si="25"/>
        <v>24.459426666666666</v>
      </c>
      <c r="R184">
        <f t="shared" si="25"/>
        <v>24.385221666666666</v>
      </c>
      <c r="S184">
        <f t="shared" si="25"/>
        <v>24.311016666666667</v>
      </c>
      <c r="T184">
        <f t="shared" si="25"/>
        <v>24.236811666666668</v>
      </c>
      <c r="U184">
        <f t="shared" si="24"/>
        <v>24.162606666666669</v>
      </c>
      <c r="V184">
        <f t="shared" si="24"/>
        <v>24.088401666666666</v>
      </c>
      <c r="W184">
        <f t="shared" si="24"/>
        <v>24.014196666666667</v>
      </c>
      <c r="X184">
        <f t="shared" si="24"/>
        <v>23.939991666666668</v>
      </c>
      <c r="Y184">
        <f t="shared" si="24"/>
        <v>23.865786666666665</v>
      </c>
      <c r="Z184">
        <f t="shared" si="24"/>
        <v>23.791581666666666</v>
      </c>
      <c r="AA184">
        <f t="shared" si="24"/>
        <v>23.717376666666667</v>
      </c>
      <c r="AB184">
        <f t="shared" si="24"/>
        <v>23.643171666666667</v>
      </c>
      <c r="AC184">
        <f t="shared" si="24"/>
        <v>23.568966666666668</v>
      </c>
      <c r="AD184">
        <f t="shared" si="22"/>
        <v>22.233276666666669</v>
      </c>
    </row>
    <row r="185" spans="2:30" x14ac:dyDescent="0.2">
      <c r="B185" s="7">
        <v>44754</v>
      </c>
      <c r="C185" s="8">
        <v>23.559027777777786</v>
      </c>
      <c r="D185">
        <f t="shared" si="18"/>
        <v>26.835202777777788</v>
      </c>
      <c r="E185">
        <f t="shared" si="21"/>
        <v>26.760997777777785</v>
      </c>
      <c r="F185">
        <f t="shared" si="21"/>
        <v>26.686792777777786</v>
      </c>
      <c r="G185">
        <f t="shared" si="25"/>
        <v>26.612587777777787</v>
      </c>
      <c r="H185">
        <f t="shared" si="25"/>
        <v>26.538382777777787</v>
      </c>
      <c r="I185">
        <f t="shared" si="25"/>
        <v>26.464177777777785</v>
      </c>
      <c r="J185">
        <f t="shared" si="25"/>
        <v>26.389972777777785</v>
      </c>
      <c r="K185">
        <f t="shared" si="25"/>
        <v>26.315767777777786</v>
      </c>
      <c r="L185">
        <f t="shared" si="25"/>
        <v>26.241562777777787</v>
      </c>
      <c r="M185">
        <f t="shared" si="25"/>
        <v>26.167357777777784</v>
      </c>
      <c r="N185">
        <f t="shared" si="25"/>
        <v>26.093152777777785</v>
      </c>
      <c r="O185">
        <f t="shared" si="25"/>
        <v>26.018947777777786</v>
      </c>
      <c r="P185">
        <f t="shared" si="25"/>
        <v>25.944742777777787</v>
      </c>
      <c r="Q185">
        <f t="shared" si="25"/>
        <v>25.870537777777784</v>
      </c>
      <c r="R185">
        <f t="shared" si="25"/>
        <v>25.796332777777785</v>
      </c>
      <c r="S185">
        <f t="shared" si="25"/>
        <v>25.722127777777786</v>
      </c>
      <c r="T185">
        <f t="shared" si="25"/>
        <v>25.647922777777787</v>
      </c>
      <c r="U185">
        <f t="shared" si="24"/>
        <v>25.573717777777787</v>
      </c>
      <c r="V185">
        <f t="shared" si="24"/>
        <v>25.499512777777785</v>
      </c>
      <c r="W185">
        <f t="shared" si="24"/>
        <v>25.425307777777785</v>
      </c>
      <c r="X185">
        <f t="shared" si="24"/>
        <v>25.351102777777786</v>
      </c>
      <c r="Y185">
        <f t="shared" si="24"/>
        <v>25.276897777777783</v>
      </c>
      <c r="Z185">
        <f t="shared" si="24"/>
        <v>25.202692777777784</v>
      </c>
      <c r="AA185">
        <f t="shared" si="24"/>
        <v>25.128487777777785</v>
      </c>
      <c r="AB185">
        <f t="shared" si="24"/>
        <v>25.054282777777786</v>
      </c>
      <c r="AC185">
        <f t="shared" si="24"/>
        <v>24.980077777777787</v>
      </c>
      <c r="AD185">
        <f t="shared" si="22"/>
        <v>23.644387777777787</v>
      </c>
    </row>
    <row r="186" spans="2:30" x14ac:dyDescent="0.2">
      <c r="B186" s="7">
        <v>44755</v>
      </c>
      <c r="C186" s="8">
        <v>24.41458333333334</v>
      </c>
      <c r="D186">
        <f t="shared" si="18"/>
        <v>27.690758333333342</v>
      </c>
      <c r="E186">
        <f t="shared" si="21"/>
        <v>27.616553333333339</v>
      </c>
      <c r="F186">
        <f t="shared" si="21"/>
        <v>27.54234833333334</v>
      </c>
      <c r="G186">
        <f t="shared" si="25"/>
        <v>27.468143333333341</v>
      </c>
      <c r="H186">
        <f t="shared" si="25"/>
        <v>27.393938333333342</v>
      </c>
      <c r="I186">
        <f t="shared" si="25"/>
        <v>27.319733333333339</v>
      </c>
      <c r="J186">
        <f t="shared" si="25"/>
        <v>27.24552833333334</v>
      </c>
      <c r="K186">
        <f t="shared" si="25"/>
        <v>27.171323333333341</v>
      </c>
      <c r="L186">
        <f t="shared" si="25"/>
        <v>27.097118333333341</v>
      </c>
      <c r="M186">
        <f t="shared" si="25"/>
        <v>27.022913333333339</v>
      </c>
      <c r="N186">
        <f t="shared" si="25"/>
        <v>26.948708333333339</v>
      </c>
      <c r="O186">
        <f t="shared" si="25"/>
        <v>26.87450333333334</v>
      </c>
      <c r="P186">
        <f t="shared" si="25"/>
        <v>26.800298333333341</v>
      </c>
      <c r="Q186">
        <f t="shared" si="25"/>
        <v>26.726093333333338</v>
      </c>
      <c r="R186">
        <f t="shared" si="25"/>
        <v>26.651888333333339</v>
      </c>
      <c r="S186">
        <f t="shared" si="25"/>
        <v>26.57768333333334</v>
      </c>
      <c r="T186">
        <f t="shared" si="25"/>
        <v>26.503478333333341</v>
      </c>
      <c r="U186">
        <f t="shared" si="24"/>
        <v>26.429273333333342</v>
      </c>
      <c r="V186">
        <f t="shared" si="24"/>
        <v>26.355068333333339</v>
      </c>
      <c r="W186">
        <f t="shared" si="24"/>
        <v>26.28086333333334</v>
      </c>
      <c r="X186">
        <f t="shared" si="24"/>
        <v>26.20665833333334</v>
      </c>
      <c r="Y186">
        <f t="shared" si="24"/>
        <v>26.132453333333338</v>
      </c>
      <c r="Z186">
        <f t="shared" si="24"/>
        <v>26.058248333333339</v>
      </c>
      <c r="AA186">
        <f t="shared" si="24"/>
        <v>25.984043333333339</v>
      </c>
      <c r="AB186">
        <f t="shared" si="24"/>
        <v>25.90983833333334</v>
      </c>
      <c r="AC186">
        <f t="shared" si="24"/>
        <v>25.835633333333341</v>
      </c>
      <c r="AD186">
        <f t="shared" si="22"/>
        <v>24.499943333333341</v>
      </c>
    </row>
    <row r="187" spans="2:30" x14ac:dyDescent="0.2">
      <c r="B187" s="7">
        <v>44756</v>
      </c>
      <c r="C187" s="8">
        <v>21.913194444444457</v>
      </c>
      <c r="D187">
        <f t="shared" si="18"/>
        <v>25.189369444444459</v>
      </c>
      <c r="E187">
        <f t="shared" si="21"/>
        <v>25.115164444444456</v>
      </c>
      <c r="F187">
        <f t="shared" si="21"/>
        <v>25.040959444444457</v>
      </c>
      <c r="G187">
        <f t="shared" si="25"/>
        <v>24.966754444444458</v>
      </c>
      <c r="H187">
        <f t="shared" si="25"/>
        <v>24.892549444444459</v>
      </c>
      <c r="I187">
        <f t="shared" si="25"/>
        <v>24.818344444444456</v>
      </c>
      <c r="J187">
        <f t="shared" si="25"/>
        <v>24.744139444444457</v>
      </c>
      <c r="K187">
        <f t="shared" si="25"/>
        <v>24.669934444444458</v>
      </c>
      <c r="L187">
        <f t="shared" si="25"/>
        <v>24.595729444444459</v>
      </c>
      <c r="M187">
        <f t="shared" si="25"/>
        <v>24.521524444444456</v>
      </c>
      <c r="N187">
        <f t="shared" si="25"/>
        <v>24.447319444444457</v>
      </c>
      <c r="O187">
        <f t="shared" si="25"/>
        <v>24.373114444444457</v>
      </c>
      <c r="P187">
        <f t="shared" si="25"/>
        <v>24.298909444444458</v>
      </c>
      <c r="Q187">
        <f t="shared" si="25"/>
        <v>24.224704444444455</v>
      </c>
      <c r="R187">
        <f t="shared" si="25"/>
        <v>24.150499444444456</v>
      </c>
      <c r="S187">
        <f t="shared" si="25"/>
        <v>24.076294444444457</v>
      </c>
      <c r="T187">
        <f t="shared" si="25"/>
        <v>24.002089444444458</v>
      </c>
      <c r="U187">
        <f t="shared" si="24"/>
        <v>23.927884444444459</v>
      </c>
      <c r="V187">
        <f t="shared" si="24"/>
        <v>23.853679444444456</v>
      </c>
      <c r="W187">
        <f t="shared" si="24"/>
        <v>23.779474444444457</v>
      </c>
      <c r="X187">
        <f t="shared" si="24"/>
        <v>23.705269444444458</v>
      </c>
      <c r="Y187">
        <f t="shared" si="24"/>
        <v>23.631064444444455</v>
      </c>
      <c r="Z187">
        <f t="shared" si="24"/>
        <v>23.556859444444456</v>
      </c>
      <c r="AA187">
        <f t="shared" si="24"/>
        <v>23.482654444444456</v>
      </c>
      <c r="AB187">
        <f t="shared" si="24"/>
        <v>23.408449444444457</v>
      </c>
      <c r="AC187">
        <f t="shared" si="24"/>
        <v>23.334244444444458</v>
      </c>
      <c r="AD187">
        <f t="shared" si="22"/>
        <v>21.998554444444459</v>
      </c>
    </row>
    <row r="188" spans="2:30" x14ac:dyDescent="0.2">
      <c r="B188" s="7">
        <v>44757</v>
      </c>
      <c r="C188" s="8">
        <v>21.358333333333334</v>
      </c>
      <c r="D188">
        <f t="shared" si="18"/>
        <v>24.634508333333336</v>
      </c>
      <c r="E188">
        <f t="shared" si="21"/>
        <v>24.560303333333334</v>
      </c>
      <c r="F188">
        <f t="shared" si="21"/>
        <v>24.486098333333334</v>
      </c>
      <c r="G188">
        <f t="shared" si="25"/>
        <v>24.411893333333335</v>
      </c>
      <c r="H188">
        <f t="shared" si="25"/>
        <v>24.337688333333336</v>
      </c>
      <c r="I188">
        <f t="shared" si="25"/>
        <v>24.263483333333333</v>
      </c>
      <c r="J188">
        <f t="shared" si="25"/>
        <v>24.189278333333334</v>
      </c>
      <c r="K188">
        <f t="shared" si="25"/>
        <v>24.115073333333335</v>
      </c>
      <c r="L188">
        <f t="shared" si="25"/>
        <v>24.040868333333336</v>
      </c>
      <c r="M188">
        <f t="shared" si="25"/>
        <v>23.966663333333333</v>
      </c>
      <c r="N188">
        <f t="shared" si="25"/>
        <v>23.892458333333334</v>
      </c>
      <c r="O188">
        <f t="shared" si="25"/>
        <v>23.818253333333335</v>
      </c>
      <c r="P188">
        <f t="shared" si="25"/>
        <v>23.744048333333335</v>
      </c>
      <c r="Q188">
        <f t="shared" si="25"/>
        <v>23.669843333333333</v>
      </c>
      <c r="R188">
        <f t="shared" si="25"/>
        <v>23.595638333333333</v>
      </c>
      <c r="S188">
        <f t="shared" si="25"/>
        <v>23.521433333333334</v>
      </c>
      <c r="T188">
        <f t="shared" si="25"/>
        <v>23.447228333333335</v>
      </c>
      <c r="U188">
        <f t="shared" si="24"/>
        <v>23.373023333333336</v>
      </c>
      <c r="V188">
        <f t="shared" si="24"/>
        <v>23.298818333333333</v>
      </c>
      <c r="W188">
        <f t="shared" si="24"/>
        <v>23.224613333333334</v>
      </c>
      <c r="X188">
        <f t="shared" si="24"/>
        <v>23.150408333333335</v>
      </c>
      <c r="Y188">
        <f t="shared" si="24"/>
        <v>23.076203333333332</v>
      </c>
      <c r="Z188">
        <f t="shared" si="24"/>
        <v>23.001998333333333</v>
      </c>
      <c r="AA188">
        <f t="shared" si="24"/>
        <v>22.927793333333334</v>
      </c>
      <c r="AB188">
        <f t="shared" si="24"/>
        <v>22.853588333333335</v>
      </c>
      <c r="AC188">
        <f t="shared" si="24"/>
        <v>22.779383333333335</v>
      </c>
      <c r="AD188">
        <f t="shared" si="22"/>
        <v>21.443693333333336</v>
      </c>
    </row>
    <row r="189" spans="2:30" x14ac:dyDescent="0.2">
      <c r="B189" s="7">
        <v>44758</v>
      </c>
      <c r="C189" s="8">
        <v>21.893750000000004</v>
      </c>
      <c r="D189">
        <f t="shared" si="18"/>
        <v>25.169925000000006</v>
      </c>
      <c r="E189">
        <f t="shared" si="21"/>
        <v>25.095720000000004</v>
      </c>
      <c r="F189">
        <f t="shared" si="21"/>
        <v>25.021515000000004</v>
      </c>
      <c r="G189">
        <f t="shared" si="25"/>
        <v>24.947310000000005</v>
      </c>
      <c r="H189">
        <f t="shared" si="25"/>
        <v>24.873105000000006</v>
      </c>
      <c r="I189">
        <f t="shared" si="25"/>
        <v>24.798900000000003</v>
      </c>
      <c r="J189">
        <f t="shared" si="25"/>
        <v>24.724695000000004</v>
      </c>
      <c r="K189">
        <f t="shared" si="25"/>
        <v>24.650490000000005</v>
      </c>
      <c r="L189">
        <f t="shared" si="25"/>
        <v>24.576285000000006</v>
      </c>
      <c r="M189">
        <f t="shared" si="25"/>
        <v>24.502080000000003</v>
      </c>
      <c r="N189">
        <f t="shared" si="25"/>
        <v>24.427875000000004</v>
      </c>
      <c r="O189">
        <f t="shared" si="25"/>
        <v>24.353670000000005</v>
      </c>
      <c r="P189">
        <f t="shared" si="25"/>
        <v>24.279465000000005</v>
      </c>
      <c r="Q189">
        <f t="shared" si="25"/>
        <v>24.205260000000003</v>
      </c>
      <c r="R189">
        <f t="shared" si="25"/>
        <v>24.131055000000003</v>
      </c>
      <c r="S189">
        <f t="shared" si="25"/>
        <v>24.056850000000004</v>
      </c>
      <c r="T189">
        <f t="shared" si="25"/>
        <v>23.982645000000005</v>
      </c>
      <c r="U189">
        <f t="shared" si="24"/>
        <v>23.908440000000006</v>
      </c>
      <c r="V189">
        <f t="shared" si="24"/>
        <v>23.834235000000003</v>
      </c>
      <c r="W189">
        <f t="shared" si="24"/>
        <v>23.760030000000004</v>
      </c>
      <c r="X189">
        <f t="shared" si="24"/>
        <v>23.685825000000005</v>
      </c>
      <c r="Y189">
        <f t="shared" si="24"/>
        <v>23.611620000000002</v>
      </c>
      <c r="Z189">
        <f t="shared" si="24"/>
        <v>23.537415000000003</v>
      </c>
      <c r="AA189">
        <f t="shared" si="24"/>
        <v>23.463210000000004</v>
      </c>
      <c r="AB189">
        <f t="shared" si="24"/>
        <v>23.389005000000004</v>
      </c>
      <c r="AC189">
        <f t="shared" si="24"/>
        <v>23.314800000000005</v>
      </c>
      <c r="AD189">
        <f t="shared" si="22"/>
        <v>21.979110000000006</v>
      </c>
    </row>
    <row r="190" spans="2:30" x14ac:dyDescent="0.2">
      <c r="B190" s="7">
        <v>44759</v>
      </c>
      <c r="C190" s="8">
        <v>22.503472222222225</v>
      </c>
      <c r="D190">
        <f t="shared" si="18"/>
        <v>25.779647222222223</v>
      </c>
      <c r="E190">
        <f t="shared" si="21"/>
        <v>25.705442222222224</v>
      </c>
      <c r="F190">
        <f t="shared" si="21"/>
        <v>25.631237222222225</v>
      </c>
      <c r="G190">
        <f t="shared" si="25"/>
        <v>25.557032222222226</v>
      </c>
      <c r="H190">
        <f t="shared" si="25"/>
        <v>25.482827222222227</v>
      </c>
      <c r="I190">
        <f t="shared" si="25"/>
        <v>25.408622222222224</v>
      </c>
      <c r="J190">
        <f t="shared" si="25"/>
        <v>25.334417222222225</v>
      </c>
      <c r="K190">
        <f t="shared" si="25"/>
        <v>25.260212222222226</v>
      </c>
      <c r="L190">
        <f t="shared" si="25"/>
        <v>25.186007222222226</v>
      </c>
      <c r="M190">
        <f t="shared" si="25"/>
        <v>25.111802222222224</v>
      </c>
      <c r="N190">
        <f t="shared" si="25"/>
        <v>25.037597222222225</v>
      </c>
      <c r="O190">
        <f t="shared" si="25"/>
        <v>24.963392222222225</v>
      </c>
      <c r="P190">
        <f t="shared" si="25"/>
        <v>24.889187222222226</v>
      </c>
      <c r="Q190">
        <f t="shared" si="25"/>
        <v>24.814982222222227</v>
      </c>
      <c r="R190">
        <f t="shared" si="25"/>
        <v>24.740777222222224</v>
      </c>
      <c r="S190">
        <f t="shared" si="25"/>
        <v>24.666572222222225</v>
      </c>
      <c r="T190">
        <f t="shared" si="25"/>
        <v>24.592367222222226</v>
      </c>
      <c r="U190">
        <f t="shared" si="24"/>
        <v>24.518162222222223</v>
      </c>
      <c r="V190">
        <f t="shared" si="24"/>
        <v>24.443957222222224</v>
      </c>
      <c r="W190">
        <f t="shared" si="24"/>
        <v>24.369752222222225</v>
      </c>
      <c r="X190">
        <f t="shared" si="24"/>
        <v>24.295547222222226</v>
      </c>
      <c r="Y190">
        <f t="shared" si="24"/>
        <v>24.221342222222226</v>
      </c>
      <c r="Z190">
        <f t="shared" si="24"/>
        <v>24.147137222222224</v>
      </c>
      <c r="AA190">
        <f t="shared" si="24"/>
        <v>24.072932222222224</v>
      </c>
      <c r="AB190">
        <f t="shared" si="24"/>
        <v>23.998727222222225</v>
      </c>
      <c r="AC190">
        <f t="shared" si="24"/>
        <v>23.924522222222222</v>
      </c>
      <c r="AD190">
        <f t="shared" si="22"/>
        <v>22.588832222222226</v>
      </c>
    </row>
    <row r="191" spans="2:30" x14ac:dyDescent="0.2">
      <c r="B191" s="7">
        <v>44760</v>
      </c>
      <c r="C191" s="8">
        <v>24.953472222222231</v>
      </c>
      <c r="D191">
        <f t="shared" si="18"/>
        <v>28.229647222222233</v>
      </c>
      <c r="E191">
        <f t="shared" si="21"/>
        <v>28.155442222222231</v>
      </c>
      <c r="F191">
        <f t="shared" si="21"/>
        <v>28.081237222222232</v>
      </c>
      <c r="G191">
        <f t="shared" si="25"/>
        <v>28.007032222222232</v>
      </c>
      <c r="H191">
        <f t="shared" si="25"/>
        <v>27.932827222222233</v>
      </c>
      <c r="I191">
        <f t="shared" si="25"/>
        <v>27.85862222222223</v>
      </c>
      <c r="J191">
        <f t="shared" si="25"/>
        <v>27.784417222222231</v>
      </c>
      <c r="K191">
        <f t="shared" si="25"/>
        <v>27.710212222222232</v>
      </c>
      <c r="L191">
        <f t="shared" si="25"/>
        <v>27.636007222222233</v>
      </c>
      <c r="M191">
        <f t="shared" si="25"/>
        <v>27.56180222222223</v>
      </c>
      <c r="N191">
        <f t="shared" si="25"/>
        <v>27.487597222222231</v>
      </c>
      <c r="O191">
        <f t="shared" si="25"/>
        <v>27.413392222222232</v>
      </c>
      <c r="P191">
        <f t="shared" si="25"/>
        <v>27.339187222222233</v>
      </c>
      <c r="Q191">
        <f t="shared" si="25"/>
        <v>27.26498222222223</v>
      </c>
      <c r="R191">
        <f t="shared" si="25"/>
        <v>27.190777222222231</v>
      </c>
      <c r="S191">
        <f t="shared" si="25"/>
        <v>27.116572222222231</v>
      </c>
      <c r="T191">
        <f t="shared" si="25"/>
        <v>27.042367222222232</v>
      </c>
      <c r="U191">
        <f t="shared" si="24"/>
        <v>26.968162222222233</v>
      </c>
      <c r="V191">
        <f t="shared" si="24"/>
        <v>26.89395722222223</v>
      </c>
      <c r="W191">
        <f t="shared" ref="U191:AC219" si="26">(-1.4841*W$3+3.6472)+$C191</f>
        <v>26.819752222222231</v>
      </c>
      <c r="X191">
        <f t="shared" si="26"/>
        <v>26.745547222222232</v>
      </c>
      <c r="Y191">
        <f t="shared" si="26"/>
        <v>26.671342222222229</v>
      </c>
      <c r="Z191">
        <f t="shared" si="26"/>
        <v>26.59713722222223</v>
      </c>
      <c r="AA191">
        <f t="shared" si="26"/>
        <v>26.522932222222231</v>
      </c>
      <c r="AB191">
        <f t="shared" si="26"/>
        <v>26.448727222222232</v>
      </c>
      <c r="AC191">
        <f t="shared" si="26"/>
        <v>26.374522222222232</v>
      </c>
      <c r="AD191">
        <f t="shared" si="22"/>
        <v>25.038832222222233</v>
      </c>
    </row>
    <row r="192" spans="2:30" x14ac:dyDescent="0.2">
      <c r="B192" s="7">
        <v>44761</v>
      </c>
      <c r="C192" s="8">
        <v>26.546527777777772</v>
      </c>
      <c r="D192">
        <f t="shared" si="18"/>
        <v>29.822702777777771</v>
      </c>
      <c r="E192">
        <f t="shared" si="21"/>
        <v>29.748497777777771</v>
      </c>
      <c r="F192">
        <f t="shared" si="21"/>
        <v>29.674292777777772</v>
      </c>
      <c r="G192">
        <f t="shared" si="25"/>
        <v>29.600087777777773</v>
      </c>
      <c r="H192">
        <f t="shared" si="25"/>
        <v>29.525882777777774</v>
      </c>
      <c r="I192">
        <f t="shared" si="25"/>
        <v>29.451677777777771</v>
      </c>
      <c r="J192">
        <f t="shared" si="25"/>
        <v>29.377472777777772</v>
      </c>
      <c r="K192">
        <f t="shared" si="25"/>
        <v>29.303267777777773</v>
      </c>
      <c r="L192">
        <f t="shared" si="25"/>
        <v>29.229062777777774</v>
      </c>
      <c r="M192">
        <f t="shared" si="25"/>
        <v>29.154857777777771</v>
      </c>
      <c r="N192">
        <f t="shared" si="25"/>
        <v>29.080652777777772</v>
      </c>
      <c r="O192">
        <f t="shared" si="25"/>
        <v>29.006447777777773</v>
      </c>
      <c r="P192">
        <f t="shared" si="25"/>
        <v>28.932242777777773</v>
      </c>
      <c r="Q192">
        <f t="shared" si="25"/>
        <v>28.858037777777774</v>
      </c>
      <c r="R192">
        <f t="shared" si="25"/>
        <v>28.783832777777771</v>
      </c>
      <c r="S192">
        <f t="shared" si="25"/>
        <v>28.709627777777772</v>
      </c>
      <c r="T192">
        <f t="shared" si="25"/>
        <v>28.635422777777773</v>
      </c>
      <c r="U192">
        <f t="shared" si="26"/>
        <v>28.56121777777777</v>
      </c>
      <c r="V192">
        <f t="shared" si="26"/>
        <v>28.487012777777771</v>
      </c>
      <c r="W192">
        <f t="shared" si="26"/>
        <v>28.412807777777772</v>
      </c>
      <c r="X192">
        <f t="shared" si="26"/>
        <v>28.338602777777773</v>
      </c>
      <c r="Y192">
        <f t="shared" si="26"/>
        <v>28.264397777777774</v>
      </c>
      <c r="Z192">
        <f t="shared" si="26"/>
        <v>28.190192777777771</v>
      </c>
      <c r="AA192">
        <f t="shared" si="26"/>
        <v>28.115987777777772</v>
      </c>
      <c r="AB192">
        <f t="shared" si="26"/>
        <v>28.041782777777772</v>
      </c>
      <c r="AC192">
        <f t="shared" si="26"/>
        <v>27.96757777777777</v>
      </c>
      <c r="AD192">
        <f t="shared" si="22"/>
        <v>26.631887777777774</v>
      </c>
    </row>
    <row r="193" spans="2:30" x14ac:dyDescent="0.2">
      <c r="B193" s="7">
        <v>44762</v>
      </c>
      <c r="C193" s="8">
        <v>25.011805555555551</v>
      </c>
      <c r="D193">
        <f t="shared" si="18"/>
        <v>28.287980555555549</v>
      </c>
      <c r="E193">
        <f t="shared" si="21"/>
        <v>28.21377555555555</v>
      </c>
      <c r="F193">
        <f t="shared" si="21"/>
        <v>28.139570555555551</v>
      </c>
      <c r="G193">
        <f t="shared" si="25"/>
        <v>28.065365555555552</v>
      </c>
      <c r="H193">
        <f t="shared" si="25"/>
        <v>27.991160555555552</v>
      </c>
      <c r="I193">
        <f t="shared" si="25"/>
        <v>27.91695555555555</v>
      </c>
      <c r="J193">
        <f t="shared" si="25"/>
        <v>27.842750555555551</v>
      </c>
      <c r="K193">
        <f t="shared" si="25"/>
        <v>27.768545555555551</v>
      </c>
      <c r="L193">
        <f t="shared" si="25"/>
        <v>27.694340555555552</v>
      </c>
      <c r="M193">
        <f t="shared" si="25"/>
        <v>27.620135555555549</v>
      </c>
      <c r="N193">
        <f t="shared" si="25"/>
        <v>27.54593055555555</v>
      </c>
      <c r="O193">
        <f t="shared" si="25"/>
        <v>27.471725555555551</v>
      </c>
      <c r="P193">
        <f t="shared" si="25"/>
        <v>27.397520555555552</v>
      </c>
      <c r="Q193">
        <f t="shared" ref="G193:T211" si="27">(-1.4841*Q$3+3.6472)+$C193</f>
        <v>27.323315555555553</v>
      </c>
      <c r="R193">
        <f t="shared" si="27"/>
        <v>27.24911055555555</v>
      </c>
      <c r="S193">
        <f t="shared" si="27"/>
        <v>27.174905555555551</v>
      </c>
      <c r="T193">
        <f t="shared" si="27"/>
        <v>27.100700555555552</v>
      </c>
      <c r="U193">
        <f t="shared" si="26"/>
        <v>27.026495555555549</v>
      </c>
      <c r="V193">
        <f t="shared" si="26"/>
        <v>26.95229055555555</v>
      </c>
      <c r="W193">
        <f t="shared" si="26"/>
        <v>26.87808555555555</v>
      </c>
      <c r="X193">
        <f t="shared" si="26"/>
        <v>26.803880555555551</v>
      </c>
      <c r="Y193">
        <f t="shared" si="26"/>
        <v>26.729675555555552</v>
      </c>
      <c r="Z193">
        <f t="shared" si="26"/>
        <v>26.655470555555549</v>
      </c>
      <c r="AA193">
        <f t="shared" si="26"/>
        <v>26.58126555555555</v>
      </c>
      <c r="AB193">
        <f t="shared" si="26"/>
        <v>26.507060555555551</v>
      </c>
      <c r="AC193">
        <f t="shared" si="26"/>
        <v>26.432855555555548</v>
      </c>
      <c r="AD193">
        <f t="shared" si="22"/>
        <v>25.097165555555552</v>
      </c>
    </row>
    <row r="194" spans="2:30" x14ac:dyDescent="0.2">
      <c r="B194" s="7">
        <v>44763</v>
      </c>
      <c r="C194" s="8">
        <v>21.202777777777769</v>
      </c>
      <c r="D194">
        <f t="shared" si="18"/>
        <v>24.478952777777771</v>
      </c>
      <c r="E194">
        <f t="shared" si="21"/>
        <v>24.404747777777768</v>
      </c>
      <c r="F194">
        <f t="shared" si="21"/>
        <v>24.330542777777769</v>
      </c>
      <c r="G194">
        <f t="shared" si="27"/>
        <v>24.25633777777777</v>
      </c>
      <c r="H194">
        <f t="shared" si="27"/>
        <v>24.18213277777777</v>
      </c>
      <c r="I194">
        <f t="shared" si="27"/>
        <v>24.107927777777768</v>
      </c>
      <c r="J194">
        <f t="shared" si="27"/>
        <v>24.033722777777768</v>
      </c>
      <c r="K194">
        <f t="shared" si="27"/>
        <v>23.959517777777769</v>
      </c>
      <c r="L194">
        <f t="shared" si="27"/>
        <v>23.88531277777777</v>
      </c>
      <c r="M194">
        <f t="shared" si="27"/>
        <v>23.811107777777767</v>
      </c>
      <c r="N194">
        <f t="shared" si="27"/>
        <v>23.736902777777768</v>
      </c>
      <c r="O194">
        <f t="shared" si="27"/>
        <v>23.662697777777769</v>
      </c>
      <c r="P194">
        <f t="shared" si="27"/>
        <v>23.58849277777777</v>
      </c>
      <c r="Q194">
        <f t="shared" si="27"/>
        <v>23.514287777777767</v>
      </c>
      <c r="R194">
        <f t="shared" si="27"/>
        <v>23.440082777777768</v>
      </c>
      <c r="S194">
        <f t="shared" si="27"/>
        <v>23.365877777777769</v>
      </c>
      <c r="T194">
        <f t="shared" si="27"/>
        <v>23.291672777777769</v>
      </c>
      <c r="U194">
        <f t="shared" si="26"/>
        <v>23.21746777777777</v>
      </c>
      <c r="V194">
        <f t="shared" si="26"/>
        <v>23.143262777777768</v>
      </c>
      <c r="W194">
        <f t="shared" si="26"/>
        <v>23.069057777777768</v>
      </c>
      <c r="X194">
        <f t="shared" si="26"/>
        <v>22.994852777777769</v>
      </c>
      <c r="Y194">
        <f t="shared" si="26"/>
        <v>22.920647777777766</v>
      </c>
      <c r="Z194">
        <f t="shared" si="26"/>
        <v>22.846442777777767</v>
      </c>
      <c r="AA194">
        <f t="shared" si="26"/>
        <v>22.772237777777768</v>
      </c>
      <c r="AB194">
        <f t="shared" si="26"/>
        <v>22.698032777777769</v>
      </c>
      <c r="AC194">
        <f t="shared" si="26"/>
        <v>22.62382777777777</v>
      </c>
      <c r="AD194">
        <f t="shared" si="22"/>
        <v>21.28813777777777</v>
      </c>
    </row>
    <row r="195" spans="2:30" x14ac:dyDescent="0.2">
      <c r="B195" s="7">
        <v>44764</v>
      </c>
      <c r="C195" s="8">
        <v>20.006250000000005</v>
      </c>
      <c r="D195">
        <f t="shared" si="18"/>
        <v>23.282425000000003</v>
      </c>
      <c r="E195">
        <f t="shared" si="21"/>
        <v>23.208220000000004</v>
      </c>
      <c r="F195">
        <f t="shared" si="21"/>
        <v>23.134015000000005</v>
      </c>
      <c r="G195">
        <f t="shared" si="27"/>
        <v>23.059810000000006</v>
      </c>
      <c r="H195">
        <f t="shared" si="27"/>
        <v>22.985605000000007</v>
      </c>
      <c r="I195">
        <f t="shared" si="27"/>
        <v>22.911400000000004</v>
      </c>
      <c r="J195">
        <f t="shared" si="27"/>
        <v>22.837195000000005</v>
      </c>
      <c r="K195">
        <f t="shared" si="27"/>
        <v>22.762990000000006</v>
      </c>
      <c r="L195">
        <f t="shared" si="27"/>
        <v>22.688785000000006</v>
      </c>
      <c r="M195">
        <f t="shared" si="27"/>
        <v>22.614580000000004</v>
      </c>
      <c r="N195">
        <f t="shared" si="27"/>
        <v>22.540375000000004</v>
      </c>
      <c r="O195">
        <f t="shared" si="27"/>
        <v>22.466170000000005</v>
      </c>
      <c r="P195">
        <f t="shared" si="27"/>
        <v>22.391965000000006</v>
      </c>
      <c r="Q195">
        <f t="shared" si="27"/>
        <v>22.317760000000007</v>
      </c>
      <c r="R195">
        <f t="shared" si="27"/>
        <v>22.243555000000004</v>
      </c>
      <c r="S195">
        <f t="shared" si="27"/>
        <v>22.169350000000005</v>
      </c>
      <c r="T195">
        <f t="shared" si="27"/>
        <v>22.095145000000006</v>
      </c>
      <c r="U195">
        <f t="shared" si="26"/>
        <v>22.020940000000003</v>
      </c>
      <c r="V195">
        <f t="shared" si="26"/>
        <v>21.946735000000004</v>
      </c>
      <c r="W195">
        <f t="shared" si="26"/>
        <v>21.872530000000005</v>
      </c>
      <c r="X195">
        <f t="shared" si="26"/>
        <v>21.798325000000006</v>
      </c>
      <c r="Y195">
        <f t="shared" si="26"/>
        <v>21.724120000000006</v>
      </c>
      <c r="Z195">
        <f t="shared" si="26"/>
        <v>21.649915000000004</v>
      </c>
      <c r="AA195">
        <f t="shared" si="26"/>
        <v>21.575710000000004</v>
      </c>
      <c r="AB195">
        <f t="shared" si="26"/>
        <v>21.501505000000005</v>
      </c>
      <c r="AC195">
        <f t="shared" si="26"/>
        <v>21.427300000000002</v>
      </c>
      <c r="AD195">
        <f t="shared" si="22"/>
        <v>20.091610000000006</v>
      </c>
    </row>
    <row r="196" spans="2:30" x14ac:dyDescent="0.2">
      <c r="B196" s="7">
        <v>44765</v>
      </c>
      <c r="C196" s="8">
        <v>22.272222222222226</v>
      </c>
      <c r="D196">
        <f t="shared" si="18"/>
        <v>25.548397222222228</v>
      </c>
      <c r="E196">
        <f t="shared" si="21"/>
        <v>25.474192222222225</v>
      </c>
      <c r="F196">
        <f t="shared" si="21"/>
        <v>25.399987222222226</v>
      </c>
      <c r="G196">
        <f t="shared" si="27"/>
        <v>25.325782222222227</v>
      </c>
      <c r="H196">
        <f t="shared" si="27"/>
        <v>25.251577222222227</v>
      </c>
      <c r="I196">
        <f t="shared" si="27"/>
        <v>25.177372222222225</v>
      </c>
      <c r="J196">
        <f t="shared" si="27"/>
        <v>25.103167222222226</v>
      </c>
      <c r="K196">
        <f t="shared" si="27"/>
        <v>25.028962222222226</v>
      </c>
      <c r="L196">
        <f t="shared" si="27"/>
        <v>24.954757222222227</v>
      </c>
      <c r="M196">
        <f t="shared" si="27"/>
        <v>24.880552222222224</v>
      </c>
      <c r="N196">
        <f t="shared" si="27"/>
        <v>24.806347222222225</v>
      </c>
      <c r="O196">
        <f t="shared" si="27"/>
        <v>24.732142222222226</v>
      </c>
      <c r="P196">
        <f t="shared" si="27"/>
        <v>24.657937222222227</v>
      </c>
      <c r="Q196">
        <f t="shared" si="27"/>
        <v>24.583732222222224</v>
      </c>
      <c r="R196">
        <f t="shared" si="27"/>
        <v>24.509527222222225</v>
      </c>
      <c r="S196">
        <f t="shared" si="27"/>
        <v>24.435322222222226</v>
      </c>
      <c r="T196">
        <f t="shared" si="27"/>
        <v>24.361117222222227</v>
      </c>
      <c r="U196">
        <f t="shared" si="26"/>
        <v>24.286912222222227</v>
      </c>
      <c r="V196">
        <f t="shared" si="26"/>
        <v>24.212707222222225</v>
      </c>
      <c r="W196">
        <f t="shared" si="26"/>
        <v>24.138502222222225</v>
      </c>
      <c r="X196">
        <f t="shared" si="26"/>
        <v>24.064297222222226</v>
      </c>
      <c r="Y196">
        <f t="shared" si="26"/>
        <v>23.990092222222223</v>
      </c>
      <c r="Z196">
        <f t="shared" si="26"/>
        <v>23.915887222222224</v>
      </c>
      <c r="AA196">
        <f t="shared" si="26"/>
        <v>23.841682222222225</v>
      </c>
      <c r="AB196">
        <f t="shared" si="26"/>
        <v>23.767477222222226</v>
      </c>
      <c r="AC196">
        <f t="shared" si="26"/>
        <v>23.693272222222227</v>
      </c>
      <c r="AD196">
        <f t="shared" si="22"/>
        <v>22.357582222222227</v>
      </c>
    </row>
    <row r="197" spans="2:30" x14ac:dyDescent="0.2">
      <c r="B197" s="7">
        <v>44766</v>
      </c>
      <c r="C197" s="8">
        <v>24.183333333333348</v>
      </c>
      <c r="D197">
        <f t="shared" si="18"/>
        <v>27.459508333333346</v>
      </c>
      <c r="E197">
        <f t="shared" si="21"/>
        <v>27.385303333333347</v>
      </c>
      <c r="F197">
        <f t="shared" si="21"/>
        <v>27.311098333333348</v>
      </c>
      <c r="G197">
        <f t="shared" si="27"/>
        <v>27.236893333333349</v>
      </c>
      <c r="H197">
        <f t="shared" si="27"/>
        <v>27.16268833333335</v>
      </c>
      <c r="I197">
        <f t="shared" si="27"/>
        <v>27.088483333333347</v>
      </c>
      <c r="J197">
        <f t="shared" si="27"/>
        <v>27.014278333333348</v>
      </c>
      <c r="K197">
        <f t="shared" si="27"/>
        <v>26.940073333333348</v>
      </c>
      <c r="L197">
        <f t="shared" si="27"/>
        <v>26.865868333333349</v>
      </c>
      <c r="M197">
        <f t="shared" si="27"/>
        <v>26.791663333333346</v>
      </c>
      <c r="N197">
        <f t="shared" si="27"/>
        <v>26.717458333333347</v>
      </c>
      <c r="O197">
        <f t="shared" si="27"/>
        <v>26.643253333333348</v>
      </c>
      <c r="P197">
        <f t="shared" si="27"/>
        <v>26.569048333333349</v>
      </c>
      <c r="Q197">
        <f t="shared" si="27"/>
        <v>26.49484333333335</v>
      </c>
      <c r="R197">
        <f t="shared" si="27"/>
        <v>26.420638333333347</v>
      </c>
      <c r="S197">
        <f t="shared" si="27"/>
        <v>26.346433333333348</v>
      </c>
      <c r="T197">
        <f t="shared" si="27"/>
        <v>26.272228333333349</v>
      </c>
      <c r="U197">
        <f t="shared" si="26"/>
        <v>26.198023333333346</v>
      </c>
      <c r="V197">
        <f t="shared" si="26"/>
        <v>26.123818333333347</v>
      </c>
      <c r="W197">
        <f t="shared" si="26"/>
        <v>26.049613333333347</v>
      </c>
      <c r="X197">
        <f t="shared" si="26"/>
        <v>25.975408333333348</v>
      </c>
      <c r="Y197">
        <f t="shared" si="26"/>
        <v>25.901203333333349</v>
      </c>
      <c r="Z197">
        <f t="shared" si="26"/>
        <v>25.826998333333346</v>
      </c>
      <c r="AA197">
        <f t="shared" si="26"/>
        <v>25.752793333333347</v>
      </c>
      <c r="AB197">
        <f t="shared" si="26"/>
        <v>25.678588333333348</v>
      </c>
      <c r="AC197">
        <f t="shared" si="26"/>
        <v>25.604383333333345</v>
      </c>
      <c r="AD197">
        <f t="shared" si="22"/>
        <v>24.268693333333349</v>
      </c>
    </row>
    <row r="198" spans="2:30" x14ac:dyDescent="0.2">
      <c r="B198" s="7">
        <v>44767</v>
      </c>
      <c r="C198" s="8">
        <v>23.422222222222224</v>
      </c>
      <c r="D198">
        <f t="shared" ref="D198:D261" si="28">(-1.4841*D$3+3.6472)+C198</f>
        <v>26.698397222222226</v>
      </c>
      <c r="E198">
        <f t="shared" si="21"/>
        <v>26.624192222222224</v>
      </c>
      <c r="F198">
        <f t="shared" si="21"/>
        <v>26.549987222222224</v>
      </c>
      <c r="G198">
        <f t="shared" si="27"/>
        <v>26.475782222222225</v>
      </c>
      <c r="H198">
        <f t="shared" si="27"/>
        <v>26.401577222222226</v>
      </c>
      <c r="I198">
        <f t="shared" si="27"/>
        <v>26.327372222222223</v>
      </c>
      <c r="J198">
        <f t="shared" si="27"/>
        <v>26.253167222222224</v>
      </c>
      <c r="K198">
        <f t="shared" si="27"/>
        <v>26.178962222222225</v>
      </c>
      <c r="L198">
        <f t="shared" si="27"/>
        <v>26.104757222222226</v>
      </c>
      <c r="M198">
        <f t="shared" si="27"/>
        <v>26.030552222222223</v>
      </c>
      <c r="N198">
        <f t="shared" si="27"/>
        <v>25.956347222222224</v>
      </c>
      <c r="O198">
        <f t="shared" si="27"/>
        <v>25.882142222222225</v>
      </c>
      <c r="P198">
        <f t="shared" si="27"/>
        <v>25.807937222222225</v>
      </c>
      <c r="Q198">
        <f t="shared" si="27"/>
        <v>25.733732222222223</v>
      </c>
      <c r="R198">
        <f t="shared" si="27"/>
        <v>25.659527222222223</v>
      </c>
      <c r="S198">
        <f t="shared" si="27"/>
        <v>25.585322222222224</v>
      </c>
      <c r="T198">
        <f t="shared" si="27"/>
        <v>25.511117222222225</v>
      </c>
      <c r="U198">
        <f t="shared" si="26"/>
        <v>25.436912222222226</v>
      </c>
      <c r="V198">
        <f t="shared" si="26"/>
        <v>25.362707222222223</v>
      </c>
      <c r="W198">
        <f t="shared" si="26"/>
        <v>25.288502222222224</v>
      </c>
      <c r="X198">
        <f t="shared" si="26"/>
        <v>25.214297222222225</v>
      </c>
      <c r="Y198">
        <f t="shared" si="26"/>
        <v>25.140092222222222</v>
      </c>
      <c r="Z198">
        <f t="shared" si="26"/>
        <v>25.065887222222223</v>
      </c>
      <c r="AA198">
        <f t="shared" si="26"/>
        <v>24.991682222222224</v>
      </c>
      <c r="AB198">
        <f t="shared" si="26"/>
        <v>24.917477222222224</v>
      </c>
      <c r="AC198">
        <f t="shared" si="26"/>
        <v>24.843272222222225</v>
      </c>
      <c r="AD198">
        <f t="shared" si="22"/>
        <v>23.507582222222226</v>
      </c>
    </row>
    <row r="199" spans="2:30" x14ac:dyDescent="0.2">
      <c r="B199" s="7">
        <v>44768</v>
      </c>
      <c r="C199" s="8">
        <v>20.459722222222226</v>
      </c>
      <c r="D199">
        <f t="shared" si="28"/>
        <v>23.735897222222228</v>
      </c>
      <c r="E199">
        <f t="shared" si="21"/>
        <v>23.661692222222225</v>
      </c>
      <c r="F199">
        <f t="shared" si="21"/>
        <v>23.587487222222226</v>
      </c>
      <c r="G199">
        <f t="shared" si="27"/>
        <v>23.513282222222227</v>
      </c>
      <c r="H199">
        <f t="shared" si="27"/>
        <v>23.439077222222227</v>
      </c>
      <c r="I199">
        <f t="shared" si="27"/>
        <v>23.364872222222225</v>
      </c>
      <c r="J199">
        <f t="shared" si="27"/>
        <v>23.290667222222226</v>
      </c>
      <c r="K199">
        <f t="shared" si="27"/>
        <v>23.216462222222226</v>
      </c>
      <c r="L199">
        <f t="shared" si="27"/>
        <v>23.142257222222227</v>
      </c>
      <c r="M199">
        <f t="shared" si="27"/>
        <v>23.068052222222224</v>
      </c>
      <c r="N199">
        <f t="shared" si="27"/>
        <v>22.993847222222225</v>
      </c>
      <c r="O199">
        <f t="shared" si="27"/>
        <v>22.919642222222226</v>
      </c>
      <c r="P199">
        <f t="shared" si="27"/>
        <v>22.845437222222227</v>
      </c>
      <c r="Q199">
        <f t="shared" si="27"/>
        <v>22.771232222222224</v>
      </c>
      <c r="R199">
        <f t="shared" si="27"/>
        <v>22.697027222222225</v>
      </c>
      <c r="S199">
        <f t="shared" si="27"/>
        <v>22.622822222222226</v>
      </c>
      <c r="T199">
        <f t="shared" si="27"/>
        <v>22.548617222222227</v>
      </c>
      <c r="U199">
        <f t="shared" si="26"/>
        <v>22.474412222222227</v>
      </c>
      <c r="V199">
        <f t="shared" si="26"/>
        <v>22.400207222222225</v>
      </c>
      <c r="W199">
        <f t="shared" si="26"/>
        <v>22.326002222222225</v>
      </c>
      <c r="X199">
        <f t="shared" si="26"/>
        <v>22.251797222222226</v>
      </c>
      <c r="Y199">
        <f t="shared" si="26"/>
        <v>22.177592222222223</v>
      </c>
      <c r="Z199">
        <f t="shared" si="26"/>
        <v>22.103387222222224</v>
      </c>
      <c r="AA199">
        <f t="shared" si="26"/>
        <v>22.029182222222225</v>
      </c>
      <c r="AB199">
        <f t="shared" si="26"/>
        <v>21.954977222222226</v>
      </c>
      <c r="AC199">
        <f t="shared" si="26"/>
        <v>21.880772222222227</v>
      </c>
      <c r="AD199">
        <f t="shared" si="22"/>
        <v>20.545082222222227</v>
      </c>
    </row>
    <row r="200" spans="2:30" x14ac:dyDescent="0.2">
      <c r="B200" s="7">
        <v>44769</v>
      </c>
      <c r="C200" s="8">
        <v>19.72291666666667</v>
      </c>
      <c r="D200">
        <f t="shared" si="28"/>
        <v>22.999091666666672</v>
      </c>
      <c r="E200">
        <f t="shared" si="21"/>
        <v>22.924886666666669</v>
      </c>
      <c r="F200">
        <f t="shared" si="21"/>
        <v>22.85068166666667</v>
      </c>
      <c r="G200">
        <f t="shared" si="27"/>
        <v>22.776476666666671</v>
      </c>
      <c r="H200">
        <f t="shared" si="27"/>
        <v>22.702271666666672</v>
      </c>
      <c r="I200">
        <f t="shared" si="27"/>
        <v>22.628066666666669</v>
      </c>
      <c r="J200">
        <f t="shared" si="27"/>
        <v>22.55386166666667</v>
      </c>
      <c r="K200">
        <f t="shared" si="27"/>
        <v>22.479656666666671</v>
      </c>
      <c r="L200">
        <f t="shared" si="27"/>
        <v>22.405451666666671</v>
      </c>
      <c r="M200">
        <f t="shared" si="27"/>
        <v>22.331246666666669</v>
      </c>
      <c r="N200">
        <f t="shared" si="27"/>
        <v>22.257041666666669</v>
      </c>
      <c r="O200">
        <f t="shared" si="27"/>
        <v>22.18283666666667</v>
      </c>
      <c r="P200">
        <f t="shared" si="27"/>
        <v>22.108631666666671</v>
      </c>
      <c r="Q200">
        <f t="shared" si="27"/>
        <v>22.034426666666668</v>
      </c>
      <c r="R200">
        <f t="shared" si="27"/>
        <v>21.960221666666669</v>
      </c>
      <c r="S200">
        <f t="shared" si="27"/>
        <v>21.88601666666667</v>
      </c>
      <c r="T200">
        <f t="shared" si="27"/>
        <v>21.811811666666671</v>
      </c>
      <c r="U200">
        <f t="shared" si="26"/>
        <v>21.737606666666672</v>
      </c>
      <c r="V200">
        <f t="shared" si="26"/>
        <v>21.663401666666669</v>
      </c>
      <c r="W200">
        <f t="shared" si="26"/>
        <v>21.58919666666667</v>
      </c>
      <c r="X200">
        <f t="shared" si="26"/>
        <v>21.514991666666671</v>
      </c>
      <c r="Y200">
        <f t="shared" si="26"/>
        <v>21.440786666666668</v>
      </c>
      <c r="Z200">
        <f t="shared" si="26"/>
        <v>21.366581666666669</v>
      </c>
      <c r="AA200">
        <f t="shared" si="26"/>
        <v>21.292376666666669</v>
      </c>
      <c r="AB200">
        <f t="shared" si="26"/>
        <v>21.21817166666667</v>
      </c>
      <c r="AC200">
        <f t="shared" si="26"/>
        <v>21.143966666666671</v>
      </c>
      <c r="AD200">
        <f t="shared" si="22"/>
        <v>19.808276666666671</v>
      </c>
    </row>
    <row r="201" spans="2:30" x14ac:dyDescent="0.2">
      <c r="B201" s="7">
        <v>44770</v>
      </c>
      <c r="C201" s="8">
        <v>19.215277777777779</v>
      </c>
      <c r="D201">
        <f t="shared" si="28"/>
        <v>22.491452777777781</v>
      </c>
      <c r="E201">
        <f t="shared" si="21"/>
        <v>22.417247777777778</v>
      </c>
      <c r="F201">
        <f t="shared" si="21"/>
        <v>22.343042777777779</v>
      </c>
      <c r="G201">
        <f t="shared" si="27"/>
        <v>22.26883777777778</v>
      </c>
      <c r="H201">
        <f t="shared" si="27"/>
        <v>22.19463277777778</v>
      </c>
      <c r="I201">
        <f t="shared" si="27"/>
        <v>22.120427777777778</v>
      </c>
      <c r="J201">
        <f t="shared" si="27"/>
        <v>22.046222777777778</v>
      </c>
      <c r="K201">
        <f t="shared" si="27"/>
        <v>21.972017777777779</v>
      </c>
      <c r="L201">
        <f t="shared" si="27"/>
        <v>21.89781277777778</v>
      </c>
      <c r="M201">
        <f t="shared" si="27"/>
        <v>21.823607777777777</v>
      </c>
      <c r="N201">
        <f t="shared" si="27"/>
        <v>21.749402777777778</v>
      </c>
      <c r="O201">
        <f t="shared" si="27"/>
        <v>21.675197777777779</v>
      </c>
      <c r="P201">
        <f t="shared" si="27"/>
        <v>21.60099277777778</v>
      </c>
      <c r="Q201">
        <f t="shared" si="27"/>
        <v>21.526787777777777</v>
      </c>
      <c r="R201">
        <f t="shared" si="27"/>
        <v>21.452582777777778</v>
      </c>
      <c r="S201">
        <f t="shared" si="27"/>
        <v>21.378377777777779</v>
      </c>
      <c r="T201">
        <f t="shared" si="27"/>
        <v>21.304172777777779</v>
      </c>
      <c r="U201">
        <f t="shared" si="26"/>
        <v>21.22996777777778</v>
      </c>
      <c r="V201">
        <f t="shared" si="26"/>
        <v>21.155762777777777</v>
      </c>
      <c r="W201">
        <f t="shared" si="26"/>
        <v>21.081557777777778</v>
      </c>
      <c r="X201">
        <f t="shared" si="26"/>
        <v>21.007352777777779</v>
      </c>
      <c r="Y201">
        <f t="shared" si="26"/>
        <v>20.933147777777776</v>
      </c>
      <c r="Z201">
        <f t="shared" si="26"/>
        <v>20.858942777777777</v>
      </c>
      <c r="AA201">
        <f t="shared" si="26"/>
        <v>20.784737777777778</v>
      </c>
      <c r="AB201">
        <f t="shared" si="26"/>
        <v>20.710532777777779</v>
      </c>
      <c r="AC201">
        <f t="shared" si="26"/>
        <v>20.63632777777778</v>
      </c>
      <c r="AD201">
        <f t="shared" si="22"/>
        <v>19.30063777777778</v>
      </c>
    </row>
    <row r="202" spans="2:30" x14ac:dyDescent="0.2">
      <c r="B202" s="7">
        <v>44771</v>
      </c>
      <c r="C202" s="8">
        <v>20.65347222222222</v>
      </c>
      <c r="D202">
        <f t="shared" si="28"/>
        <v>23.929647222222222</v>
      </c>
      <c r="E202">
        <f t="shared" si="21"/>
        <v>23.855442222222219</v>
      </c>
      <c r="F202">
        <f t="shared" si="21"/>
        <v>23.78123722222222</v>
      </c>
      <c r="G202">
        <f t="shared" si="27"/>
        <v>23.707032222222221</v>
      </c>
      <c r="H202">
        <f t="shared" si="27"/>
        <v>23.632827222222222</v>
      </c>
      <c r="I202">
        <f t="shared" si="27"/>
        <v>23.558622222222219</v>
      </c>
      <c r="J202">
        <f t="shared" si="27"/>
        <v>23.48441722222222</v>
      </c>
      <c r="K202">
        <f t="shared" si="27"/>
        <v>23.410212222222221</v>
      </c>
      <c r="L202">
        <f t="shared" si="27"/>
        <v>23.336007222222221</v>
      </c>
      <c r="M202">
        <f t="shared" si="27"/>
        <v>23.261802222222219</v>
      </c>
      <c r="N202">
        <f t="shared" si="27"/>
        <v>23.18759722222222</v>
      </c>
      <c r="O202">
        <f t="shared" si="27"/>
        <v>23.11339222222222</v>
      </c>
      <c r="P202">
        <f t="shared" si="27"/>
        <v>23.039187222222221</v>
      </c>
      <c r="Q202">
        <f t="shared" si="27"/>
        <v>22.964982222222218</v>
      </c>
      <c r="R202">
        <f t="shared" si="27"/>
        <v>22.890777222222219</v>
      </c>
      <c r="S202">
        <f t="shared" si="27"/>
        <v>22.81657222222222</v>
      </c>
      <c r="T202">
        <f t="shared" si="27"/>
        <v>22.742367222222221</v>
      </c>
      <c r="U202">
        <f t="shared" si="26"/>
        <v>22.668162222222222</v>
      </c>
      <c r="V202">
        <f t="shared" si="26"/>
        <v>22.593957222222219</v>
      </c>
      <c r="W202">
        <f t="shared" si="26"/>
        <v>22.51975222222222</v>
      </c>
      <c r="X202">
        <f t="shared" si="26"/>
        <v>22.445547222222221</v>
      </c>
      <c r="Y202">
        <f t="shared" si="26"/>
        <v>22.371342222222218</v>
      </c>
      <c r="Z202">
        <f t="shared" si="26"/>
        <v>22.297137222222219</v>
      </c>
      <c r="AA202">
        <f t="shared" si="26"/>
        <v>22.222932222222219</v>
      </c>
      <c r="AB202">
        <f t="shared" si="26"/>
        <v>22.14872722222222</v>
      </c>
      <c r="AC202">
        <f t="shared" si="26"/>
        <v>22.074522222222221</v>
      </c>
      <c r="AD202">
        <f t="shared" si="22"/>
        <v>20.738832222222221</v>
      </c>
    </row>
    <row r="203" spans="2:30" x14ac:dyDescent="0.2">
      <c r="B203" s="7">
        <v>44772</v>
      </c>
      <c r="C203" s="8">
        <v>21.579861111111107</v>
      </c>
      <c r="D203">
        <f t="shared" si="28"/>
        <v>24.856036111111109</v>
      </c>
      <c r="E203">
        <f t="shared" si="21"/>
        <v>24.781831111111106</v>
      </c>
      <c r="F203">
        <f t="shared" si="21"/>
        <v>24.707626111111107</v>
      </c>
      <c r="G203">
        <f t="shared" si="27"/>
        <v>24.633421111111108</v>
      </c>
      <c r="H203">
        <f t="shared" si="27"/>
        <v>24.559216111111109</v>
      </c>
      <c r="I203">
        <f t="shared" si="27"/>
        <v>24.485011111111106</v>
      </c>
      <c r="J203">
        <f t="shared" si="27"/>
        <v>24.410806111111107</v>
      </c>
      <c r="K203">
        <f t="shared" si="27"/>
        <v>24.336601111111108</v>
      </c>
      <c r="L203">
        <f t="shared" si="27"/>
        <v>24.262396111111109</v>
      </c>
      <c r="M203">
        <f t="shared" si="27"/>
        <v>24.188191111111106</v>
      </c>
      <c r="N203">
        <f t="shared" si="27"/>
        <v>24.113986111111107</v>
      </c>
      <c r="O203">
        <f t="shared" si="27"/>
        <v>24.039781111111107</v>
      </c>
      <c r="P203">
        <f t="shared" si="27"/>
        <v>23.965576111111108</v>
      </c>
      <c r="Q203">
        <f t="shared" si="27"/>
        <v>23.891371111111106</v>
      </c>
      <c r="R203">
        <f t="shared" si="27"/>
        <v>23.817166111111106</v>
      </c>
      <c r="S203">
        <f t="shared" si="27"/>
        <v>23.742961111111107</v>
      </c>
      <c r="T203">
        <f t="shared" si="27"/>
        <v>23.668756111111108</v>
      </c>
      <c r="U203">
        <f t="shared" si="26"/>
        <v>23.594551111111109</v>
      </c>
      <c r="V203">
        <f t="shared" si="26"/>
        <v>23.520346111111106</v>
      </c>
      <c r="W203">
        <f t="shared" si="26"/>
        <v>23.446141111111107</v>
      </c>
      <c r="X203">
        <f t="shared" si="26"/>
        <v>23.371936111111108</v>
      </c>
      <c r="Y203">
        <f t="shared" si="26"/>
        <v>23.297731111111105</v>
      </c>
      <c r="Z203">
        <f t="shared" si="26"/>
        <v>23.223526111111106</v>
      </c>
      <c r="AA203">
        <f t="shared" si="26"/>
        <v>23.149321111111107</v>
      </c>
      <c r="AB203">
        <f t="shared" si="26"/>
        <v>23.075116111111107</v>
      </c>
      <c r="AC203">
        <f t="shared" si="26"/>
        <v>23.000911111111108</v>
      </c>
      <c r="AD203">
        <f t="shared" si="22"/>
        <v>21.665221111111109</v>
      </c>
    </row>
    <row r="204" spans="2:30" x14ac:dyDescent="0.2">
      <c r="B204" s="7">
        <v>44773</v>
      </c>
      <c r="C204" s="8">
        <v>20.772916666666678</v>
      </c>
      <c r="D204">
        <f t="shared" si="28"/>
        <v>24.049091666666676</v>
      </c>
      <c r="E204">
        <f t="shared" si="21"/>
        <v>23.974886666666677</v>
      </c>
      <c r="F204">
        <f t="shared" si="21"/>
        <v>23.900681666666678</v>
      </c>
      <c r="G204">
        <f t="shared" si="27"/>
        <v>23.826476666666679</v>
      </c>
      <c r="H204">
        <f t="shared" si="27"/>
        <v>23.75227166666668</v>
      </c>
      <c r="I204">
        <f t="shared" si="27"/>
        <v>23.678066666666677</v>
      </c>
      <c r="J204">
        <f t="shared" si="27"/>
        <v>23.603861666666678</v>
      </c>
      <c r="K204">
        <f t="shared" si="27"/>
        <v>23.529656666666678</v>
      </c>
      <c r="L204">
        <f t="shared" si="27"/>
        <v>23.455451666666679</v>
      </c>
      <c r="M204">
        <f t="shared" si="27"/>
        <v>23.381246666666677</v>
      </c>
      <c r="N204">
        <f t="shared" si="27"/>
        <v>23.307041666666677</v>
      </c>
      <c r="O204">
        <f t="shared" si="27"/>
        <v>23.232836666666678</v>
      </c>
      <c r="P204">
        <f t="shared" si="27"/>
        <v>23.158631666666679</v>
      </c>
      <c r="Q204">
        <f t="shared" si="27"/>
        <v>23.08442666666668</v>
      </c>
      <c r="R204">
        <f t="shared" si="27"/>
        <v>23.010221666666677</v>
      </c>
      <c r="S204">
        <f t="shared" si="27"/>
        <v>22.936016666666678</v>
      </c>
      <c r="T204">
        <f t="shared" si="27"/>
        <v>22.861811666666679</v>
      </c>
      <c r="U204">
        <f t="shared" si="26"/>
        <v>22.787606666666676</v>
      </c>
      <c r="V204">
        <f t="shared" si="26"/>
        <v>22.713401666666677</v>
      </c>
      <c r="W204">
        <f t="shared" si="26"/>
        <v>22.639196666666678</v>
      </c>
      <c r="X204">
        <f t="shared" si="26"/>
        <v>22.564991666666678</v>
      </c>
      <c r="Y204">
        <f t="shared" si="26"/>
        <v>22.490786666666679</v>
      </c>
      <c r="Z204">
        <f t="shared" si="26"/>
        <v>22.416581666666676</v>
      </c>
      <c r="AA204">
        <f t="shared" si="26"/>
        <v>22.342376666666677</v>
      </c>
      <c r="AB204">
        <f t="shared" si="26"/>
        <v>22.268171666666678</v>
      </c>
      <c r="AC204">
        <f t="shared" si="26"/>
        <v>22.193966666666675</v>
      </c>
      <c r="AD204">
        <f t="shared" si="22"/>
        <v>20.858276666666679</v>
      </c>
    </row>
    <row r="205" spans="2:30" x14ac:dyDescent="0.2">
      <c r="B205" s="7">
        <v>44774</v>
      </c>
      <c r="C205" s="8">
        <v>21.861805555555559</v>
      </c>
      <c r="D205">
        <f t="shared" si="28"/>
        <v>25.137980555555558</v>
      </c>
      <c r="E205">
        <f t="shared" si="21"/>
        <v>25.063775555555559</v>
      </c>
      <c r="F205">
        <f t="shared" si="21"/>
        <v>24.989570555555559</v>
      </c>
      <c r="G205">
        <f t="shared" si="27"/>
        <v>24.91536555555556</v>
      </c>
      <c r="H205">
        <f t="shared" si="27"/>
        <v>24.841160555555561</v>
      </c>
      <c r="I205">
        <f t="shared" si="27"/>
        <v>24.766955555555558</v>
      </c>
      <c r="J205">
        <f t="shared" si="27"/>
        <v>24.692750555555559</v>
      </c>
      <c r="K205">
        <f t="shared" si="27"/>
        <v>24.61854555555556</v>
      </c>
      <c r="L205">
        <f t="shared" si="27"/>
        <v>24.544340555555561</v>
      </c>
      <c r="M205">
        <f t="shared" si="27"/>
        <v>24.470135555555558</v>
      </c>
      <c r="N205">
        <f t="shared" si="27"/>
        <v>24.395930555555559</v>
      </c>
      <c r="O205">
        <f t="shared" si="27"/>
        <v>24.32172555555556</v>
      </c>
      <c r="P205">
        <f t="shared" si="27"/>
        <v>24.24752055555556</v>
      </c>
      <c r="Q205">
        <f t="shared" si="27"/>
        <v>24.173315555555561</v>
      </c>
      <c r="R205">
        <f t="shared" si="27"/>
        <v>24.099110555555558</v>
      </c>
      <c r="S205">
        <f t="shared" si="27"/>
        <v>24.024905555555559</v>
      </c>
      <c r="T205">
        <f t="shared" si="27"/>
        <v>23.95070055555556</v>
      </c>
      <c r="U205">
        <f t="shared" si="26"/>
        <v>23.876495555555557</v>
      </c>
      <c r="V205">
        <f t="shared" si="26"/>
        <v>23.802290555555558</v>
      </c>
      <c r="W205">
        <f t="shared" si="26"/>
        <v>23.728085555555559</v>
      </c>
      <c r="X205">
        <f t="shared" si="26"/>
        <v>23.65388055555556</v>
      </c>
      <c r="Y205">
        <f t="shared" si="26"/>
        <v>23.579675555555561</v>
      </c>
      <c r="Z205">
        <f t="shared" si="26"/>
        <v>23.505470555555558</v>
      </c>
      <c r="AA205">
        <f t="shared" si="26"/>
        <v>23.431265555555559</v>
      </c>
      <c r="AB205">
        <f t="shared" si="26"/>
        <v>23.357060555555559</v>
      </c>
      <c r="AC205">
        <f t="shared" si="26"/>
        <v>23.282855555555557</v>
      </c>
      <c r="AD205">
        <f t="shared" si="22"/>
        <v>21.947165555555561</v>
      </c>
    </row>
    <row r="206" spans="2:30" x14ac:dyDescent="0.2">
      <c r="B206" s="7">
        <v>44775</v>
      </c>
      <c r="C206" s="8">
        <v>21.980555555555565</v>
      </c>
      <c r="D206">
        <f t="shared" si="28"/>
        <v>25.256730555555563</v>
      </c>
      <c r="E206">
        <f t="shared" si="21"/>
        <v>25.182525555555564</v>
      </c>
      <c r="F206">
        <f t="shared" si="21"/>
        <v>25.108320555555565</v>
      </c>
      <c r="G206">
        <f t="shared" si="27"/>
        <v>25.034115555555566</v>
      </c>
      <c r="H206">
        <f t="shared" si="27"/>
        <v>24.959910555555567</v>
      </c>
      <c r="I206">
        <f t="shared" si="27"/>
        <v>24.885705555555564</v>
      </c>
      <c r="J206">
        <f t="shared" si="27"/>
        <v>24.811500555555565</v>
      </c>
      <c r="K206">
        <f t="shared" si="27"/>
        <v>24.737295555555566</v>
      </c>
      <c r="L206">
        <f t="shared" si="27"/>
        <v>24.663090555555566</v>
      </c>
      <c r="M206">
        <f t="shared" si="27"/>
        <v>24.588885555555564</v>
      </c>
      <c r="N206">
        <f t="shared" si="27"/>
        <v>24.514680555555564</v>
      </c>
      <c r="O206">
        <f t="shared" si="27"/>
        <v>24.440475555555565</v>
      </c>
      <c r="P206">
        <f t="shared" si="27"/>
        <v>24.366270555555566</v>
      </c>
      <c r="Q206">
        <f t="shared" si="27"/>
        <v>24.292065555555567</v>
      </c>
      <c r="R206">
        <f t="shared" si="27"/>
        <v>24.217860555555564</v>
      </c>
      <c r="S206">
        <f t="shared" si="27"/>
        <v>24.143655555555565</v>
      </c>
      <c r="T206">
        <f t="shared" si="27"/>
        <v>24.069450555555566</v>
      </c>
      <c r="U206">
        <f t="shared" si="26"/>
        <v>23.995245555555563</v>
      </c>
      <c r="V206">
        <f t="shared" si="26"/>
        <v>23.921040555555564</v>
      </c>
      <c r="W206">
        <f t="shared" si="26"/>
        <v>23.846835555555565</v>
      </c>
      <c r="X206">
        <f t="shared" si="26"/>
        <v>23.772630555555565</v>
      </c>
      <c r="Y206">
        <f t="shared" si="26"/>
        <v>23.698425555555566</v>
      </c>
      <c r="Z206">
        <f t="shared" si="26"/>
        <v>23.624220555555564</v>
      </c>
      <c r="AA206">
        <f t="shared" si="26"/>
        <v>23.550015555555564</v>
      </c>
      <c r="AB206">
        <f t="shared" si="26"/>
        <v>23.475810555555565</v>
      </c>
      <c r="AC206">
        <f t="shared" si="26"/>
        <v>23.401605555555562</v>
      </c>
      <c r="AD206">
        <f t="shared" si="22"/>
        <v>22.065915555555566</v>
      </c>
    </row>
    <row r="207" spans="2:30" x14ac:dyDescent="0.2">
      <c r="B207" s="7">
        <v>44776</v>
      </c>
      <c r="C207" s="8">
        <v>23.972916666666677</v>
      </c>
      <c r="D207">
        <f t="shared" si="28"/>
        <v>27.249091666666679</v>
      </c>
      <c r="E207">
        <f t="shared" si="21"/>
        <v>27.174886666666676</v>
      </c>
      <c r="F207">
        <f t="shared" si="21"/>
        <v>27.100681666666677</v>
      </c>
      <c r="G207">
        <f t="shared" si="27"/>
        <v>27.026476666666678</v>
      </c>
      <c r="H207">
        <f t="shared" si="27"/>
        <v>26.952271666666679</v>
      </c>
      <c r="I207">
        <f t="shared" si="27"/>
        <v>26.878066666666676</v>
      </c>
      <c r="J207">
        <f t="shared" si="27"/>
        <v>26.803861666666677</v>
      </c>
      <c r="K207">
        <f t="shared" si="27"/>
        <v>26.729656666666678</v>
      </c>
      <c r="L207">
        <f t="shared" si="27"/>
        <v>26.655451666666679</v>
      </c>
      <c r="M207">
        <f t="shared" si="27"/>
        <v>26.581246666666676</v>
      </c>
      <c r="N207">
        <f t="shared" si="27"/>
        <v>26.507041666666677</v>
      </c>
      <c r="O207">
        <f t="shared" si="27"/>
        <v>26.432836666666677</v>
      </c>
      <c r="P207">
        <f t="shared" si="27"/>
        <v>26.358631666666678</v>
      </c>
      <c r="Q207">
        <f t="shared" si="27"/>
        <v>26.284426666666675</v>
      </c>
      <c r="R207">
        <f t="shared" si="27"/>
        <v>26.210221666666676</v>
      </c>
      <c r="S207">
        <f t="shared" si="27"/>
        <v>26.136016666666677</v>
      </c>
      <c r="T207">
        <f t="shared" si="27"/>
        <v>26.061811666666678</v>
      </c>
      <c r="U207">
        <f t="shared" si="26"/>
        <v>25.987606666666679</v>
      </c>
      <c r="V207">
        <f t="shared" si="26"/>
        <v>25.913401666666676</v>
      </c>
      <c r="W207">
        <f t="shared" si="26"/>
        <v>25.839196666666677</v>
      </c>
      <c r="X207">
        <f t="shared" si="26"/>
        <v>25.764991666666678</v>
      </c>
      <c r="Y207">
        <f t="shared" si="26"/>
        <v>25.690786666666675</v>
      </c>
      <c r="Z207">
        <f t="shared" si="26"/>
        <v>25.616581666666676</v>
      </c>
      <c r="AA207">
        <f t="shared" si="26"/>
        <v>25.542376666666676</v>
      </c>
      <c r="AB207">
        <f t="shared" si="26"/>
        <v>25.468171666666677</v>
      </c>
      <c r="AC207">
        <f t="shared" si="26"/>
        <v>25.393966666666678</v>
      </c>
      <c r="AD207">
        <f t="shared" si="22"/>
        <v>24.058276666666679</v>
      </c>
    </row>
    <row r="208" spans="2:30" x14ac:dyDescent="0.2">
      <c r="B208" s="7">
        <v>44777</v>
      </c>
      <c r="C208" s="8">
        <v>24.053472222222226</v>
      </c>
      <c r="D208">
        <f t="shared" si="28"/>
        <v>27.329647222222228</v>
      </c>
      <c r="E208">
        <f t="shared" si="21"/>
        <v>27.255442222222225</v>
      </c>
      <c r="F208">
        <f t="shared" si="21"/>
        <v>27.181237222222226</v>
      </c>
      <c r="G208">
        <f t="shared" si="27"/>
        <v>27.107032222222227</v>
      </c>
      <c r="H208">
        <f t="shared" si="27"/>
        <v>27.032827222222227</v>
      </c>
      <c r="I208">
        <f t="shared" si="27"/>
        <v>26.958622222222225</v>
      </c>
      <c r="J208">
        <f t="shared" si="27"/>
        <v>26.884417222222226</v>
      </c>
      <c r="K208">
        <f t="shared" si="27"/>
        <v>26.810212222222226</v>
      </c>
      <c r="L208">
        <f t="shared" si="27"/>
        <v>26.736007222222227</v>
      </c>
      <c r="M208">
        <f t="shared" si="27"/>
        <v>26.661802222222224</v>
      </c>
      <c r="N208">
        <f t="shared" si="27"/>
        <v>26.587597222222225</v>
      </c>
      <c r="O208">
        <f t="shared" si="27"/>
        <v>26.513392222222226</v>
      </c>
      <c r="P208">
        <f t="shared" si="27"/>
        <v>26.439187222222227</v>
      </c>
      <c r="Q208">
        <f t="shared" si="27"/>
        <v>26.364982222222224</v>
      </c>
      <c r="R208">
        <f t="shared" si="27"/>
        <v>26.290777222222225</v>
      </c>
      <c r="S208">
        <f t="shared" si="27"/>
        <v>26.216572222222226</v>
      </c>
      <c r="T208">
        <f t="shared" si="27"/>
        <v>26.142367222222227</v>
      </c>
      <c r="U208">
        <f t="shared" si="26"/>
        <v>26.068162222222227</v>
      </c>
      <c r="V208">
        <f t="shared" si="26"/>
        <v>25.993957222222225</v>
      </c>
      <c r="W208">
        <f t="shared" si="26"/>
        <v>25.919752222222225</v>
      </c>
      <c r="X208">
        <f t="shared" si="26"/>
        <v>25.845547222222226</v>
      </c>
      <c r="Y208">
        <f t="shared" si="26"/>
        <v>25.771342222222223</v>
      </c>
      <c r="Z208">
        <f t="shared" si="26"/>
        <v>25.697137222222224</v>
      </c>
      <c r="AA208">
        <f t="shared" si="26"/>
        <v>25.622932222222225</v>
      </c>
      <c r="AB208">
        <f t="shared" si="26"/>
        <v>25.548727222222226</v>
      </c>
      <c r="AC208">
        <f t="shared" si="26"/>
        <v>25.474522222222227</v>
      </c>
      <c r="AD208">
        <f t="shared" si="22"/>
        <v>24.138832222222227</v>
      </c>
    </row>
    <row r="209" spans="2:30" x14ac:dyDescent="0.2">
      <c r="B209" s="7">
        <v>44778</v>
      </c>
      <c r="C209" s="8">
        <v>20.843055555555551</v>
      </c>
      <c r="D209">
        <f t="shared" si="28"/>
        <v>24.119230555555554</v>
      </c>
      <c r="E209">
        <f t="shared" si="21"/>
        <v>24.045025555555551</v>
      </c>
      <c r="F209">
        <f t="shared" si="21"/>
        <v>23.970820555555552</v>
      </c>
      <c r="G209">
        <f t="shared" si="27"/>
        <v>23.896615555555552</v>
      </c>
      <c r="H209">
        <f t="shared" si="27"/>
        <v>23.822410555555553</v>
      </c>
      <c r="I209">
        <f t="shared" si="27"/>
        <v>23.74820555555555</v>
      </c>
      <c r="J209">
        <f t="shared" si="27"/>
        <v>23.674000555555551</v>
      </c>
      <c r="K209">
        <f t="shared" si="27"/>
        <v>23.599795555555552</v>
      </c>
      <c r="L209">
        <f t="shared" si="27"/>
        <v>23.525590555555553</v>
      </c>
      <c r="M209">
        <f t="shared" si="27"/>
        <v>23.45138555555555</v>
      </c>
      <c r="N209">
        <f t="shared" si="27"/>
        <v>23.377180555555551</v>
      </c>
      <c r="O209">
        <f t="shared" si="27"/>
        <v>23.302975555555552</v>
      </c>
      <c r="P209">
        <f t="shared" si="27"/>
        <v>23.228770555555553</v>
      </c>
      <c r="Q209">
        <f t="shared" si="27"/>
        <v>23.15456555555555</v>
      </c>
      <c r="R209">
        <f t="shared" si="27"/>
        <v>23.080360555555551</v>
      </c>
      <c r="S209">
        <f t="shared" si="27"/>
        <v>23.006155555555551</v>
      </c>
      <c r="T209">
        <f t="shared" si="27"/>
        <v>22.931950555555552</v>
      </c>
      <c r="U209">
        <f t="shared" si="26"/>
        <v>22.857745555555553</v>
      </c>
      <c r="V209">
        <f t="shared" si="26"/>
        <v>22.78354055555555</v>
      </c>
      <c r="W209">
        <f t="shared" si="26"/>
        <v>22.709335555555551</v>
      </c>
      <c r="X209">
        <f t="shared" si="26"/>
        <v>22.635130555555552</v>
      </c>
      <c r="Y209">
        <f t="shared" si="26"/>
        <v>22.560925555555549</v>
      </c>
      <c r="Z209">
        <f t="shared" si="26"/>
        <v>22.48672055555555</v>
      </c>
      <c r="AA209">
        <f t="shared" si="26"/>
        <v>22.412515555555551</v>
      </c>
      <c r="AB209">
        <f t="shared" si="26"/>
        <v>22.338310555555552</v>
      </c>
      <c r="AC209">
        <f t="shared" si="26"/>
        <v>22.264105555555552</v>
      </c>
      <c r="AD209">
        <f t="shared" si="22"/>
        <v>20.928415555555553</v>
      </c>
    </row>
    <row r="210" spans="2:30" x14ac:dyDescent="0.2">
      <c r="B210" s="7">
        <v>44779</v>
      </c>
      <c r="C210" s="8">
        <v>20.073611111111106</v>
      </c>
      <c r="D210">
        <f t="shared" si="28"/>
        <v>23.349786111111108</v>
      </c>
      <c r="E210">
        <f t="shared" si="21"/>
        <v>23.275581111111105</v>
      </c>
      <c r="F210">
        <f t="shared" si="21"/>
        <v>23.201376111111106</v>
      </c>
      <c r="G210">
        <f t="shared" si="27"/>
        <v>23.127171111111107</v>
      </c>
      <c r="H210">
        <f t="shared" si="27"/>
        <v>23.052966111111107</v>
      </c>
      <c r="I210">
        <f t="shared" si="27"/>
        <v>22.978761111111105</v>
      </c>
      <c r="J210">
        <f t="shared" si="27"/>
        <v>22.904556111111106</v>
      </c>
      <c r="K210">
        <f t="shared" si="27"/>
        <v>22.830351111111106</v>
      </c>
      <c r="L210">
        <f t="shared" si="27"/>
        <v>22.756146111111107</v>
      </c>
      <c r="M210">
        <f t="shared" si="27"/>
        <v>22.681941111111104</v>
      </c>
      <c r="N210">
        <f t="shared" si="27"/>
        <v>22.607736111111105</v>
      </c>
      <c r="O210">
        <f t="shared" si="27"/>
        <v>22.533531111111106</v>
      </c>
      <c r="P210">
        <f t="shared" si="27"/>
        <v>22.459326111111107</v>
      </c>
      <c r="Q210">
        <f t="shared" si="27"/>
        <v>22.385121111111104</v>
      </c>
      <c r="R210">
        <f t="shared" si="27"/>
        <v>22.310916111111105</v>
      </c>
      <c r="S210">
        <f t="shared" si="27"/>
        <v>22.236711111111106</v>
      </c>
      <c r="T210">
        <f t="shared" si="27"/>
        <v>22.162506111111107</v>
      </c>
      <c r="U210">
        <f t="shared" si="26"/>
        <v>22.088301111111107</v>
      </c>
      <c r="V210">
        <f t="shared" si="26"/>
        <v>22.014096111111105</v>
      </c>
      <c r="W210">
        <f t="shared" si="26"/>
        <v>21.939891111111105</v>
      </c>
      <c r="X210">
        <f t="shared" si="26"/>
        <v>21.865686111111106</v>
      </c>
      <c r="Y210">
        <f t="shared" si="26"/>
        <v>21.791481111111104</v>
      </c>
      <c r="Z210">
        <f t="shared" si="26"/>
        <v>21.717276111111104</v>
      </c>
      <c r="AA210">
        <f t="shared" si="26"/>
        <v>21.643071111111105</v>
      </c>
      <c r="AB210">
        <f t="shared" si="26"/>
        <v>21.568866111111106</v>
      </c>
      <c r="AC210">
        <f t="shared" si="26"/>
        <v>21.494661111111107</v>
      </c>
      <c r="AD210">
        <f t="shared" si="22"/>
        <v>20.158971111111107</v>
      </c>
    </row>
    <row r="211" spans="2:30" x14ac:dyDescent="0.2">
      <c r="B211" s="7">
        <v>44780</v>
      </c>
      <c r="C211" s="8">
        <v>20.722916666666674</v>
      </c>
      <c r="D211">
        <f t="shared" si="28"/>
        <v>23.999091666666672</v>
      </c>
      <c r="E211">
        <f t="shared" si="21"/>
        <v>23.924886666666673</v>
      </c>
      <c r="F211">
        <f t="shared" si="21"/>
        <v>23.850681666666674</v>
      </c>
      <c r="G211">
        <f t="shared" si="27"/>
        <v>23.776476666666674</v>
      </c>
      <c r="H211">
        <f t="shared" si="27"/>
        <v>23.702271666666675</v>
      </c>
      <c r="I211">
        <f t="shared" si="27"/>
        <v>23.628066666666673</v>
      </c>
      <c r="J211">
        <f t="shared" si="27"/>
        <v>23.553861666666673</v>
      </c>
      <c r="K211">
        <f t="shared" si="27"/>
        <v>23.479656666666674</v>
      </c>
      <c r="L211">
        <f t="shared" si="27"/>
        <v>23.405451666666675</v>
      </c>
      <c r="M211">
        <f t="shared" si="27"/>
        <v>23.331246666666672</v>
      </c>
      <c r="N211">
        <f t="shared" si="27"/>
        <v>23.257041666666673</v>
      </c>
      <c r="O211">
        <f t="shared" si="27"/>
        <v>23.182836666666674</v>
      </c>
      <c r="P211">
        <f t="shared" si="27"/>
        <v>23.108631666666675</v>
      </c>
      <c r="Q211">
        <f t="shared" si="27"/>
        <v>23.034426666666675</v>
      </c>
      <c r="R211">
        <f t="shared" si="27"/>
        <v>22.960221666666673</v>
      </c>
      <c r="S211">
        <f t="shared" si="27"/>
        <v>22.886016666666674</v>
      </c>
      <c r="T211">
        <f t="shared" ref="G211:T230" si="29">(-1.4841*T$3+3.6472)+$C211</f>
        <v>22.811811666666674</v>
      </c>
      <c r="U211">
        <f t="shared" si="26"/>
        <v>22.737606666666672</v>
      </c>
      <c r="V211">
        <f t="shared" si="26"/>
        <v>22.663401666666672</v>
      </c>
      <c r="W211">
        <f t="shared" si="26"/>
        <v>22.589196666666673</v>
      </c>
      <c r="X211">
        <f t="shared" si="26"/>
        <v>22.514991666666674</v>
      </c>
      <c r="Y211">
        <f t="shared" si="26"/>
        <v>22.440786666666675</v>
      </c>
      <c r="Z211">
        <f t="shared" si="26"/>
        <v>22.366581666666672</v>
      </c>
      <c r="AA211">
        <f t="shared" si="26"/>
        <v>22.292376666666673</v>
      </c>
      <c r="AB211">
        <f t="shared" si="26"/>
        <v>22.218171666666674</v>
      </c>
      <c r="AC211">
        <f t="shared" si="26"/>
        <v>22.143966666666671</v>
      </c>
      <c r="AD211">
        <f t="shared" si="22"/>
        <v>20.808276666666675</v>
      </c>
    </row>
    <row r="212" spans="2:30" x14ac:dyDescent="0.2">
      <c r="B212" s="7">
        <v>44781</v>
      </c>
      <c r="C212" s="8">
        <v>20.757638888888891</v>
      </c>
      <c r="D212">
        <f t="shared" si="28"/>
        <v>24.033813888888893</v>
      </c>
      <c r="E212">
        <f t="shared" si="21"/>
        <v>23.959608888888891</v>
      </c>
      <c r="F212">
        <f t="shared" si="21"/>
        <v>23.885403888888892</v>
      </c>
      <c r="G212">
        <f t="shared" si="29"/>
        <v>23.811198888888892</v>
      </c>
      <c r="H212">
        <f t="shared" si="29"/>
        <v>23.736993888888893</v>
      </c>
      <c r="I212">
        <f t="shared" si="29"/>
        <v>23.66278888888889</v>
      </c>
      <c r="J212">
        <f t="shared" si="29"/>
        <v>23.588583888888891</v>
      </c>
      <c r="K212">
        <f t="shared" si="29"/>
        <v>23.514378888888892</v>
      </c>
      <c r="L212">
        <f t="shared" si="29"/>
        <v>23.440173888888893</v>
      </c>
      <c r="M212">
        <f t="shared" si="29"/>
        <v>23.36596888888889</v>
      </c>
      <c r="N212">
        <f t="shared" si="29"/>
        <v>23.291763888888891</v>
      </c>
      <c r="O212">
        <f t="shared" si="29"/>
        <v>23.217558888888892</v>
      </c>
      <c r="P212">
        <f t="shared" si="29"/>
        <v>23.143353888888893</v>
      </c>
      <c r="Q212">
        <f t="shared" si="29"/>
        <v>23.06914888888889</v>
      </c>
      <c r="R212">
        <f t="shared" si="29"/>
        <v>22.994943888888891</v>
      </c>
      <c r="S212">
        <f t="shared" si="29"/>
        <v>22.920738888888891</v>
      </c>
      <c r="T212">
        <f t="shared" si="29"/>
        <v>22.846533888888892</v>
      </c>
      <c r="U212">
        <f t="shared" si="26"/>
        <v>22.772328888888893</v>
      </c>
      <c r="V212">
        <f t="shared" si="26"/>
        <v>22.69812388888889</v>
      </c>
      <c r="W212">
        <f t="shared" si="26"/>
        <v>22.623918888888891</v>
      </c>
      <c r="X212">
        <f t="shared" si="26"/>
        <v>22.549713888888892</v>
      </c>
      <c r="Y212">
        <f t="shared" si="26"/>
        <v>22.475508888888889</v>
      </c>
      <c r="Z212">
        <f t="shared" si="26"/>
        <v>22.40130388888889</v>
      </c>
      <c r="AA212">
        <f t="shared" si="26"/>
        <v>22.327098888888891</v>
      </c>
      <c r="AB212">
        <f t="shared" si="26"/>
        <v>22.252893888888892</v>
      </c>
      <c r="AC212">
        <f t="shared" si="26"/>
        <v>22.178688888888892</v>
      </c>
      <c r="AD212">
        <f t="shared" si="22"/>
        <v>20.842998888888893</v>
      </c>
    </row>
    <row r="213" spans="2:30" x14ac:dyDescent="0.2">
      <c r="B213" s="7">
        <v>44782</v>
      </c>
      <c r="C213" s="8">
        <v>21.497222222222227</v>
      </c>
      <c r="D213">
        <f t="shared" si="28"/>
        <v>24.773397222222229</v>
      </c>
      <c r="E213">
        <f t="shared" ref="E213:F276" si="30">(-1.4841*E$3+3.6472)+$C213</f>
        <v>24.699192222222226</v>
      </c>
      <c r="F213">
        <f t="shared" si="30"/>
        <v>24.624987222222227</v>
      </c>
      <c r="G213">
        <f t="shared" si="29"/>
        <v>24.550782222222228</v>
      </c>
      <c r="H213">
        <f t="shared" si="29"/>
        <v>24.476577222222229</v>
      </c>
      <c r="I213">
        <f t="shared" si="29"/>
        <v>24.402372222222226</v>
      </c>
      <c r="J213">
        <f t="shared" si="29"/>
        <v>24.328167222222227</v>
      </c>
      <c r="K213">
        <f t="shared" si="29"/>
        <v>24.253962222222228</v>
      </c>
      <c r="L213">
        <f t="shared" si="29"/>
        <v>24.179757222222229</v>
      </c>
      <c r="M213">
        <f t="shared" si="29"/>
        <v>24.105552222222226</v>
      </c>
      <c r="N213">
        <f t="shared" si="29"/>
        <v>24.031347222222227</v>
      </c>
      <c r="O213">
        <f t="shared" si="29"/>
        <v>23.957142222222227</v>
      </c>
      <c r="P213">
        <f t="shared" si="29"/>
        <v>23.882937222222228</v>
      </c>
      <c r="Q213">
        <f t="shared" si="29"/>
        <v>23.808732222222226</v>
      </c>
      <c r="R213">
        <f t="shared" si="29"/>
        <v>23.734527222222226</v>
      </c>
      <c r="S213">
        <f t="shared" si="29"/>
        <v>23.660322222222227</v>
      </c>
      <c r="T213">
        <f t="shared" si="29"/>
        <v>23.586117222222228</v>
      </c>
      <c r="U213">
        <f t="shared" si="26"/>
        <v>23.511912222222229</v>
      </c>
      <c r="V213">
        <f t="shared" si="26"/>
        <v>23.437707222222226</v>
      </c>
      <c r="W213">
        <f t="shared" si="26"/>
        <v>23.363502222222227</v>
      </c>
      <c r="X213">
        <f t="shared" si="26"/>
        <v>23.289297222222228</v>
      </c>
      <c r="Y213">
        <f t="shared" si="26"/>
        <v>23.215092222222225</v>
      </c>
      <c r="Z213">
        <f t="shared" si="26"/>
        <v>23.140887222222226</v>
      </c>
      <c r="AA213">
        <f t="shared" si="26"/>
        <v>23.066682222222227</v>
      </c>
      <c r="AB213">
        <f t="shared" si="26"/>
        <v>22.992477222222227</v>
      </c>
      <c r="AC213">
        <f t="shared" si="26"/>
        <v>22.918272222222228</v>
      </c>
      <c r="AD213">
        <f t="shared" ref="AD213:AD276" si="31">(-1.4841*AD$3+3.6472)+$C213</f>
        <v>21.582582222222229</v>
      </c>
    </row>
    <row r="214" spans="2:30" x14ac:dyDescent="0.2">
      <c r="B214" s="7">
        <v>44783</v>
      </c>
      <c r="C214" s="8">
        <v>22.242361111111116</v>
      </c>
      <c r="D214">
        <f t="shared" si="28"/>
        <v>25.518536111111118</v>
      </c>
      <c r="E214">
        <f t="shared" si="30"/>
        <v>25.444331111111115</v>
      </c>
      <c r="F214">
        <f t="shared" si="30"/>
        <v>25.370126111111116</v>
      </c>
      <c r="G214">
        <f t="shared" si="29"/>
        <v>25.295921111111117</v>
      </c>
      <c r="H214">
        <f t="shared" si="29"/>
        <v>25.221716111111117</v>
      </c>
      <c r="I214">
        <f t="shared" si="29"/>
        <v>25.147511111111115</v>
      </c>
      <c r="J214">
        <f t="shared" si="29"/>
        <v>25.073306111111116</v>
      </c>
      <c r="K214">
        <f t="shared" si="29"/>
        <v>24.999101111111116</v>
      </c>
      <c r="L214">
        <f t="shared" si="29"/>
        <v>24.924896111111117</v>
      </c>
      <c r="M214">
        <f t="shared" si="29"/>
        <v>24.850691111111114</v>
      </c>
      <c r="N214">
        <f t="shared" si="29"/>
        <v>24.776486111111115</v>
      </c>
      <c r="O214">
        <f t="shared" si="29"/>
        <v>24.702281111111116</v>
      </c>
      <c r="P214">
        <f t="shared" si="29"/>
        <v>24.628076111111117</v>
      </c>
      <c r="Q214">
        <f t="shared" si="29"/>
        <v>24.553871111111114</v>
      </c>
      <c r="R214">
        <f t="shared" si="29"/>
        <v>24.479666111111115</v>
      </c>
      <c r="S214">
        <f t="shared" si="29"/>
        <v>24.405461111111116</v>
      </c>
      <c r="T214">
        <f t="shared" si="29"/>
        <v>24.331256111111117</v>
      </c>
      <c r="U214">
        <f t="shared" si="26"/>
        <v>24.257051111111117</v>
      </c>
      <c r="V214">
        <f t="shared" si="26"/>
        <v>24.182846111111115</v>
      </c>
      <c r="W214">
        <f t="shared" si="26"/>
        <v>24.108641111111115</v>
      </c>
      <c r="X214">
        <f t="shared" si="26"/>
        <v>24.034436111111116</v>
      </c>
      <c r="Y214">
        <f t="shared" si="26"/>
        <v>23.960231111111113</v>
      </c>
      <c r="Z214">
        <f t="shared" si="26"/>
        <v>23.886026111111114</v>
      </c>
      <c r="AA214">
        <f t="shared" si="26"/>
        <v>23.811821111111115</v>
      </c>
      <c r="AB214">
        <f t="shared" si="26"/>
        <v>23.737616111111116</v>
      </c>
      <c r="AC214">
        <f t="shared" si="26"/>
        <v>23.663411111111117</v>
      </c>
      <c r="AD214">
        <f t="shared" si="31"/>
        <v>22.327721111111117</v>
      </c>
    </row>
    <row r="215" spans="2:30" x14ac:dyDescent="0.2">
      <c r="B215" s="7">
        <v>44784</v>
      </c>
      <c r="C215" s="8">
        <v>23.170833333333341</v>
      </c>
      <c r="D215">
        <f t="shared" si="28"/>
        <v>26.447008333333343</v>
      </c>
      <c r="E215">
        <f t="shared" si="30"/>
        <v>26.372803333333341</v>
      </c>
      <c r="F215">
        <f t="shared" si="30"/>
        <v>26.298598333333342</v>
      </c>
      <c r="G215">
        <f t="shared" si="29"/>
        <v>26.224393333333342</v>
      </c>
      <c r="H215">
        <f t="shared" si="29"/>
        <v>26.150188333333343</v>
      </c>
      <c r="I215">
        <f t="shared" si="29"/>
        <v>26.07598333333334</v>
      </c>
      <c r="J215">
        <f t="shared" si="29"/>
        <v>26.001778333333341</v>
      </c>
      <c r="K215">
        <f t="shared" si="29"/>
        <v>25.927573333333342</v>
      </c>
      <c r="L215">
        <f t="shared" si="29"/>
        <v>25.853368333333343</v>
      </c>
      <c r="M215">
        <f t="shared" si="29"/>
        <v>25.77916333333334</v>
      </c>
      <c r="N215">
        <f t="shared" si="29"/>
        <v>25.704958333333341</v>
      </c>
      <c r="O215">
        <f t="shared" si="29"/>
        <v>25.630753333333342</v>
      </c>
      <c r="P215">
        <f t="shared" si="29"/>
        <v>25.556548333333343</v>
      </c>
      <c r="Q215">
        <f t="shared" si="29"/>
        <v>25.48234333333334</v>
      </c>
      <c r="R215">
        <f t="shared" si="29"/>
        <v>25.408138333333341</v>
      </c>
      <c r="S215">
        <f t="shared" si="29"/>
        <v>25.333933333333341</v>
      </c>
      <c r="T215">
        <f t="shared" si="29"/>
        <v>25.259728333333342</v>
      </c>
      <c r="U215">
        <f t="shared" si="26"/>
        <v>25.185523333333343</v>
      </c>
      <c r="V215">
        <f t="shared" si="26"/>
        <v>25.11131833333334</v>
      </c>
      <c r="W215">
        <f t="shared" si="26"/>
        <v>25.037113333333341</v>
      </c>
      <c r="X215">
        <f t="shared" si="26"/>
        <v>24.962908333333342</v>
      </c>
      <c r="Y215">
        <f t="shared" si="26"/>
        <v>24.888703333333339</v>
      </c>
      <c r="Z215">
        <f t="shared" si="26"/>
        <v>24.81449833333334</v>
      </c>
      <c r="AA215">
        <f t="shared" si="26"/>
        <v>24.740293333333341</v>
      </c>
      <c r="AB215">
        <f t="shared" si="26"/>
        <v>24.666088333333342</v>
      </c>
      <c r="AC215">
        <f t="shared" si="26"/>
        <v>24.591883333333342</v>
      </c>
      <c r="AD215">
        <f t="shared" si="31"/>
        <v>23.256193333333343</v>
      </c>
    </row>
    <row r="216" spans="2:30" x14ac:dyDescent="0.2">
      <c r="B216" s="7">
        <v>44785</v>
      </c>
      <c r="C216" s="8">
        <v>23.654166666666661</v>
      </c>
      <c r="D216">
        <f t="shared" si="28"/>
        <v>26.930341666666664</v>
      </c>
      <c r="E216">
        <f t="shared" si="30"/>
        <v>26.856136666666661</v>
      </c>
      <c r="F216">
        <f t="shared" si="30"/>
        <v>26.781931666666662</v>
      </c>
      <c r="G216">
        <f t="shared" si="29"/>
        <v>26.707726666666662</v>
      </c>
      <c r="H216">
        <f t="shared" si="29"/>
        <v>26.633521666666663</v>
      </c>
      <c r="I216">
        <f t="shared" si="29"/>
        <v>26.55931666666666</v>
      </c>
      <c r="J216">
        <f t="shared" si="29"/>
        <v>26.485111666666661</v>
      </c>
      <c r="K216">
        <f t="shared" si="29"/>
        <v>26.410906666666662</v>
      </c>
      <c r="L216">
        <f t="shared" si="29"/>
        <v>26.336701666666663</v>
      </c>
      <c r="M216">
        <f t="shared" si="29"/>
        <v>26.26249666666666</v>
      </c>
      <c r="N216">
        <f t="shared" si="29"/>
        <v>26.188291666666661</v>
      </c>
      <c r="O216">
        <f t="shared" si="29"/>
        <v>26.114086666666662</v>
      </c>
      <c r="P216">
        <f t="shared" si="29"/>
        <v>26.039881666666663</v>
      </c>
      <c r="Q216">
        <f t="shared" si="29"/>
        <v>25.96567666666666</v>
      </c>
      <c r="R216">
        <f t="shared" si="29"/>
        <v>25.891471666666661</v>
      </c>
      <c r="S216">
        <f t="shared" si="29"/>
        <v>25.817266666666661</v>
      </c>
      <c r="T216">
        <f t="shared" si="29"/>
        <v>25.743061666666662</v>
      </c>
      <c r="U216">
        <f t="shared" si="26"/>
        <v>25.668856666666663</v>
      </c>
      <c r="V216">
        <f t="shared" si="26"/>
        <v>25.59465166666666</v>
      </c>
      <c r="W216">
        <f t="shared" si="26"/>
        <v>25.520446666666661</v>
      </c>
      <c r="X216">
        <f t="shared" si="26"/>
        <v>25.446241666666662</v>
      </c>
      <c r="Y216">
        <f t="shared" si="26"/>
        <v>25.372036666666659</v>
      </c>
      <c r="Z216">
        <f t="shared" si="26"/>
        <v>25.29783166666666</v>
      </c>
      <c r="AA216">
        <f t="shared" si="26"/>
        <v>25.223626666666661</v>
      </c>
      <c r="AB216">
        <f t="shared" si="26"/>
        <v>25.149421666666662</v>
      </c>
      <c r="AC216">
        <f t="shared" si="26"/>
        <v>25.075216666666662</v>
      </c>
      <c r="AD216">
        <f t="shared" si="31"/>
        <v>23.739526666666663</v>
      </c>
    </row>
    <row r="217" spans="2:30" x14ac:dyDescent="0.2">
      <c r="B217" s="7">
        <v>44786</v>
      </c>
      <c r="C217" s="8">
        <v>23.981250000000017</v>
      </c>
      <c r="D217">
        <f t="shared" si="28"/>
        <v>27.257425000000019</v>
      </c>
      <c r="E217">
        <f t="shared" si="30"/>
        <v>27.183220000000016</v>
      </c>
      <c r="F217">
        <f t="shared" si="30"/>
        <v>27.109015000000017</v>
      </c>
      <c r="G217">
        <f t="shared" si="29"/>
        <v>27.034810000000018</v>
      </c>
      <c r="H217">
        <f t="shared" si="29"/>
        <v>26.960605000000019</v>
      </c>
      <c r="I217">
        <f t="shared" si="29"/>
        <v>26.886400000000016</v>
      </c>
      <c r="J217">
        <f t="shared" si="29"/>
        <v>26.812195000000017</v>
      </c>
      <c r="K217">
        <f t="shared" si="29"/>
        <v>26.737990000000018</v>
      </c>
      <c r="L217">
        <f t="shared" si="29"/>
        <v>26.663785000000018</v>
      </c>
      <c r="M217">
        <f t="shared" si="29"/>
        <v>26.589580000000016</v>
      </c>
      <c r="N217">
        <f t="shared" si="29"/>
        <v>26.515375000000017</v>
      </c>
      <c r="O217">
        <f t="shared" si="29"/>
        <v>26.441170000000017</v>
      </c>
      <c r="P217">
        <f t="shared" si="29"/>
        <v>26.366965000000018</v>
      </c>
      <c r="Q217">
        <f t="shared" si="29"/>
        <v>26.292760000000015</v>
      </c>
      <c r="R217">
        <f t="shared" si="29"/>
        <v>26.218555000000016</v>
      </c>
      <c r="S217">
        <f t="shared" si="29"/>
        <v>26.144350000000017</v>
      </c>
      <c r="T217">
        <f t="shared" si="29"/>
        <v>26.070145000000018</v>
      </c>
      <c r="U217">
        <f t="shared" si="26"/>
        <v>25.995940000000019</v>
      </c>
      <c r="V217">
        <f t="shared" si="26"/>
        <v>25.921735000000016</v>
      </c>
      <c r="W217">
        <f t="shared" si="26"/>
        <v>25.847530000000017</v>
      </c>
      <c r="X217">
        <f t="shared" si="26"/>
        <v>25.773325000000018</v>
      </c>
      <c r="Y217">
        <f t="shared" si="26"/>
        <v>25.699120000000015</v>
      </c>
      <c r="Z217">
        <f t="shared" si="26"/>
        <v>25.624915000000016</v>
      </c>
      <c r="AA217">
        <f t="shared" si="26"/>
        <v>25.550710000000016</v>
      </c>
      <c r="AB217">
        <f t="shared" si="26"/>
        <v>25.476505000000017</v>
      </c>
      <c r="AC217">
        <f t="shared" si="26"/>
        <v>25.402300000000018</v>
      </c>
      <c r="AD217">
        <f t="shared" si="31"/>
        <v>24.066610000000018</v>
      </c>
    </row>
    <row r="218" spans="2:30" x14ac:dyDescent="0.2">
      <c r="B218" s="7">
        <v>44787</v>
      </c>
      <c r="C218" s="8">
        <v>24.719444444444459</v>
      </c>
      <c r="D218">
        <f t="shared" si="28"/>
        <v>27.995619444444458</v>
      </c>
      <c r="E218">
        <f t="shared" si="30"/>
        <v>27.921414444444459</v>
      </c>
      <c r="F218">
        <f t="shared" si="30"/>
        <v>27.847209444444459</v>
      </c>
      <c r="G218">
        <f t="shared" si="29"/>
        <v>27.77300444444446</v>
      </c>
      <c r="H218">
        <f t="shared" si="29"/>
        <v>27.698799444444461</v>
      </c>
      <c r="I218">
        <f t="shared" si="29"/>
        <v>27.624594444444458</v>
      </c>
      <c r="J218">
        <f t="shared" si="29"/>
        <v>27.550389444444459</v>
      </c>
      <c r="K218">
        <f t="shared" si="29"/>
        <v>27.47618444444446</v>
      </c>
      <c r="L218">
        <f t="shared" si="29"/>
        <v>27.401979444444461</v>
      </c>
      <c r="M218">
        <f t="shared" si="29"/>
        <v>27.327774444444458</v>
      </c>
      <c r="N218">
        <f t="shared" si="29"/>
        <v>27.253569444444459</v>
      </c>
      <c r="O218">
        <f t="shared" si="29"/>
        <v>27.17936444444446</v>
      </c>
      <c r="P218">
        <f t="shared" si="29"/>
        <v>27.10515944444446</v>
      </c>
      <c r="Q218">
        <f t="shared" si="29"/>
        <v>27.030954444444461</v>
      </c>
      <c r="R218">
        <f t="shared" si="29"/>
        <v>26.956749444444458</v>
      </c>
      <c r="S218">
        <f t="shared" si="29"/>
        <v>26.882544444444459</v>
      </c>
      <c r="T218">
        <f t="shared" si="29"/>
        <v>26.80833944444446</v>
      </c>
      <c r="U218">
        <f t="shared" si="26"/>
        <v>26.734134444444457</v>
      </c>
      <c r="V218">
        <f t="shared" si="26"/>
        <v>26.659929444444458</v>
      </c>
      <c r="W218">
        <f t="shared" si="26"/>
        <v>26.585724444444459</v>
      </c>
      <c r="X218">
        <f t="shared" si="26"/>
        <v>26.51151944444446</v>
      </c>
      <c r="Y218">
        <f t="shared" si="26"/>
        <v>26.437314444444461</v>
      </c>
      <c r="Z218">
        <f t="shared" si="26"/>
        <v>26.363109444444458</v>
      </c>
      <c r="AA218">
        <f t="shared" si="26"/>
        <v>26.288904444444459</v>
      </c>
      <c r="AB218">
        <f t="shared" si="26"/>
        <v>26.214699444444459</v>
      </c>
      <c r="AC218">
        <f t="shared" si="26"/>
        <v>26.140494444444457</v>
      </c>
      <c r="AD218">
        <f t="shared" si="31"/>
        <v>24.804804444444461</v>
      </c>
    </row>
    <row r="219" spans="2:30" x14ac:dyDescent="0.2">
      <c r="B219" s="7">
        <v>44788</v>
      </c>
      <c r="C219" s="8">
        <v>24.161111111111126</v>
      </c>
      <c r="D219">
        <f t="shared" si="28"/>
        <v>27.437286111111128</v>
      </c>
      <c r="E219">
        <f t="shared" si="30"/>
        <v>27.363081111111125</v>
      </c>
      <c r="F219">
        <f t="shared" si="30"/>
        <v>27.288876111111126</v>
      </c>
      <c r="G219">
        <f t="shared" si="29"/>
        <v>27.214671111111127</v>
      </c>
      <c r="H219">
        <f t="shared" si="29"/>
        <v>27.140466111111127</v>
      </c>
      <c r="I219">
        <f t="shared" si="29"/>
        <v>27.066261111111125</v>
      </c>
      <c r="J219">
        <f t="shared" si="29"/>
        <v>26.992056111111125</v>
      </c>
      <c r="K219">
        <f t="shared" si="29"/>
        <v>26.917851111111126</v>
      </c>
      <c r="L219">
        <f t="shared" si="29"/>
        <v>26.843646111111127</v>
      </c>
      <c r="M219">
        <f t="shared" si="29"/>
        <v>26.769441111111124</v>
      </c>
      <c r="N219">
        <f t="shared" si="29"/>
        <v>26.695236111111125</v>
      </c>
      <c r="O219">
        <f t="shared" si="29"/>
        <v>26.621031111111126</v>
      </c>
      <c r="P219">
        <f t="shared" si="29"/>
        <v>26.546826111111127</v>
      </c>
      <c r="Q219">
        <f t="shared" si="29"/>
        <v>26.472621111111124</v>
      </c>
      <c r="R219">
        <f t="shared" si="29"/>
        <v>26.398416111111125</v>
      </c>
      <c r="S219">
        <f t="shared" si="29"/>
        <v>26.324211111111126</v>
      </c>
      <c r="T219">
        <f t="shared" si="29"/>
        <v>26.250006111111126</v>
      </c>
      <c r="U219">
        <f t="shared" si="26"/>
        <v>26.175801111111127</v>
      </c>
      <c r="V219">
        <f t="shared" si="26"/>
        <v>26.101596111111125</v>
      </c>
      <c r="W219">
        <f t="shared" si="26"/>
        <v>26.027391111111125</v>
      </c>
      <c r="X219">
        <f t="shared" si="26"/>
        <v>25.953186111111126</v>
      </c>
      <c r="Y219">
        <f t="shared" si="26"/>
        <v>25.878981111111123</v>
      </c>
      <c r="Z219">
        <f t="shared" ref="U219:AC247" si="32">(-1.4841*Z$3+3.6472)+$C219</f>
        <v>25.804776111111124</v>
      </c>
      <c r="AA219">
        <f t="shared" si="32"/>
        <v>25.730571111111125</v>
      </c>
      <c r="AB219">
        <f t="shared" si="32"/>
        <v>25.656366111111126</v>
      </c>
      <c r="AC219">
        <f t="shared" si="32"/>
        <v>25.582161111111127</v>
      </c>
      <c r="AD219">
        <f t="shared" si="31"/>
        <v>24.246471111111127</v>
      </c>
    </row>
    <row r="220" spans="2:30" x14ac:dyDescent="0.2">
      <c r="B220" s="7">
        <v>44789</v>
      </c>
      <c r="C220" s="8">
        <v>23.447222222222219</v>
      </c>
      <c r="D220">
        <f t="shared" si="28"/>
        <v>26.723397222222218</v>
      </c>
      <c r="E220">
        <f t="shared" si="30"/>
        <v>26.649192222222219</v>
      </c>
      <c r="F220">
        <f t="shared" si="30"/>
        <v>26.574987222222219</v>
      </c>
      <c r="G220">
        <f t="shared" si="29"/>
        <v>26.50078222222222</v>
      </c>
      <c r="H220">
        <f t="shared" si="29"/>
        <v>26.426577222222221</v>
      </c>
      <c r="I220">
        <f t="shared" si="29"/>
        <v>26.352372222222218</v>
      </c>
      <c r="J220">
        <f t="shared" si="29"/>
        <v>26.278167222222219</v>
      </c>
      <c r="K220">
        <f t="shared" si="29"/>
        <v>26.20396222222222</v>
      </c>
      <c r="L220">
        <f t="shared" si="29"/>
        <v>26.129757222222221</v>
      </c>
      <c r="M220">
        <f t="shared" si="29"/>
        <v>26.055552222222218</v>
      </c>
      <c r="N220">
        <f t="shared" si="29"/>
        <v>25.981347222222219</v>
      </c>
      <c r="O220">
        <f t="shared" si="29"/>
        <v>25.90714222222222</v>
      </c>
      <c r="P220">
        <f t="shared" si="29"/>
        <v>25.83293722222222</v>
      </c>
      <c r="Q220">
        <f t="shared" si="29"/>
        <v>25.758732222222221</v>
      </c>
      <c r="R220">
        <f t="shared" si="29"/>
        <v>25.684527222222219</v>
      </c>
      <c r="S220">
        <f t="shared" si="29"/>
        <v>25.610322222222219</v>
      </c>
      <c r="T220">
        <f t="shared" si="29"/>
        <v>25.53611722222222</v>
      </c>
      <c r="U220">
        <f t="shared" si="32"/>
        <v>25.461912222222217</v>
      </c>
      <c r="V220">
        <f t="shared" si="32"/>
        <v>25.387707222222218</v>
      </c>
      <c r="W220">
        <f t="shared" si="32"/>
        <v>25.313502222222219</v>
      </c>
      <c r="X220">
        <f t="shared" si="32"/>
        <v>25.23929722222222</v>
      </c>
      <c r="Y220">
        <f t="shared" si="32"/>
        <v>25.165092222222221</v>
      </c>
      <c r="Z220">
        <f t="shared" si="32"/>
        <v>25.090887222222218</v>
      </c>
      <c r="AA220">
        <f t="shared" si="32"/>
        <v>25.016682222222219</v>
      </c>
      <c r="AB220">
        <f t="shared" si="32"/>
        <v>24.94247722222222</v>
      </c>
      <c r="AC220">
        <f t="shared" si="32"/>
        <v>24.868272222222217</v>
      </c>
      <c r="AD220">
        <f t="shared" si="31"/>
        <v>23.532582222222221</v>
      </c>
    </row>
    <row r="221" spans="2:30" x14ac:dyDescent="0.2">
      <c r="B221" s="7">
        <v>44790</v>
      </c>
      <c r="C221" s="8">
        <v>21.41041666666667</v>
      </c>
      <c r="D221">
        <f t="shared" si="28"/>
        <v>24.686591666666672</v>
      </c>
      <c r="E221">
        <f t="shared" si="30"/>
        <v>24.612386666666669</v>
      </c>
      <c r="F221">
        <f t="shared" si="30"/>
        <v>24.53818166666667</v>
      </c>
      <c r="G221">
        <f t="shared" si="29"/>
        <v>24.463976666666671</v>
      </c>
      <c r="H221">
        <f t="shared" si="29"/>
        <v>24.389771666666672</v>
      </c>
      <c r="I221">
        <f t="shared" si="29"/>
        <v>24.315566666666669</v>
      </c>
      <c r="J221">
        <f t="shared" si="29"/>
        <v>24.24136166666667</v>
      </c>
      <c r="K221">
        <f t="shared" si="29"/>
        <v>24.167156666666671</v>
      </c>
      <c r="L221">
        <f t="shared" si="29"/>
        <v>24.092951666666671</v>
      </c>
      <c r="M221">
        <f t="shared" si="29"/>
        <v>24.018746666666669</v>
      </c>
      <c r="N221">
        <f t="shared" si="29"/>
        <v>23.944541666666669</v>
      </c>
      <c r="O221">
        <f t="shared" si="29"/>
        <v>23.87033666666667</v>
      </c>
      <c r="P221">
        <f t="shared" si="29"/>
        <v>23.796131666666671</v>
      </c>
      <c r="Q221">
        <f t="shared" si="29"/>
        <v>23.721926666666668</v>
      </c>
      <c r="R221">
        <f t="shared" si="29"/>
        <v>23.647721666666669</v>
      </c>
      <c r="S221">
        <f t="shared" si="29"/>
        <v>23.57351666666667</v>
      </c>
      <c r="T221">
        <f t="shared" si="29"/>
        <v>23.499311666666671</v>
      </c>
      <c r="U221">
        <f t="shared" si="32"/>
        <v>23.425106666666672</v>
      </c>
      <c r="V221">
        <f t="shared" si="32"/>
        <v>23.350901666666669</v>
      </c>
      <c r="W221">
        <f t="shared" si="32"/>
        <v>23.27669666666667</v>
      </c>
      <c r="X221">
        <f t="shared" si="32"/>
        <v>23.202491666666671</v>
      </c>
      <c r="Y221">
        <f t="shared" si="32"/>
        <v>23.128286666666668</v>
      </c>
      <c r="Z221">
        <f t="shared" si="32"/>
        <v>23.054081666666669</v>
      </c>
      <c r="AA221">
        <f t="shared" si="32"/>
        <v>22.979876666666669</v>
      </c>
      <c r="AB221">
        <f t="shared" si="32"/>
        <v>22.90567166666667</v>
      </c>
      <c r="AC221">
        <f t="shared" si="32"/>
        <v>22.831466666666671</v>
      </c>
      <c r="AD221">
        <f t="shared" si="31"/>
        <v>21.495776666666671</v>
      </c>
    </row>
    <row r="222" spans="2:30" x14ac:dyDescent="0.2">
      <c r="B222" s="7">
        <v>44791</v>
      </c>
      <c r="C222" s="8">
        <v>21.968055555555548</v>
      </c>
      <c r="D222">
        <f t="shared" si="28"/>
        <v>25.244230555555546</v>
      </c>
      <c r="E222">
        <f t="shared" si="30"/>
        <v>25.170025555555547</v>
      </c>
      <c r="F222">
        <f t="shared" si="30"/>
        <v>25.095820555555548</v>
      </c>
      <c r="G222">
        <f t="shared" si="29"/>
        <v>25.021615555555549</v>
      </c>
      <c r="H222">
        <f t="shared" si="29"/>
        <v>24.94741055555555</v>
      </c>
      <c r="I222">
        <f t="shared" si="29"/>
        <v>24.873205555555547</v>
      </c>
      <c r="J222">
        <f t="shared" si="29"/>
        <v>24.799000555555548</v>
      </c>
      <c r="K222">
        <f t="shared" si="29"/>
        <v>24.724795555555549</v>
      </c>
      <c r="L222">
        <f t="shared" si="29"/>
        <v>24.650590555555549</v>
      </c>
      <c r="M222">
        <f t="shared" si="29"/>
        <v>24.576385555555547</v>
      </c>
      <c r="N222">
        <f t="shared" si="29"/>
        <v>24.502180555555547</v>
      </c>
      <c r="O222">
        <f t="shared" si="29"/>
        <v>24.427975555555548</v>
      </c>
      <c r="P222">
        <f t="shared" si="29"/>
        <v>24.353770555555549</v>
      </c>
      <c r="Q222">
        <f t="shared" si="29"/>
        <v>24.27956555555555</v>
      </c>
      <c r="R222">
        <f t="shared" si="29"/>
        <v>24.205360555555547</v>
      </c>
      <c r="S222">
        <f t="shared" si="29"/>
        <v>24.131155555555548</v>
      </c>
      <c r="T222">
        <f t="shared" si="29"/>
        <v>24.056950555555549</v>
      </c>
      <c r="U222">
        <f t="shared" si="32"/>
        <v>23.982745555555546</v>
      </c>
      <c r="V222">
        <f t="shared" si="32"/>
        <v>23.908540555555547</v>
      </c>
      <c r="W222">
        <f t="shared" si="32"/>
        <v>23.834335555555548</v>
      </c>
      <c r="X222">
        <f t="shared" si="32"/>
        <v>23.760130555555548</v>
      </c>
      <c r="Y222">
        <f t="shared" si="32"/>
        <v>23.685925555555549</v>
      </c>
      <c r="Z222">
        <f t="shared" si="32"/>
        <v>23.611720555555546</v>
      </c>
      <c r="AA222">
        <f t="shared" si="32"/>
        <v>23.537515555555547</v>
      </c>
      <c r="AB222">
        <f t="shared" si="32"/>
        <v>23.463310555555548</v>
      </c>
      <c r="AC222">
        <f t="shared" si="32"/>
        <v>23.389105555555545</v>
      </c>
      <c r="AD222">
        <f t="shared" si="31"/>
        <v>22.053415555555549</v>
      </c>
    </row>
    <row r="223" spans="2:30" x14ac:dyDescent="0.2">
      <c r="B223" s="7">
        <v>44792</v>
      </c>
      <c r="C223" s="8">
        <v>22.237499999999997</v>
      </c>
      <c r="D223">
        <f t="shared" si="28"/>
        <v>25.513674999999999</v>
      </c>
      <c r="E223">
        <f t="shared" si="30"/>
        <v>25.439469999999996</v>
      </c>
      <c r="F223">
        <f t="shared" si="30"/>
        <v>25.365264999999997</v>
      </c>
      <c r="G223">
        <f t="shared" si="29"/>
        <v>25.291059999999998</v>
      </c>
      <c r="H223">
        <f t="shared" si="29"/>
        <v>25.216854999999999</v>
      </c>
      <c r="I223">
        <f t="shared" si="29"/>
        <v>25.142649999999996</v>
      </c>
      <c r="J223">
        <f t="shared" si="29"/>
        <v>25.068444999999997</v>
      </c>
      <c r="K223">
        <f t="shared" si="29"/>
        <v>24.994239999999998</v>
      </c>
      <c r="L223">
        <f t="shared" si="29"/>
        <v>24.920034999999999</v>
      </c>
      <c r="M223">
        <f t="shared" si="29"/>
        <v>24.845829999999996</v>
      </c>
      <c r="N223">
        <f t="shared" si="29"/>
        <v>24.771624999999997</v>
      </c>
      <c r="O223">
        <f t="shared" si="29"/>
        <v>24.697419999999997</v>
      </c>
      <c r="P223">
        <f t="shared" si="29"/>
        <v>24.623214999999998</v>
      </c>
      <c r="Q223">
        <f t="shared" si="29"/>
        <v>24.549009999999996</v>
      </c>
      <c r="R223">
        <f t="shared" si="29"/>
        <v>24.474804999999996</v>
      </c>
      <c r="S223">
        <f t="shared" si="29"/>
        <v>24.400599999999997</v>
      </c>
      <c r="T223">
        <f t="shared" si="29"/>
        <v>24.326394999999998</v>
      </c>
      <c r="U223">
        <f t="shared" si="32"/>
        <v>24.252189999999999</v>
      </c>
      <c r="V223">
        <f t="shared" si="32"/>
        <v>24.177984999999996</v>
      </c>
      <c r="W223">
        <f t="shared" si="32"/>
        <v>24.103779999999997</v>
      </c>
      <c r="X223">
        <f t="shared" si="32"/>
        <v>24.029574999999998</v>
      </c>
      <c r="Y223">
        <f t="shared" si="32"/>
        <v>23.955369999999995</v>
      </c>
      <c r="Z223">
        <f t="shared" si="32"/>
        <v>23.881164999999996</v>
      </c>
      <c r="AA223">
        <f t="shared" si="32"/>
        <v>23.806959999999997</v>
      </c>
      <c r="AB223">
        <f t="shared" si="32"/>
        <v>23.732754999999997</v>
      </c>
      <c r="AC223">
        <f t="shared" si="32"/>
        <v>23.658549999999998</v>
      </c>
      <c r="AD223">
        <f t="shared" si="31"/>
        <v>22.322859999999999</v>
      </c>
    </row>
    <row r="224" spans="2:30" x14ac:dyDescent="0.2">
      <c r="B224" s="7">
        <v>44793</v>
      </c>
      <c r="C224" s="8">
        <v>22.897222222222226</v>
      </c>
      <c r="D224">
        <f t="shared" si="28"/>
        <v>26.173397222222228</v>
      </c>
      <c r="E224">
        <f t="shared" si="30"/>
        <v>26.099192222222225</v>
      </c>
      <c r="F224">
        <f t="shared" si="30"/>
        <v>26.024987222222226</v>
      </c>
      <c r="G224">
        <f t="shared" si="29"/>
        <v>25.950782222222227</v>
      </c>
      <c r="H224">
        <f t="shared" si="29"/>
        <v>25.876577222222227</v>
      </c>
      <c r="I224">
        <f t="shared" si="29"/>
        <v>25.802372222222225</v>
      </c>
      <c r="J224">
        <f t="shared" si="29"/>
        <v>25.728167222222226</v>
      </c>
      <c r="K224">
        <f t="shared" si="29"/>
        <v>25.653962222222226</v>
      </c>
      <c r="L224">
        <f t="shared" si="29"/>
        <v>25.579757222222227</v>
      </c>
      <c r="M224">
        <f t="shared" si="29"/>
        <v>25.505552222222224</v>
      </c>
      <c r="N224">
        <f t="shared" si="29"/>
        <v>25.431347222222225</v>
      </c>
      <c r="O224">
        <f t="shared" si="29"/>
        <v>25.357142222222226</v>
      </c>
      <c r="P224">
        <f t="shared" si="29"/>
        <v>25.282937222222227</v>
      </c>
      <c r="Q224">
        <f t="shared" si="29"/>
        <v>25.208732222222224</v>
      </c>
      <c r="R224">
        <f t="shared" si="29"/>
        <v>25.134527222222225</v>
      </c>
      <c r="S224">
        <f t="shared" si="29"/>
        <v>25.060322222222226</v>
      </c>
      <c r="T224">
        <f t="shared" si="29"/>
        <v>24.986117222222227</v>
      </c>
      <c r="U224">
        <f t="shared" si="32"/>
        <v>24.911912222222227</v>
      </c>
      <c r="V224">
        <f t="shared" si="32"/>
        <v>24.837707222222225</v>
      </c>
      <c r="W224">
        <f t="shared" si="32"/>
        <v>24.763502222222225</v>
      </c>
      <c r="X224">
        <f t="shared" si="32"/>
        <v>24.689297222222226</v>
      </c>
      <c r="Y224">
        <f t="shared" si="32"/>
        <v>24.615092222222223</v>
      </c>
      <c r="Z224">
        <f t="shared" si="32"/>
        <v>24.540887222222224</v>
      </c>
      <c r="AA224">
        <f t="shared" si="32"/>
        <v>24.466682222222225</v>
      </c>
      <c r="AB224">
        <f t="shared" si="32"/>
        <v>24.392477222222226</v>
      </c>
      <c r="AC224">
        <f t="shared" si="32"/>
        <v>24.318272222222227</v>
      </c>
      <c r="AD224">
        <f t="shared" si="31"/>
        <v>22.982582222222227</v>
      </c>
    </row>
    <row r="225" spans="2:30" x14ac:dyDescent="0.2">
      <c r="B225" s="7">
        <v>44794</v>
      </c>
      <c r="C225" s="8">
        <v>21.726388888888895</v>
      </c>
      <c r="D225">
        <f t="shared" si="28"/>
        <v>25.002563888888893</v>
      </c>
      <c r="E225">
        <f t="shared" si="30"/>
        <v>24.928358888888894</v>
      </c>
      <c r="F225">
        <f t="shared" si="30"/>
        <v>24.854153888888895</v>
      </c>
      <c r="G225">
        <f t="shared" si="29"/>
        <v>24.779948888888896</v>
      </c>
      <c r="H225">
        <f t="shared" si="29"/>
        <v>24.705743888888897</v>
      </c>
      <c r="I225">
        <f t="shared" si="29"/>
        <v>24.631538888888894</v>
      </c>
      <c r="J225">
        <f t="shared" si="29"/>
        <v>24.557333888888895</v>
      </c>
      <c r="K225">
        <f t="shared" si="29"/>
        <v>24.483128888888896</v>
      </c>
      <c r="L225">
        <f t="shared" si="29"/>
        <v>24.408923888888896</v>
      </c>
      <c r="M225">
        <f t="shared" si="29"/>
        <v>24.334718888888894</v>
      </c>
      <c r="N225">
        <f t="shared" si="29"/>
        <v>24.260513888888894</v>
      </c>
      <c r="O225">
        <f t="shared" si="29"/>
        <v>24.186308888888895</v>
      </c>
      <c r="P225">
        <f t="shared" si="29"/>
        <v>24.112103888888896</v>
      </c>
      <c r="Q225">
        <f t="shared" si="29"/>
        <v>24.037898888888897</v>
      </c>
      <c r="R225">
        <f t="shared" si="29"/>
        <v>23.963693888888894</v>
      </c>
      <c r="S225">
        <f t="shared" si="29"/>
        <v>23.889488888888895</v>
      </c>
      <c r="T225">
        <f t="shared" si="29"/>
        <v>23.815283888888896</v>
      </c>
      <c r="U225">
        <f t="shared" si="32"/>
        <v>23.741078888888893</v>
      </c>
      <c r="V225">
        <f t="shared" si="32"/>
        <v>23.666873888888894</v>
      </c>
      <c r="W225">
        <f t="shared" si="32"/>
        <v>23.592668888888895</v>
      </c>
      <c r="X225">
        <f t="shared" si="32"/>
        <v>23.518463888888895</v>
      </c>
      <c r="Y225">
        <f t="shared" si="32"/>
        <v>23.444258888888896</v>
      </c>
      <c r="Z225">
        <f t="shared" si="32"/>
        <v>23.370053888888894</v>
      </c>
      <c r="AA225">
        <f t="shared" si="32"/>
        <v>23.295848888888894</v>
      </c>
      <c r="AB225">
        <f t="shared" si="32"/>
        <v>23.221643888888895</v>
      </c>
      <c r="AC225">
        <f t="shared" si="32"/>
        <v>23.147438888888892</v>
      </c>
      <c r="AD225">
        <f t="shared" si="31"/>
        <v>21.811748888888896</v>
      </c>
    </row>
    <row r="226" spans="2:30" x14ac:dyDescent="0.2">
      <c r="B226" s="7">
        <v>44795</v>
      </c>
      <c r="C226" s="8">
        <v>22.916319444444454</v>
      </c>
      <c r="D226">
        <f t="shared" si="28"/>
        <v>26.192494444444456</v>
      </c>
      <c r="E226">
        <f t="shared" si="30"/>
        <v>26.118289444444454</v>
      </c>
      <c r="F226">
        <f t="shared" si="30"/>
        <v>26.044084444444454</v>
      </c>
      <c r="G226">
        <f t="shared" si="29"/>
        <v>25.969879444444455</v>
      </c>
      <c r="H226">
        <f t="shared" si="29"/>
        <v>25.895674444444456</v>
      </c>
      <c r="I226">
        <f t="shared" si="29"/>
        <v>25.821469444444453</v>
      </c>
      <c r="J226">
        <f t="shared" si="29"/>
        <v>25.747264444444454</v>
      </c>
      <c r="K226">
        <f t="shared" si="29"/>
        <v>25.673059444444455</v>
      </c>
      <c r="L226">
        <f t="shared" si="29"/>
        <v>25.598854444444456</v>
      </c>
      <c r="M226">
        <f t="shared" si="29"/>
        <v>25.524649444444453</v>
      </c>
      <c r="N226">
        <f t="shared" si="29"/>
        <v>25.450444444444454</v>
      </c>
      <c r="O226">
        <f t="shared" si="29"/>
        <v>25.376239444444455</v>
      </c>
      <c r="P226">
        <f t="shared" si="29"/>
        <v>25.302034444444455</v>
      </c>
      <c r="Q226">
        <f t="shared" si="29"/>
        <v>25.227829444444453</v>
      </c>
      <c r="R226">
        <f t="shared" si="29"/>
        <v>25.153624444444453</v>
      </c>
      <c r="S226">
        <f t="shared" si="29"/>
        <v>25.079419444444454</v>
      </c>
      <c r="T226">
        <f t="shared" si="29"/>
        <v>25.005214444444455</v>
      </c>
      <c r="U226">
        <f t="shared" si="32"/>
        <v>24.931009444444456</v>
      </c>
      <c r="V226">
        <f t="shared" si="32"/>
        <v>24.856804444444453</v>
      </c>
      <c r="W226">
        <f t="shared" si="32"/>
        <v>24.782599444444454</v>
      </c>
      <c r="X226">
        <f t="shared" si="32"/>
        <v>24.708394444444455</v>
      </c>
      <c r="Y226">
        <f t="shared" si="32"/>
        <v>24.634189444444452</v>
      </c>
      <c r="Z226">
        <f t="shared" si="32"/>
        <v>24.559984444444453</v>
      </c>
      <c r="AA226">
        <f t="shared" si="32"/>
        <v>24.485779444444454</v>
      </c>
      <c r="AB226">
        <f t="shared" si="32"/>
        <v>24.411574444444454</v>
      </c>
      <c r="AC226">
        <f t="shared" si="32"/>
        <v>24.337369444444455</v>
      </c>
      <c r="AD226">
        <f t="shared" si="31"/>
        <v>23.001679444444456</v>
      </c>
    </row>
    <row r="227" spans="2:30" x14ac:dyDescent="0.2">
      <c r="B227" s="7">
        <v>44796</v>
      </c>
      <c r="C227" s="8">
        <v>23.813888888888883</v>
      </c>
      <c r="D227">
        <f t="shared" si="28"/>
        <v>27.090063888888885</v>
      </c>
      <c r="E227">
        <f t="shared" si="30"/>
        <v>27.015858888888882</v>
      </c>
      <c r="F227">
        <f t="shared" si="30"/>
        <v>26.941653888888883</v>
      </c>
      <c r="G227">
        <f t="shared" si="29"/>
        <v>26.867448888888884</v>
      </c>
      <c r="H227">
        <f t="shared" si="29"/>
        <v>26.793243888888885</v>
      </c>
      <c r="I227">
        <f t="shared" si="29"/>
        <v>26.719038888888882</v>
      </c>
      <c r="J227">
        <f t="shared" si="29"/>
        <v>26.644833888888883</v>
      </c>
      <c r="K227">
        <f t="shared" si="29"/>
        <v>26.570628888888884</v>
      </c>
      <c r="L227">
        <f t="shared" si="29"/>
        <v>26.496423888888884</v>
      </c>
      <c r="M227">
        <f t="shared" si="29"/>
        <v>26.422218888888882</v>
      </c>
      <c r="N227">
        <f t="shared" si="29"/>
        <v>26.348013888888882</v>
      </c>
      <c r="O227">
        <f t="shared" si="29"/>
        <v>26.273808888888883</v>
      </c>
      <c r="P227">
        <f t="shared" si="29"/>
        <v>26.199603888888884</v>
      </c>
      <c r="Q227">
        <f t="shared" si="29"/>
        <v>26.125398888888881</v>
      </c>
      <c r="R227">
        <f t="shared" si="29"/>
        <v>26.051193888888882</v>
      </c>
      <c r="S227">
        <f t="shared" si="29"/>
        <v>25.976988888888883</v>
      </c>
      <c r="T227">
        <f t="shared" si="29"/>
        <v>25.902783888888884</v>
      </c>
      <c r="U227">
        <f t="shared" si="32"/>
        <v>25.828578888888885</v>
      </c>
      <c r="V227">
        <f t="shared" si="32"/>
        <v>25.754373888888882</v>
      </c>
      <c r="W227">
        <f t="shared" si="32"/>
        <v>25.680168888888883</v>
      </c>
      <c r="X227">
        <f t="shared" si="32"/>
        <v>25.605963888888883</v>
      </c>
      <c r="Y227">
        <f t="shared" si="32"/>
        <v>25.531758888888881</v>
      </c>
      <c r="Z227">
        <f t="shared" si="32"/>
        <v>25.457553888888881</v>
      </c>
      <c r="AA227">
        <f t="shared" si="32"/>
        <v>25.383348888888882</v>
      </c>
      <c r="AB227">
        <f t="shared" si="32"/>
        <v>25.309143888888883</v>
      </c>
      <c r="AC227">
        <f t="shared" si="32"/>
        <v>25.234938888888884</v>
      </c>
      <c r="AD227">
        <f t="shared" si="31"/>
        <v>23.899248888888884</v>
      </c>
    </row>
    <row r="228" spans="2:30" x14ac:dyDescent="0.2">
      <c r="B228" s="7">
        <v>44797</v>
      </c>
      <c r="C228" s="8">
        <v>24.63750000000001</v>
      </c>
      <c r="D228">
        <f t="shared" si="28"/>
        <v>27.913675000000012</v>
      </c>
      <c r="E228">
        <f t="shared" si="30"/>
        <v>27.839470000000009</v>
      </c>
      <c r="F228">
        <f t="shared" si="30"/>
        <v>27.76526500000001</v>
      </c>
      <c r="G228">
        <f t="shared" si="29"/>
        <v>27.691060000000011</v>
      </c>
      <c r="H228">
        <f t="shared" si="29"/>
        <v>27.616855000000012</v>
      </c>
      <c r="I228">
        <f t="shared" si="29"/>
        <v>27.542650000000009</v>
      </c>
      <c r="J228">
        <f t="shared" si="29"/>
        <v>27.46844500000001</v>
      </c>
      <c r="K228">
        <f t="shared" si="29"/>
        <v>27.394240000000011</v>
      </c>
      <c r="L228">
        <f t="shared" si="29"/>
        <v>27.320035000000011</v>
      </c>
      <c r="M228">
        <f t="shared" si="29"/>
        <v>27.245830000000009</v>
      </c>
      <c r="N228">
        <f t="shared" si="29"/>
        <v>27.171625000000009</v>
      </c>
      <c r="O228">
        <f t="shared" si="29"/>
        <v>27.09742000000001</v>
      </c>
      <c r="P228">
        <f t="shared" si="29"/>
        <v>27.023215000000011</v>
      </c>
      <c r="Q228">
        <f t="shared" si="29"/>
        <v>26.949010000000008</v>
      </c>
      <c r="R228">
        <f t="shared" si="29"/>
        <v>26.874805000000009</v>
      </c>
      <c r="S228">
        <f t="shared" si="29"/>
        <v>26.80060000000001</v>
      </c>
      <c r="T228">
        <f t="shared" si="29"/>
        <v>26.726395000000011</v>
      </c>
      <c r="U228">
        <f t="shared" si="32"/>
        <v>26.652190000000012</v>
      </c>
      <c r="V228">
        <f t="shared" si="32"/>
        <v>26.577985000000009</v>
      </c>
      <c r="W228">
        <f t="shared" si="32"/>
        <v>26.50378000000001</v>
      </c>
      <c r="X228">
        <f t="shared" si="32"/>
        <v>26.42957500000001</v>
      </c>
      <c r="Y228">
        <f t="shared" si="32"/>
        <v>26.355370000000008</v>
      </c>
      <c r="Z228">
        <f t="shared" si="32"/>
        <v>26.281165000000009</v>
      </c>
      <c r="AA228">
        <f t="shared" si="32"/>
        <v>26.206960000000009</v>
      </c>
      <c r="AB228">
        <f t="shared" si="32"/>
        <v>26.13275500000001</v>
      </c>
      <c r="AC228">
        <f t="shared" si="32"/>
        <v>26.058550000000011</v>
      </c>
      <c r="AD228">
        <f t="shared" si="31"/>
        <v>24.722860000000011</v>
      </c>
    </row>
    <row r="229" spans="2:30" x14ac:dyDescent="0.2">
      <c r="B229" s="7">
        <v>44798</v>
      </c>
      <c r="C229" s="8">
        <v>24.59652777777778</v>
      </c>
      <c r="D229">
        <f t="shared" si="28"/>
        <v>27.872702777777782</v>
      </c>
      <c r="E229">
        <f t="shared" si="30"/>
        <v>27.798497777777779</v>
      </c>
      <c r="F229">
        <f t="shared" si="30"/>
        <v>27.72429277777778</v>
      </c>
      <c r="G229">
        <f t="shared" si="29"/>
        <v>27.650087777777781</v>
      </c>
      <c r="H229">
        <f t="shared" si="29"/>
        <v>27.575882777777782</v>
      </c>
      <c r="I229">
        <f t="shared" si="29"/>
        <v>27.501677777777779</v>
      </c>
      <c r="J229">
        <f t="shared" si="29"/>
        <v>27.42747277777778</v>
      </c>
      <c r="K229">
        <f t="shared" si="29"/>
        <v>27.353267777777781</v>
      </c>
      <c r="L229">
        <f t="shared" si="29"/>
        <v>27.279062777777781</v>
      </c>
      <c r="M229">
        <f t="shared" si="29"/>
        <v>27.204857777777779</v>
      </c>
      <c r="N229">
        <f t="shared" si="29"/>
        <v>27.13065277777778</v>
      </c>
      <c r="O229">
        <f t="shared" si="29"/>
        <v>27.05644777777778</v>
      </c>
      <c r="P229">
        <f t="shared" si="29"/>
        <v>26.982242777777781</v>
      </c>
      <c r="Q229">
        <f t="shared" si="29"/>
        <v>26.908037777777778</v>
      </c>
      <c r="R229">
        <f t="shared" si="29"/>
        <v>26.833832777777779</v>
      </c>
      <c r="S229">
        <f t="shared" si="29"/>
        <v>26.75962777777778</v>
      </c>
      <c r="T229">
        <f t="shared" si="29"/>
        <v>26.685422777777781</v>
      </c>
      <c r="U229">
        <f t="shared" si="32"/>
        <v>26.611217777777782</v>
      </c>
      <c r="V229">
        <f t="shared" si="32"/>
        <v>26.537012777777779</v>
      </c>
      <c r="W229">
        <f t="shared" si="32"/>
        <v>26.46280777777778</v>
      </c>
      <c r="X229">
        <f t="shared" si="32"/>
        <v>26.388602777777781</v>
      </c>
      <c r="Y229">
        <f t="shared" si="32"/>
        <v>26.314397777777778</v>
      </c>
      <c r="Z229">
        <f t="shared" si="32"/>
        <v>26.240192777777779</v>
      </c>
      <c r="AA229">
        <f t="shared" si="32"/>
        <v>26.165987777777779</v>
      </c>
      <c r="AB229">
        <f t="shared" si="32"/>
        <v>26.09178277777778</v>
      </c>
      <c r="AC229">
        <f t="shared" si="32"/>
        <v>26.017577777777781</v>
      </c>
      <c r="AD229">
        <f t="shared" si="31"/>
        <v>24.681887777777781</v>
      </c>
    </row>
    <row r="230" spans="2:30" x14ac:dyDescent="0.2">
      <c r="B230" s="7">
        <v>44799</v>
      </c>
      <c r="C230" s="8">
        <v>21.213888888888881</v>
      </c>
      <c r="D230">
        <f t="shared" si="28"/>
        <v>24.490063888888884</v>
      </c>
      <c r="E230">
        <f t="shared" si="30"/>
        <v>24.415858888888881</v>
      </c>
      <c r="F230">
        <f t="shared" si="30"/>
        <v>24.341653888888882</v>
      </c>
      <c r="G230">
        <f t="shared" si="29"/>
        <v>24.267448888888882</v>
      </c>
      <c r="H230">
        <f t="shared" si="29"/>
        <v>24.193243888888883</v>
      </c>
      <c r="I230">
        <f t="shared" ref="G230:T248" si="33">(-1.4841*I$3+3.6472)+$C230</f>
        <v>24.11903888888888</v>
      </c>
      <c r="J230">
        <f t="shared" si="33"/>
        <v>24.044833888888881</v>
      </c>
      <c r="K230">
        <f t="shared" si="33"/>
        <v>23.970628888888882</v>
      </c>
      <c r="L230">
        <f t="shared" si="33"/>
        <v>23.896423888888883</v>
      </c>
      <c r="M230">
        <f t="shared" si="33"/>
        <v>23.82221888888888</v>
      </c>
      <c r="N230">
        <f t="shared" si="33"/>
        <v>23.748013888888881</v>
      </c>
      <c r="O230">
        <f t="shared" si="33"/>
        <v>23.673808888888882</v>
      </c>
      <c r="P230">
        <f t="shared" si="33"/>
        <v>23.599603888888883</v>
      </c>
      <c r="Q230">
        <f t="shared" si="33"/>
        <v>23.52539888888888</v>
      </c>
      <c r="R230">
        <f t="shared" si="33"/>
        <v>23.451193888888881</v>
      </c>
      <c r="S230">
        <f t="shared" si="33"/>
        <v>23.376988888888881</v>
      </c>
      <c r="T230">
        <f t="shared" si="33"/>
        <v>23.302783888888882</v>
      </c>
      <c r="U230">
        <f t="shared" si="32"/>
        <v>23.228578888888883</v>
      </c>
      <c r="V230">
        <f t="shared" si="32"/>
        <v>23.15437388888888</v>
      </c>
      <c r="W230">
        <f t="shared" si="32"/>
        <v>23.080168888888881</v>
      </c>
      <c r="X230">
        <f t="shared" si="32"/>
        <v>23.005963888888882</v>
      </c>
      <c r="Y230">
        <f t="shared" si="32"/>
        <v>22.931758888888879</v>
      </c>
      <c r="Z230">
        <f t="shared" si="32"/>
        <v>22.85755388888888</v>
      </c>
      <c r="AA230">
        <f t="shared" si="32"/>
        <v>22.783348888888881</v>
      </c>
      <c r="AB230">
        <f t="shared" si="32"/>
        <v>22.709143888888882</v>
      </c>
      <c r="AC230">
        <f t="shared" si="32"/>
        <v>22.634938888888883</v>
      </c>
      <c r="AD230">
        <f t="shared" si="31"/>
        <v>21.299248888888883</v>
      </c>
    </row>
    <row r="231" spans="2:30" x14ac:dyDescent="0.2">
      <c r="B231" s="7">
        <v>44800</v>
      </c>
      <c r="C231" s="8">
        <v>18.952777777777779</v>
      </c>
      <c r="D231">
        <f t="shared" si="28"/>
        <v>22.228952777777778</v>
      </c>
      <c r="E231">
        <f t="shared" si="30"/>
        <v>22.154747777777779</v>
      </c>
      <c r="F231">
        <f t="shared" si="30"/>
        <v>22.080542777777779</v>
      </c>
      <c r="G231">
        <f t="shared" si="33"/>
        <v>22.00633777777778</v>
      </c>
      <c r="H231">
        <f t="shared" si="33"/>
        <v>21.932132777777781</v>
      </c>
      <c r="I231">
        <f t="shared" si="33"/>
        <v>21.857927777777778</v>
      </c>
      <c r="J231">
        <f t="shared" si="33"/>
        <v>21.783722777777779</v>
      </c>
      <c r="K231">
        <f t="shared" si="33"/>
        <v>21.70951777777778</v>
      </c>
      <c r="L231">
        <f t="shared" si="33"/>
        <v>21.635312777777781</v>
      </c>
      <c r="M231">
        <f t="shared" si="33"/>
        <v>21.561107777777778</v>
      </c>
      <c r="N231">
        <f t="shared" si="33"/>
        <v>21.486902777777779</v>
      </c>
      <c r="O231">
        <f t="shared" si="33"/>
        <v>21.41269777777778</v>
      </c>
      <c r="P231">
        <f t="shared" si="33"/>
        <v>21.33849277777778</v>
      </c>
      <c r="Q231">
        <f t="shared" si="33"/>
        <v>21.264287777777781</v>
      </c>
      <c r="R231">
        <f t="shared" si="33"/>
        <v>21.190082777777778</v>
      </c>
      <c r="S231">
        <f t="shared" si="33"/>
        <v>21.115877777777779</v>
      </c>
      <c r="T231">
        <f t="shared" si="33"/>
        <v>21.04167277777778</v>
      </c>
      <c r="U231">
        <f t="shared" si="32"/>
        <v>20.967467777777777</v>
      </c>
      <c r="V231">
        <f t="shared" si="32"/>
        <v>20.893262777777778</v>
      </c>
      <c r="W231">
        <f t="shared" si="32"/>
        <v>20.819057777777779</v>
      </c>
      <c r="X231">
        <f t="shared" si="32"/>
        <v>20.74485277777778</v>
      </c>
      <c r="Y231">
        <f t="shared" si="32"/>
        <v>20.670647777777781</v>
      </c>
      <c r="Z231">
        <f t="shared" si="32"/>
        <v>20.596442777777778</v>
      </c>
      <c r="AA231">
        <f t="shared" si="32"/>
        <v>20.522237777777779</v>
      </c>
      <c r="AB231">
        <f t="shared" si="32"/>
        <v>20.44803277777778</v>
      </c>
      <c r="AC231">
        <f t="shared" si="32"/>
        <v>20.373827777777777</v>
      </c>
      <c r="AD231">
        <f t="shared" si="31"/>
        <v>19.038137777777781</v>
      </c>
    </row>
    <row r="232" spans="2:30" x14ac:dyDescent="0.2">
      <c r="B232" s="7">
        <v>44801</v>
      </c>
      <c r="C232" s="8">
        <v>18.642361111111111</v>
      </c>
      <c r="D232">
        <f t="shared" si="28"/>
        <v>21.918536111111109</v>
      </c>
      <c r="E232">
        <f t="shared" si="30"/>
        <v>21.84433111111111</v>
      </c>
      <c r="F232">
        <f t="shared" si="30"/>
        <v>21.770126111111111</v>
      </c>
      <c r="G232">
        <f t="shared" si="33"/>
        <v>21.695921111111112</v>
      </c>
      <c r="H232">
        <f t="shared" si="33"/>
        <v>21.621716111111112</v>
      </c>
      <c r="I232">
        <f t="shared" si="33"/>
        <v>21.54751111111111</v>
      </c>
      <c r="J232">
        <f t="shared" si="33"/>
        <v>21.473306111111111</v>
      </c>
      <c r="K232">
        <f t="shared" si="33"/>
        <v>21.399101111111111</v>
      </c>
      <c r="L232">
        <f t="shared" si="33"/>
        <v>21.324896111111112</v>
      </c>
      <c r="M232">
        <f t="shared" si="33"/>
        <v>21.250691111111109</v>
      </c>
      <c r="N232">
        <f t="shared" si="33"/>
        <v>21.17648611111111</v>
      </c>
      <c r="O232">
        <f t="shared" si="33"/>
        <v>21.102281111111111</v>
      </c>
      <c r="P232">
        <f t="shared" si="33"/>
        <v>21.028076111111112</v>
      </c>
      <c r="Q232">
        <f t="shared" si="33"/>
        <v>20.953871111111113</v>
      </c>
      <c r="R232">
        <f t="shared" si="33"/>
        <v>20.87966611111111</v>
      </c>
      <c r="S232">
        <f t="shared" si="33"/>
        <v>20.805461111111111</v>
      </c>
      <c r="T232">
        <f t="shared" si="33"/>
        <v>20.731256111111112</v>
      </c>
      <c r="U232">
        <f t="shared" si="32"/>
        <v>20.657051111111109</v>
      </c>
      <c r="V232">
        <f t="shared" si="32"/>
        <v>20.58284611111111</v>
      </c>
      <c r="W232">
        <f t="shared" si="32"/>
        <v>20.50864111111111</v>
      </c>
      <c r="X232">
        <f t="shared" si="32"/>
        <v>20.434436111111111</v>
      </c>
      <c r="Y232">
        <f t="shared" si="32"/>
        <v>20.360231111111112</v>
      </c>
      <c r="Z232">
        <f t="shared" si="32"/>
        <v>20.286026111111109</v>
      </c>
      <c r="AA232">
        <f t="shared" si="32"/>
        <v>20.21182111111111</v>
      </c>
      <c r="AB232">
        <f t="shared" si="32"/>
        <v>20.137616111111111</v>
      </c>
      <c r="AC232">
        <f t="shared" si="32"/>
        <v>20.063411111111108</v>
      </c>
      <c r="AD232">
        <f t="shared" si="31"/>
        <v>18.727721111111112</v>
      </c>
    </row>
    <row r="233" spans="2:30" x14ac:dyDescent="0.2">
      <c r="B233" s="7">
        <v>44802</v>
      </c>
      <c r="C233" s="8">
        <v>18.751388888888886</v>
      </c>
      <c r="D233">
        <f t="shared" si="28"/>
        <v>22.027563888888885</v>
      </c>
      <c r="E233">
        <f t="shared" si="30"/>
        <v>21.953358888888886</v>
      </c>
      <c r="F233">
        <f t="shared" si="30"/>
        <v>21.879153888888887</v>
      </c>
      <c r="G233">
        <f t="shared" si="33"/>
        <v>21.804948888888887</v>
      </c>
      <c r="H233">
        <f t="shared" si="33"/>
        <v>21.730743888888888</v>
      </c>
      <c r="I233">
        <f t="shared" si="33"/>
        <v>21.656538888888885</v>
      </c>
      <c r="J233">
        <f t="shared" si="33"/>
        <v>21.582333888888886</v>
      </c>
      <c r="K233">
        <f t="shared" si="33"/>
        <v>21.508128888888887</v>
      </c>
      <c r="L233">
        <f t="shared" si="33"/>
        <v>21.433923888888888</v>
      </c>
      <c r="M233">
        <f t="shared" si="33"/>
        <v>21.359718888888885</v>
      </c>
      <c r="N233">
        <f t="shared" si="33"/>
        <v>21.285513888888886</v>
      </c>
      <c r="O233">
        <f t="shared" si="33"/>
        <v>21.211308888888887</v>
      </c>
      <c r="P233">
        <f t="shared" si="33"/>
        <v>21.137103888888888</v>
      </c>
      <c r="Q233">
        <f t="shared" si="33"/>
        <v>21.062898888888888</v>
      </c>
      <c r="R233">
        <f t="shared" si="33"/>
        <v>20.988693888888886</v>
      </c>
      <c r="S233">
        <f t="shared" si="33"/>
        <v>20.914488888888886</v>
      </c>
      <c r="T233">
        <f t="shared" si="33"/>
        <v>20.840283888888887</v>
      </c>
      <c r="U233">
        <f t="shared" si="32"/>
        <v>20.766078888888885</v>
      </c>
      <c r="V233">
        <f t="shared" si="32"/>
        <v>20.691873888888885</v>
      </c>
      <c r="W233">
        <f t="shared" si="32"/>
        <v>20.617668888888886</v>
      </c>
      <c r="X233">
        <f t="shared" si="32"/>
        <v>20.543463888888887</v>
      </c>
      <c r="Y233">
        <f t="shared" si="32"/>
        <v>20.469258888888888</v>
      </c>
      <c r="Z233">
        <f t="shared" si="32"/>
        <v>20.395053888888885</v>
      </c>
      <c r="AA233">
        <f t="shared" si="32"/>
        <v>20.320848888888886</v>
      </c>
      <c r="AB233">
        <f t="shared" si="32"/>
        <v>20.246643888888887</v>
      </c>
      <c r="AC233">
        <f t="shared" si="32"/>
        <v>20.172438888888884</v>
      </c>
      <c r="AD233">
        <f t="shared" si="31"/>
        <v>18.836748888888888</v>
      </c>
    </row>
    <row r="234" spans="2:30" x14ac:dyDescent="0.2">
      <c r="B234" s="7">
        <v>44803</v>
      </c>
      <c r="C234" s="8">
        <v>19.268749999999997</v>
      </c>
      <c r="D234">
        <f t="shared" si="28"/>
        <v>22.544924999999999</v>
      </c>
      <c r="E234">
        <f t="shared" si="30"/>
        <v>22.470719999999996</v>
      </c>
      <c r="F234">
        <f t="shared" si="30"/>
        <v>22.396514999999997</v>
      </c>
      <c r="G234">
        <f t="shared" si="33"/>
        <v>22.322309999999998</v>
      </c>
      <c r="H234">
        <f t="shared" si="33"/>
        <v>22.248104999999999</v>
      </c>
      <c r="I234">
        <f t="shared" si="33"/>
        <v>22.173899999999996</v>
      </c>
      <c r="J234">
        <f t="shared" si="33"/>
        <v>22.099694999999997</v>
      </c>
      <c r="K234">
        <f t="shared" si="33"/>
        <v>22.025489999999998</v>
      </c>
      <c r="L234">
        <f t="shared" si="33"/>
        <v>21.951284999999999</v>
      </c>
      <c r="M234">
        <f t="shared" si="33"/>
        <v>21.877079999999996</v>
      </c>
      <c r="N234">
        <f t="shared" si="33"/>
        <v>21.802874999999997</v>
      </c>
      <c r="O234">
        <f t="shared" si="33"/>
        <v>21.728669999999997</v>
      </c>
      <c r="P234">
        <f t="shared" si="33"/>
        <v>21.654464999999998</v>
      </c>
      <c r="Q234">
        <f t="shared" si="33"/>
        <v>21.580259999999996</v>
      </c>
      <c r="R234">
        <f t="shared" si="33"/>
        <v>21.506054999999996</v>
      </c>
      <c r="S234">
        <f t="shared" si="33"/>
        <v>21.431849999999997</v>
      </c>
      <c r="T234">
        <f t="shared" si="33"/>
        <v>21.357644999999998</v>
      </c>
      <c r="U234">
        <f t="shared" si="32"/>
        <v>21.283439999999999</v>
      </c>
      <c r="V234">
        <f t="shared" si="32"/>
        <v>21.209234999999996</v>
      </c>
      <c r="W234">
        <f t="shared" si="32"/>
        <v>21.135029999999997</v>
      </c>
      <c r="X234">
        <f t="shared" si="32"/>
        <v>21.060824999999998</v>
      </c>
      <c r="Y234">
        <f t="shared" si="32"/>
        <v>20.986619999999995</v>
      </c>
      <c r="Z234">
        <f t="shared" si="32"/>
        <v>20.912414999999996</v>
      </c>
      <c r="AA234">
        <f t="shared" si="32"/>
        <v>20.838209999999997</v>
      </c>
      <c r="AB234">
        <f t="shared" si="32"/>
        <v>20.764004999999997</v>
      </c>
      <c r="AC234">
        <f t="shared" si="32"/>
        <v>20.689799999999998</v>
      </c>
      <c r="AD234">
        <f t="shared" si="31"/>
        <v>19.354109999999999</v>
      </c>
    </row>
    <row r="235" spans="2:30" x14ac:dyDescent="0.2">
      <c r="B235" s="7">
        <v>44804</v>
      </c>
      <c r="C235" s="8">
        <v>18.640277777777776</v>
      </c>
      <c r="D235">
        <f t="shared" si="28"/>
        <v>21.916452777777778</v>
      </c>
      <c r="E235">
        <f t="shared" si="30"/>
        <v>21.842247777777775</v>
      </c>
      <c r="F235">
        <f t="shared" si="30"/>
        <v>21.768042777777776</v>
      </c>
      <c r="G235">
        <f t="shared" si="33"/>
        <v>21.693837777777777</v>
      </c>
      <c r="H235">
        <f t="shared" si="33"/>
        <v>21.619632777777777</v>
      </c>
      <c r="I235">
        <f t="shared" si="33"/>
        <v>21.545427777777775</v>
      </c>
      <c r="J235">
        <f t="shared" si="33"/>
        <v>21.471222777777776</v>
      </c>
      <c r="K235">
        <f t="shared" si="33"/>
        <v>21.397017777777776</v>
      </c>
      <c r="L235">
        <f t="shared" si="33"/>
        <v>21.322812777777777</v>
      </c>
      <c r="M235">
        <f t="shared" si="33"/>
        <v>21.248607777777774</v>
      </c>
      <c r="N235">
        <f t="shared" si="33"/>
        <v>21.174402777777775</v>
      </c>
      <c r="O235">
        <f t="shared" si="33"/>
        <v>21.100197777777776</v>
      </c>
      <c r="P235">
        <f t="shared" si="33"/>
        <v>21.025992777777777</v>
      </c>
      <c r="Q235">
        <f t="shared" si="33"/>
        <v>20.951787777777774</v>
      </c>
      <c r="R235">
        <f t="shared" si="33"/>
        <v>20.877582777777775</v>
      </c>
      <c r="S235">
        <f t="shared" si="33"/>
        <v>20.803377777777776</v>
      </c>
      <c r="T235">
        <f t="shared" si="33"/>
        <v>20.729172777777777</v>
      </c>
      <c r="U235">
        <f t="shared" si="32"/>
        <v>20.654967777777777</v>
      </c>
      <c r="V235">
        <f t="shared" si="32"/>
        <v>20.580762777777775</v>
      </c>
      <c r="W235">
        <f t="shared" si="32"/>
        <v>20.506557777777775</v>
      </c>
      <c r="X235">
        <f t="shared" si="32"/>
        <v>20.432352777777776</v>
      </c>
      <c r="Y235">
        <f t="shared" si="32"/>
        <v>20.358147777777774</v>
      </c>
      <c r="Z235">
        <f t="shared" si="32"/>
        <v>20.283942777777774</v>
      </c>
      <c r="AA235">
        <f t="shared" si="32"/>
        <v>20.209737777777775</v>
      </c>
      <c r="AB235">
        <f t="shared" si="32"/>
        <v>20.135532777777776</v>
      </c>
      <c r="AC235">
        <f t="shared" si="32"/>
        <v>20.061327777777777</v>
      </c>
      <c r="AD235">
        <f t="shared" si="31"/>
        <v>18.725637777777777</v>
      </c>
    </row>
    <row r="236" spans="2:30" x14ac:dyDescent="0.2">
      <c r="B236" s="7">
        <v>44805</v>
      </c>
      <c r="C236" s="8">
        <v>18.556944444444451</v>
      </c>
      <c r="D236">
        <f t="shared" si="28"/>
        <v>21.833119444444449</v>
      </c>
      <c r="E236">
        <f t="shared" si="30"/>
        <v>21.75891444444445</v>
      </c>
      <c r="F236">
        <f t="shared" si="30"/>
        <v>21.684709444444451</v>
      </c>
      <c r="G236">
        <f t="shared" si="33"/>
        <v>21.610504444444452</v>
      </c>
      <c r="H236">
        <f t="shared" si="33"/>
        <v>21.536299444444452</v>
      </c>
      <c r="I236">
        <f t="shared" si="33"/>
        <v>21.46209444444445</v>
      </c>
      <c r="J236">
        <f t="shared" si="33"/>
        <v>21.387889444444451</v>
      </c>
      <c r="K236">
        <f t="shared" si="33"/>
        <v>21.313684444444451</v>
      </c>
      <c r="L236">
        <f t="shared" si="33"/>
        <v>21.239479444444452</v>
      </c>
      <c r="M236">
        <f t="shared" si="33"/>
        <v>21.165274444444449</v>
      </c>
      <c r="N236">
        <f t="shared" si="33"/>
        <v>21.09106944444445</v>
      </c>
      <c r="O236">
        <f t="shared" si="33"/>
        <v>21.016864444444451</v>
      </c>
      <c r="P236">
        <f t="shared" si="33"/>
        <v>20.942659444444452</v>
      </c>
      <c r="Q236">
        <f t="shared" si="33"/>
        <v>20.868454444444453</v>
      </c>
      <c r="R236">
        <f t="shared" si="33"/>
        <v>20.79424944444445</v>
      </c>
      <c r="S236">
        <f t="shared" si="33"/>
        <v>20.720044444444451</v>
      </c>
      <c r="T236">
        <f t="shared" si="33"/>
        <v>20.645839444444452</v>
      </c>
      <c r="U236">
        <f t="shared" si="32"/>
        <v>20.571634444444449</v>
      </c>
      <c r="V236">
        <f t="shared" si="32"/>
        <v>20.49742944444445</v>
      </c>
      <c r="W236">
        <f t="shared" si="32"/>
        <v>20.42322444444445</v>
      </c>
      <c r="X236">
        <f t="shared" si="32"/>
        <v>20.349019444444451</v>
      </c>
      <c r="Y236">
        <f t="shared" si="32"/>
        <v>20.274814444444452</v>
      </c>
      <c r="Z236">
        <f t="shared" si="32"/>
        <v>20.200609444444449</v>
      </c>
      <c r="AA236">
        <f t="shared" si="32"/>
        <v>20.12640444444445</v>
      </c>
      <c r="AB236">
        <f t="shared" si="32"/>
        <v>20.052199444444451</v>
      </c>
      <c r="AC236">
        <f t="shared" si="32"/>
        <v>19.977994444444448</v>
      </c>
      <c r="AD236">
        <f t="shared" si="31"/>
        <v>18.642304444444452</v>
      </c>
    </row>
    <row r="237" spans="2:30" x14ac:dyDescent="0.2">
      <c r="B237" s="7">
        <v>44806</v>
      </c>
      <c r="C237" s="8">
        <v>18.591666666666661</v>
      </c>
      <c r="D237">
        <f t="shared" si="28"/>
        <v>21.867841666666664</v>
      </c>
      <c r="E237">
        <f t="shared" si="30"/>
        <v>21.793636666666661</v>
      </c>
      <c r="F237">
        <f t="shared" si="30"/>
        <v>21.719431666666662</v>
      </c>
      <c r="G237">
        <f t="shared" si="33"/>
        <v>21.645226666666662</v>
      </c>
      <c r="H237">
        <f t="shared" si="33"/>
        <v>21.571021666666663</v>
      </c>
      <c r="I237">
        <f t="shared" si="33"/>
        <v>21.49681666666666</v>
      </c>
      <c r="J237">
        <f t="shared" si="33"/>
        <v>21.422611666666661</v>
      </c>
      <c r="K237">
        <f t="shared" si="33"/>
        <v>21.348406666666662</v>
      </c>
      <c r="L237">
        <f t="shared" si="33"/>
        <v>21.274201666666663</v>
      </c>
      <c r="M237">
        <f t="shared" si="33"/>
        <v>21.19999666666666</v>
      </c>
      <c r="N237">
        <f t="shared" si="33"/>
        <v>21.125791666666661</v>
      </c>
      <c r="O237">
        <f t="shared" si="33"/>
        <v>21.051586666666662</v>
      </c>
      <c r="P237">
        <f t="shared" si="33"/>
        <v>20.977381666666663</v>
      </c>
      <c r="Q237">
        <f t="shared" si="33"/>
        <v>20.90317666666666</v>
      </c>
      <c r="R237">
        <f t="shared" si="33"/>
        <v>20.828971666666661</v>
      </c>
      <c r="S237">
        <f t="shared" si="33"/>
        <v>20.754766666666661</v>
      </c>
      <c r="T237">
        <f t="shared" si="33"/>
        <v>20.680561666666662</v>
      </c>
      <c r="U237">
        <f t="shared" si="32"/>
        <v>20.606356666666663</v>
      </c>
      <c r="V237">
        <f t="shared" si="32"/>
        <v>20.53215166666666</v>
      </c>
      <c r="W237">
        <f t="shared" si="32"/>
        <v>20.457946666666661</v>
      </c>
      <c r="X237">
        <f t="shared" si="32"/>
        <v>20.383741666666662</v>
      </c>
      <c r="Y237">
        <f t="shared" si="32"/>
        <v>20.309536666666659</v>
      </c>
      <c r="Z237">
        <f t="shared" si="32"/>
        <v>20.23533166666666</v>
      </c>
      <c r="AA237">
        <f t="shared" si="32"/>
        <v>20.161126666666661</v>
      </c>
      <c r="AB237">
        <f t="shared" si="32"/>
        <v>20.086921666666662</v>
      </c>
      <c r="AC237">
        <f t="shared" si="32"/>
        <v>20.012716666666662</v>
      </c>
      <c r="AD237">
        <f t="shared" si="31"/>
        <v>18.677026666666663</v>
      </c>
    </row>
    <row r="238" spans="2:30" x14ac:dyDescent="0.2">
      <c r="B238" s="7">
        <v>44807</v>
      </c>
      <c r="C238" s="8">
        <v>19.187499999999993</v>
      </c>
      <c r="D238">
        <f t="shared" si="28"/>
        <v>22.463674999999995</v>
      </c>
      <c r="E238">
        <f t="shared" si="30"/>
        <v>22.389469999999992</v>
      </c>
      <c r="F238">
        <f t="shared" si="30"/>
        <v>22.315264999999993</v>
      </c>
      <c r="G238">
        <f t="shared" si="33"/>
        <v>22.241059999999994</v>
      </c>
      <c r="H238">
        <f t="shared" si="33"/>
        <v>22.166854999999995</v>
      </c>
      <c r="I238">
        <f t="shared" si="33"/>
        <v>22.092649999999992</v>
      </c>
      <c r="J238">
        <f t="shared" si="33"/>
        <v>22.018444999999993</v>
      </c>
      <c r="K238">
        <f t="shared" si="33"/>
        <v>21.944239999999994</v>
      </c>
      <c r="L238">
        <f t="shared" si="33"/>
        <v>21.870034999999994</v>
      </c>
      <c r="M238">
        <f t="shared" si="33"/>
        <v>21.795829999999992</v>
      </c>
      <c r="N238">
        <f t="shared" si="33"/>
        <v>21.721624999999992</v>
      </c>
      <c r="O238">
        <f t="shared" si="33"/>
        <v>21.647419999999993</v>
      </c>
      <c r="P238">
        <f t="shared" si="33"/>
        <v>21.573214999999994</v>
      </c>
      <c r="Q238">
        <f t="shared" si="33"/>
        <v>21.499009999999991</v>
      </c>
      <c r="R238">
        <f t="shared" si="33"/>
        <v>21.424804999999992</v>
      </c>
      <c r="S238">
        <f t="shared" si="33"/>
        <v>21.350599999999993</v>
      </c>
      <c r="T238">
        <f t="shared" si="33"/>
        <v>21.276394999999994</v>
      </c>
      <c r="U238">
        <f t="shared" si="32"/>
        <v>21.202189999999995</v>
      </c>
      <c r="V238">
        <f t="shared" si="32"/>
        <v>21.127984999999992</v>
      </c>
      <c r="W238">
        <f t="shared" si="32"/>
        <v>21.053779999999993</v>
      </c>
      <c r="X238">
        <f t="shared" si="32"/>
        <v>20.979574999999993</v>
      </c>
      <c r="Y238">
        <f t="shared" si="32"/>
        <v>20.905369999999991</v>
      </c>
      <c r="Z238">
        <f t="shared" si="32"/>
        <v>20.831164999999991</v>
      </c>
      <c r="AA238">
        <f t="shared" si="32"/>
        <v>20.756959999999992</v>
      </c>
      <c r="AB238">
        <f t="shared" si="32"/>
        <v>20.682754999999993</v>
      </c>
      <c r="AC238">
        <f t="shared" si="32"/>
        <v>20.608549999999994</v>
      </c>
      <c r="AD238">
        <f t="shared" si="31"/>
        <v>19.272859999999994</v>
      </c>
    </row>
    <row r="239" spans="2:30" x14ac:dyDescent="0.2">
      <c r="B239" s="7">
        <v>44808</v>
      </c>
      <c r="C239" s="8">
        <v>20.836111111111116</v>
      </c>
      <c r="D239">
        <f t="shared" si="28"/>
        <v>24.112286111111118</v>
      </c>
      <c r="E239">
        <f t="shared" si="30"/>
        <v>24.038081111111115</v>
      </c>
      <c r="F239">
        <f t="shared" si="30"/>
        <v>23.963876111111116</v>
      </c>
      <c r="G239">
        <f t="shared" si="33"/>
        <v>23.889671111111117</v>
      </c>
      <c r="H239">
        <f t="shared" si="33"/>
        <v>23.815466111111117</v>
      </c>
      <c r="I239">
        <f t="shared" si="33"/>
        <v>23.741261111111115</v>
      </c>
      <c r="J239">
        <f t="shared" si="33"/>
        <v>23.667056111111116</v>
      </c>
      <c r="K239">
        <f t="shared" si="33"/>
        <v>23.592851111111116</v>
      </c>
      <c r="L239">
        <f t="shared" si="33"/>
        <v>23.518646111111117</v>
      </c>
      <c r="M239">
        <f t="shared" si="33"/>
        <v>23.444441111111114</v>
      </c>
      <c r="N239">
        <f t="shared" si="33"/>
        <v>23.370236111111115</v>
      </c>
      <c r="O239">
        <f t="shared" si="33"/>
        <v>23.296031111111116</v>
      </c>
      <c r="P239">
        <f t="shared" si="33"/>
        <v>23.221826111111117</v>
      </c>
      <c r="Q239">
        <f t="shared" si="33"/>
        <v>23.147621111111114</v>
      </c>
      <c r="R239">
        <f t="shared" si="33"/>
        <v>23.073416111111115</v>
      </c>
      <c r="S239">
        <f t="shared" si="33"/>
        <v>22.999211111111116</v>
      </c>
      <c r="T239">
        <f t="shared" si="33"/>
        <v>22.925006111111117</v>
      </c>
      <c r="U239">
        <f t="shared" si="32"/>
        <v>22.850801111111117</v>
      </c>
      <c r="V239">
        <f t="shared" si="32"/>
        <v>22.776596111111115</v>
      </c>
      <c r="W239">
        <f t="shared" si="32"/>
        <v>22.702391111111115</v>
      </c>
      <c r="X239">
        <f t="shared" si="32"/>
        <v>22.628186111111116</v>
      </c>
      <c r="Y239">
        <f t="shared" si="32"/>
        <v>22.553981111111113</v>
      </c>
      <c r="Z239">
        <f t="shared" si="32"/>
        <v>22.479776111111114</v>
      </c>
      <c r="AA239">
        <f t="shared" si="32"/>
        <v>22.405571111111115</v>
      </c>
      <c r="AB239">
        <f t="shared" si="32"/>
        <v>22.331366111111116</v>
      </c>
      <c r="AC239">
        <f t="shared" si="32"/>
        <v>22.257161111111117</v>
      </c>
      <c r="AD239">
        <f t="shared" si="31"/>
        <v>20.921471111111117</v>
      </c>
    </row>
    <row r="240" spans="2:30" x14ac:dyDescent="0.2">
      <c r="B240" s="7">
        <v>44809</v>
      </c>
      <c r="C240" s="8">
        <v>21.274305555555564</v>
      </c>
      <c r="D240">
        <f t="shared" si="28"/>
        <v>24.550480555555566</v>
      </c>
      <c r="E240">
        <f t="shared" si="30"/>
        <v>24.476275555555564</v>
      </c>
      <c r="F240">
        <f t="shared" si="30"/>
        <v>24.402070555555564</v>
      </c>
      <c r="G240">
        <f t="shared" si="33"/>
        <v>24.327865555555565</v>
      </c>
      <c r="H240">
        <f t="shared" si="33"/>
        <v>24.253660555555566</v>
      </c>
      <c r="I240">
        <f t="shared" si="33"/>
        <v>24.179455555555563</v>
      </c>
      <c r="J240">
        <f t="shared" si="33"/>
        <v>24.105250555555564</v>
      </c>
      <c r="K240">
        <f t="shared" si="33"/>
        <v>24.031045555555565</v>
      </c>
      <c r="L240">
        <f t="shared" si="33"/>
        <v>23.956840555555566</v>
      </c>
      <c r="M240">
        <f t="shared" si="33"/>
        <v>23.882635555555563</v>
      </c>
      <c r="N240">
        <f t="shared" si="33"/>
        <v>23.808430555555564</v>
      </c>
      <c r="O240">
        <f t="shared" si="33"/>
        <v>23.734225555555565</v>
      </c>
      <c r="P240">
        <f t="shared" si="33"/>
        <v>23.660020555555565</v>
      </c>
      <c r="Q240">
        <f t="shared" si="33"/>
        <v>23.585815555555563</v>
      </c>
      <c r="R240">
        <f t="shared" si="33"/>
        <v>23.511610555555563</v>
      </c>
      <c r="S240">
        <f t="shared" si="33"/>
        <v>23.437405555555564</v>
      </c>
      <c r="T240">
        <f t="shared" si="33"/>
        <v>23.363200555555565</v>
      </c>
      <c r="U240">
        <f t="shared" si="32"/>
        <v>23.288995555555566</v>
      </c>
      <c r="V240">
        <f t="shared" si="32"/>
        <v>23.214790555555563</v>
      </c>
      <c r="W240">
        <f t="shared" si="32"/>
        <v>23.140585555555564</v>
      </c>
      <c r="X240">
        <f t="shared" si="32"/>
        <v>23.066380555555565</v>
      </c>
      <c r="Y240">
        <f t="shared" si="32"/>
        <v>22.992175555555562</v>
      </c>
      <c r="Z240">
        <f t="shared" si="32"/>
        <v>22.917970555555563</v>
      </c>
      <c r="AA240">
        <f t="shared" si="32"/>
        <v>22.843765555555564</v>
      </c>
      <c r="AB240">
        <f t="shared" si="32"/>
        <v>22.769560555555564</v>
      </c>
      <c r="AC240">
        <f t="shared" si="32"/>
        <v>22.695355555555565</v>
      </c>
      <c r="AD240">
        <f t="shared" si="31"/>
        <v>21.359665555555566</v>
      </c>
    </row>
    <row r="241" spans="2:30" x14ac:dyDescent="0.2">
      <c r="B241" s="7">
        <v>44810</v>
      </c>
      <c r="C241" s="8">
        <v>21.872222222222234</v>
      </c>
      <c r="D241">
        <f t="shared" si="28"/>
        <v>25.148397222222236</v>
      </c>
      <c r="E241">
        <f t="shared" si="30"/>
        <v>25.074192222222234</v>
      </c>
      <c r="F241">
        <f t="shared" si="30"/>
        <v>24.999987222222234</v>
      </c>
      <c r="G241">
        <f t="shared" si="33"/>
        <v>24.925782222222235</v>
      </c>
      <c r="H241">
        <f t="shared" si="33"/>
        <v>24.851577222222236</v>
      </c>
      <c r="I241">
        <f t="shared" si="33"/>
        <v>24.777372222222233</v>
      </c>
      <c r="J241">
        <f t="shared" si="33"/>
        <v>24.703167222222234</v>
      </c>
      <c r="K241">
        <f t="shared" si="33"/>
        <v>24.628962222222235</v>
      </c>
      <c r="L241">
        <f t="shared" si="33"/>
        <v>24.554757222222236</v>
      </c>
      <c r="M241">
        <f t="shared" si="33"/>
        <v>24.480552222222233</v>
      </c>
      <c r="N241">
        <f t="shared" si="33"/>
        <v>24.406347222222234</v>
      </c>
      <c r="O241">
        <f t="shared" si="33"/>
        <v>24.332142222222235</v>
      </c>
      <c r="P241">
        <f t="shared" si="33"/>
        <v>24.257937222222235</v>
      </c>
      <c r="Q241">
        <f t="shared" si="33"/>
        <v>24.183732222222233</v>
      </c>
      <c r="R241">
        <f t="shared" si="33"/>
        <v>24.109527222222233</v>
      </c>
      <c r="S241">
        <f t="shared" si="33"/>
        <v>24.035322222222234</v>
      </c>
      <c r="T241">
        <f t="shared" si="33"/>
        <v>23.961117222222235</v>
      </c>
      <c r="U241">
        <f t="shared" si="32"/>
        <v>23.886912222222236</v>
      </c>
      <c r="V241">
        <f t="shared" si="32"/>
        <v>23.812707222222233</v>
      </c>
      <c r="W241">
        <f t="shared" si="32"/>
        <v>23.738502222222234</v>
      </c>
      <c r="X241">
        <f t="shared" si="32"/>
        <v>23.664297222222235</v>
      </c>
      <c r="Y241">
        <f t="shared" si="32"/>
        <v>23.590092222222232</v>
      </c>
      <c r="Z241">
        <f t="shared" si="32"/>
        <v>23.515887222222233</v>
      </c>
      <c r="AA241">
        <f t="shared" si="32"/>
        <v>23.441682222222234</v>
      </c>
      <c r="AB241">
        <f t="shared" si="32"/>
        <v>23.367477222222234</v>
      </c>
      <c r="AC241">
        <f t="shared" si="32"/>
        <v>23.293272222222235</v>
      </c>
      <c r="AD241">
        <f t="shared" si="31"/>
        <v>21.957582222222236</v>
      </c>
    </row>
    <row r="242" spans="2:30" x14ac:dyDescent="0.2">
      <c r="B242" s="7">
        <v>44811</v>
      </c>
      <c r="C242" s="8">
        <v>21.533333333333339</v>
      </c>
      <c r="D242">
        <f t="shared" si="28"/>
        <v>24.809508333333341</v>
      </c>
      <c r="E242">
        <f t="shared" si="30"/>
        <v>24.735303333333338</v>
      </c>
      <c r="F242">
        <f t="shared" si="30"/>
        <v>24.661098333333339</v>
      </c>
      <c r="G242">
        <f t="shared" si="33"/>
        <v>24.586893333333339</v>
      </c>
      <c r="H242">
        <f t="shared" si="33"/>
        <v>24.51268833333334</v>
      </c>
      <c r="I242">
        <f t="shared" si="33"/>
        <v>24.438483333333338</v>
      </c>
      <c r="J242">
        <f t="shared" si="33"/>
        <v>24.364278333333338</v>
      </c>
      <c r="K242">
        <f t="shared" si="33"/>
        <v>24.290073333333339</v>
      </c>
      <c r="L242">
        <f t="shared" si="33"/>
        <v>24.21586833333334</v>
      </c>
      <c r="M242">
        <f t="shared" si="33"/>
        <v>24.141663333333337</v>
      </c>
      <c r="N242">
        <f t="shared" si="33"/>
        <v>24.067458333333338</v>
      </c>
      <c r="O242">
        <f t="shared" si="33"/>
        <v>23.993253333333339</v>
      </c>
      <c r="P242">
        <f t="shared" si="33"/>
        <v>23.91904833333334</v>
      </c>
      <c r="Q242">
        <f t="shared" si="33"/>
        <v>23.844843333333337</v>
      </c>
      <c r="R242">
        <f t="shared" si="33"/>
        <v>23.770638333333338</v>
      </c>
      <c r="S242">
        <f t="shared" si="33"/>
        <v>23.696433333333339</v>
      </c>
      <c r="T242">
        <f t="shared" si="33"/>
        <v>23.622228333333339</v>
      </c>
      <c r="U242">
        <f t="shared" si="32"/>
        <v>23.54802333333334</v>
      </c>
      <c r="V242">
        <f t="shared" si="32"/>
        <v>23.473818333333337</v>
      </c>
      <c r="W242">
        <f t="shared" si="32"/>
        <v>23.399613333333338</v>
      </c>
      <c r="X242">
        <f t="shared" si="32"/>
        <v>23.325408333333339</v>
      </c>
      <c r="Y242">
        <f t="shared" si="32"/>
        <v>23.251203333333336</v>
      </c>
      <c r="Z242">
        <f t="shared" si="32"/>
        <v>23.176998333333337</v>
      </c>
      <c r="AA242">
        <f t="shared" si="32"/>
        <v>23.102793333333338</v>
      </c>
      <c r="AB242">
        <f t="shared" si="32"/>
        <v>23.028588333333339</v>
      </c>
      <c r="AC242">
        <f t="shared" si="32"/>
        <v>22.95438333333334</v>
      </c>
      <c r="AD242">
        <f t="shared" si="31"/>
        <v>21.61869333333334</v>
      </c>
    </row>
    <row r="243" spans="2:30" x14ac:dyDescent="0.2">
      <c r="B243" s="7">
        <v>44812</v>
      </c>
      <c r="C243" s="8">
        <v>20.518750000000004</v>
      </c>
      <c r="D243">
        <f t="shared" si="28"/>
        <v>23.794925000000006</v>
      </c>
      <c r="E243">
        <f t="shared" si="30"/>
        <v>23.720720000000004</v>
      </c>
      <c r="F243">
        <f t="shared" si="30"/>
        <v>23.646515000000004</v>
      </c>
      <c r="G243">
        <f t="shared" si="33"/>
        <v>23.572310000000005</v>
      </c>
      <c r="H243">
        <f t="shared" si="33"/>
        <v>23.498105000000006</v>
      </c>
      <c r="I243">
        <f t="shared" si="33"/>
        <v>23.423900000000003</v>
      </c>
      <c r="J243">
        <f t="shared" si="33"/>
        <v>23.349695000000004</v>
      </c>
      <c r="K243">
        <f t="shared" si="33"/>
        <v>23.275490000000005</v>
      </c>
      <c r="L243">
        <f t="shared" si="33"/>
        <v>23.201285000000006</v>
      </c>
      <c r="M243">
        <f t="shared" si="33"/>
        <v>23.127080000000003</v>
      </c>
      <c r="N243">
        <f t="shared" si="33"/>
        <v>23.052875000000004</v>
      </c>
      <c r="O243">
        <f t="shared" si="33"/>
        <v>22.978670000000005</v>
      </c>
      <c r="P243">
        <f t="shared" si="33"/>
        <v>22.904465000000005</v>
      </c>
      <c r="Q243">
        <f t="shared" si="33"/>
        <v>22.830260000000003</v>
      </c>
      <c r="R243">
        <f t="shared" si="33"/>
        <v>22.756055000000003</v>
      </c>
      <c r="S243">
        <f t="shared" si="33"/>
        <v>22.681850000000004</v>
      </c>
      <c r="T243">
        <f t="shared" si="33"/>
        <v>22.607645000000005</v>
      </c>
      <c r="U243">
        <f t="shared" si="32"/>
        <v>22.533440000000006</v>
      </c>
      <c r="V243">
        <f t="shared" si="32"/>
        <v>22.459235000000003</v>
      </c>
      <c r="W243">
        <f t="shared" si="32"/>
        <v>22.385030000000004</v>
      </c>
      <c r="X243">
        <f t="shared" si="32"/>
        <v>22.310825000000005</v>
      </c>
      <c r="Y243">
        <f t="shared" si="32"/>
        <v>22.236620000000002</v>
      </c>
      <c r="Z243">
        <f t="shared" si="32"/>
        <v>22.162415000000003</v>
      </c>
      <c r="AA243">
        <f t="shared" si="32"/>
        <v>22.088210000000004</v>
      </c>
      <c r="AB243">
        <f t="shared" si="32"/>
        <v>22.014005000000004</v>
      </c>
      <c r="AC243">
        <f t="shared" si="32"/>
        <v>21.939800000000005</v>
      </c>
      <c r="AD243">
        <f t="shared" si="31"/>
        <v>20.604110000000006</v>
      </c>
    </row>
    <row r="244" spans="2:30" x14ac:dyDescent="0.2">
      <c r="B244" s="7">
        <v>44813</v>
      </c>
      <c r="C244" s="8">
        <v>17.332638888888894</v>
      </c>
      <c r="D244">
        <f t="shared" si="28"/>
        <v>20.608813888888896</v>
      </c>
      <c r="E244">
        <f t="shared" si="30"/>
        <v>20.534608888888894</v>
      </c>
      <c r="F244">
        <f t="shared" si="30"/>
        <v>20.460403888888894</v>
      </c>
      <c r="G244">
        <f t="shared" si="33"/>
        <v>20.386198888888895</v>
      </c>
      <c r="H244">
        <f t="shared" si="33"/>
        <v>20.311993888888896</v>
      </c>
      <c r="I244">
        <f t="shared" si="33"/>
        <v>20.237788888888893</v>
      </c>
      <c r="J244">
        <f t="shared" si="33"/>
        <v>20.163583888888894</v>
      </c>
      <c r="K244">
        <f t="shared" si="33"/>
        <v>20.089378888888895</v>
      </c>
      <c r="L244">
        <f t="shared" si="33"/>
        <v>20.015173888888896</v>
      </c>
      <c r="M244">
        <f t="shared" si="33"/>
        <v>19.940968888888893</v>
      </c>
      <c r="N244">
        <f t="shared" si="33"/>
        <v>19.866763888888894</v>
      </c>
      <c r="O244">
        <f t="shared" si="33"/>
        <v>19.792558888888895</v>
      </c>
      <c r="P244">
        <f t="shared" si="33"/>
        <v>19.718353888888895</v>
      </c>
      <c r="Q244">
        <f t="shared" si="33"/>
        <v>19.644148888888893</v>
      </c>
      <c r="R244">
        <f t="shared" si="33"/>
        <v>19.569943888888893</v>
      </c>
      <c r="S244">
        <f t="shared" si="33"/>
        <v>19.495738888888894</v>
      </c>
      <c r="T244">
        <f t="shared" si="33"/>
        <v>19.421533888888895</v>
      </c>
      <c r="U244">
        <f t="shared" si="32"/>
        <v>19.347328888888896</v>
      </c>
      <c r="V244">
        <f t="shared" si="32"/>
        <v>19.273123888888893</v>
      </c>
      <c r="W244">
        <f t="shared" si="32"/>
        <v>19.198918888888894</v>
      </c>
      <c r="X244">
        <f t="shared" si="32"/>
        <v>19.124713888888895</v>
      </c>
      <c r="Y244">
        <f t="shared" si="32"/>
        <v>19.050508888888892</v>
      </c>
      <c r="Z244">
        <f t="shared" si="32"/>
        <v>18.976303888888893</v>
      </c>
      <c r="AA244">
        <f t="shared" si="32"/>
        <v>18.902098888888894</v>
      </c>
      <c r="AB244">
        <f t="shared" si="32"/>
        <v>18.827893888888894</v>
      </c>
      <c r="AC244">
        <f t="shared" si="32"/>
        <v>18.753688888888895</v>
      </c>
      <c r="AD244">
        <f t="shared" si="31"/>
        <v>17.417998888888896</v>
      </c>
    </row>
    <row r="245" spans="2:30" x14ac:dyDescent="0.2">
      <c r="B245" s="7">
        <v>44814</v>
      </c>
      <c r="C245" s="8">
        <v>18.354166666666671</v>
      </c>
      <c r="D245">
        <f t="shared" si="28"/>
        <v>21.630341666666673</v>
      </c>
      <c r="E245">
        <f t="shared" si="30"/>
        <v>21.556136666666671</v>
      </c>
      <c r="F245">
        <f t="shared" si="30"/>
        <v>21.481931666666672</v>
      </c>
      <c r="G245">
        <f t="shared" si="33"/>
        <v>21.407726666666672</v>
      </c>
      <c r="H245">
        <f t="shared" si="33"/>
        <v>21.333521666666673</v>
      </c>
      <c r="I245">
        <f t="shared" si="33"/>
        <v>21.25931666666667</v>
      </c>
      <c r="J245">
        <f t="shared" si="33"/>
        <v>21.185111666666671</v>
      </c>
      <c r="K245">
        <f t="shared" si="33"/>
        <v>21.110906666666672</v>
      </c>
      <c r="L245">
        <f t="shared" si="33"/>
        <v>21.036701666666673</v>
      </c>
      <c r="M245">
        <f t="shared" si="33"/>
        <v>20.96249666666667</v>
      </c>
      <c r="N245">
        <f t="shared" si="33"/>
        <v>20.888291666666671</v>
      </c>
      <c r="O245">
        <f t="shared" si="33"/>
        <v>20.814086666666672</v>
      </c>
      <c r="P245">
        <f t="shared" si="33"/>
        <v>20.739881666666673</v>
      </c>
      <c r="Q245">
        <f t="shared" si="33"/>
        <v>20.66567666666667</v>
      </c>
      <c r="R245">
        <f t="shared" si="33"/>
        <v>20.591471666666671</v>
      </c>
      <c r="S245">
        <f t="shared" si="33"/>
        <v>20.517266666666671</v>
      </c>
      <c r="T245">
        <f t="shared" si="33"/>
        <v>20.443061666666672</v>
      </c>
      <c r="U245">
        <f t="shared" si="32"/>
        <v>20.368856666666673</v>
      </c>
      <c r="V245">
        <f t="shared" si="32"/>
        <v>20.29465166666667</v>
      </c>
      <c r="W245">
        <f t="shared" si="32"/>
        <v>20.220446666666671</v>
      </c>
      <c r="X245">
        <f t="shared" si="32"/>
        <v>20.146241666666672</v>
      </c>
      <c r="Y245">
        <f t="shared" si="32"/>
        <v>20.072036666666669</v>
      </c>
      <c r="Z245">
        <f t="shared" si="32"/>
        <v>19.99783166666667</v>
      </c>
      <c r="AA245">
        <f t="shared" si="32"/>
        <v>19.923626666666671</v>
      </c>
      <c r="AB245">
        <f t="shared" si="32"/>
        <v>19.849421666666672</v>
      </c>
      <c r="AC245">
        <f t="shared" si="32"/>
        <v>19.775216666666672</v>
      </c>
      <c r="AD245">
        <f t="shared" si="31"/>
        <v>18.439526666666673</v>
      </c>
    </row>
    <row r="246" spans="2:30" x14ac:dyDescent="0.2">
      <c r="B246" s="7">
        <v>44815</v>
      </c>
      <c r="C246" s="8">
        <v>19.511111111111106</v>
      </c>
      <c r="D246">
        <f t="shared" si="28"/>
        <v>22.787286111111108</v>
      </c>
      <c r="E246">
        <f t="shared" si="30"/>
        <v>22.713081111111105</v>
      </c>
      <c r="F246">
        <f t="shared" si="30"/>
        <v>22.638876111111106</v>
      </c>
      <c r="G246">
        <f t="shared" si="33"/>
        <v>22.564671111111107</v>
      </c>
      <c r="H246">
        <f t="shared" si="33"/>
        <v>22.490466111111107</v>
      </c>
      <c r="I246">
        <f t="shared" si="33"/>
        <v>22.416261111111105</v>
      </c>
      <c r="J246">
        <f t="shared" si="33"/>
        <v>22.342056111111106</v>
      </c>
      <c r="K246">
        <f t="shared" si="33"/>
        <v>22.267851111111106</v>
      </c>
      <c r="L246">
        <f t="shared" si="33"/>
        <v>22.193646111111107</v>
      </c>
      <c r="M246">
        <f t="shared" si="33"/>
        <v>22.119441111111104</v>
      </c>
      <c r="N246">
        <f t="shared" si="33"/>
        <v>22.045236111111105</v>
      </c>
      <c r="O246">
        <f t="shared" si="33"/>
        <v>21.971031111111106</v>
      </c>
      <c r="P246">
        <f t="shared" si="33"/>
        <v>21.896826111111107</v>
      </c>
      <c r="Q246">
        <f t="shared" si="33"/>
        <v>21.822621111111104</v>
      </c>
      <c r="R246">
        <f t="shared" si="33"/>
        <v>21.748416111111105</v>
      </c>
      <c r="S246">
        <f t="shared" si="33"/>
        <v>21.674211111111106</v>
      </c>
      <c r="T246">
        <f t="shared" si="33"/>
        <v>21.600006111111107</v>
      </c>
      <c r="U246">
        <f t="shared" si="32"/>
        <v>21.525801111111107</v>
      </c>
      <c r="V246">
        <f t="shared" si="32"/>
        <v>21.451596111111105</v>
      </c>
      <c r="W246">
        <f t="shared" si="32"/>
        <v>21.377391111111105</v>
      </c>
      <c r="X246">
        <f t="shared" si="32"/>
        <v>21.303186111111106</v>
      </c>
      <c r="Y246">
        <f t="shared" si="32"/>
        <v>21.228981111111104</v>
      </c>
      <c r="Z246">
        <f t="shared" si="32"/>
        <v>21.154776111111104</v>
      </c>
      <c r="AA246">
        <f t="shared" si="32"/>
        <v>21.080571111111105</v>
      </c>
      <c r="AB246">
        <f t="shared" si="32"/>
        <v>21.006366111111106</v>
      </c>
      <c r="AC246">
        <f t="shared" si="32"/>
        <v>20.932161111111107</v>
      </c>
      <c r="AD246">
        <f t="shared" si="31"/>
        <v>19.596471111111107</v>
      </c>
    </row>
    <row r="247" spans="2:30" x14ac:dyDescent="0.2">
      <c r="B247" s="7">
        <v>44816</v>
      </c>
      <c r="C247" s="8">
        <v>20.584027777777784</v>
      </c>
      <c r="D247">
        <f t="shared" si="28"/>
        <v>23.860202777777786</v>
      </c>
      <c r="E247">
        <f t="shared" si="30"/>
        <v>23.785997777777784</v>
      </c>
      <c r="F247">
        <f t="shared" si="30"/>
        <v>23.711792777777784</v>
      </c>
      <c r="G247">
        <f t="shared" si="33"/>
        <v>23.637587777777785</v>
      </c>
      <c r="H247">
        <f t="shared" si="33"/>
        <v>23.563382777777786</v>
      </c>
      <c r="I247">
        <f t="shared" si="33"/>
        <v>23.489177777777783</v>
      </c>
      <c r="J247">
        <f t="shared" si="33"/>
        <v>23.414972777777784</v>
      </c>
      <c r="K247">
        <f t="shared" si="33"/>
        <v>23.340767777777785</v>
      </c>
      <c r="L247">
        <f t="shared" si="33"/>
        <v>23.266562777777786</v>
      </c>
      <c r="M247">
        <f t="shared" si="33"/>
        <v>23.192357777777783</v>
      </c>
      <c r="N247">
        <f t="shared" si="33"/>
        <v>23.118152777777784</v>
      </c>
      <c r="O247">
        <f t="shared" si="33"/>
        <v>23.043947777777785</v>
      </c>
      <c r="P247">
        <f t="shared" si="33"/>
        <v>22.969742777777785</v>
      </c>
      <c r="Q247">
        <f t="shared" si="33"/>
        <v>22.895537777777783</v>
      </c>
      <c r="R247">
        <f t="shared" si="33"/>
        <v>22.821332777777783</v>
      </c>
      <c r="S247">
        <f t="shared" si="33"/>
        <v>22.747127777777784</v>
      </c>
      <c r="T247">
        <f t="shared" si="33"/>
        <v>22.672922777777785</v>
      </c>
      <c r="U247">
        <f t="shared" si="32"/>
        <v>22.598717777777786</v>
      </c>
      <c r="V247">
        <f t="shared" si="32"/>
        <v>22.524512777777783</v>
      </c>
      <c r="W247">
        <f t="shared" si="32"/>
        <v>22.450307777777784</v>
      </c>
      <c r="X247">
        <f t="shared" si="32"/>
        <v>22.376102777777785</v>
      </c>
      <c r="Y247">
        <f t="shared" si="32"/>
        <v>22.301897777777782</v>
      </c>
      <c r="Z247">
        <f t="shared" si="32"/>
        <v>22.227692777777783</v>
      </c>
      <c r="AA247">
        <f t="shared" si="32"/>
        <v>22.153487777777784</v>
      </c>
      <c r="AB247">
        <f t="shared" si="32"/>
        <v>22.079282777777784</v>
      </c>
      <c r="AC247">
        <f t="shared" ref="U247:AC276" si="34">(-1.4841*AC$3+3.6472)+$C247</f>
        <v>22.005077777777785</v>
      </c>
      <c r="AD247">
        <f t="shared" si="31"/>
        <v>20.669387777777786</v>
      </c>
    </row>
    <row r="248" spans="2:30" x14ac:dyDescent="0.2">
      <c r="B248" s="7">
        <v>44817</v>
      </c>
      <c r="C248" s="8">
        <v>21.255555555555564</v>
      </c>
      <c r="D248">
        <f t="shared" si="28"/>
        <v>24.531730555555562</v>
      </c>
      <c r="E248">
        <f t="shared" si="30"/>
        <v>24.457525555555563</v>
      </c>
      <c r="F248">
        <f t="shared" si="30"/>
        <v>24.383320555555564</v>
      </c>
      <c r="G248">
        <f t="shared" si="33"/>
        <v>24.309115555555564</v>
      </c>
      <c r="H248">
        <f t="shared" si="33"/>
        <v>24.234910555555565</v>
      </c>
      <c r="I248">
        <f t="shared" si="33"/>
        <v>24.160705555555563</v>
      </c>
      <c r="J248">
        <f t="shared" si="33"/>
        <v>24.086500555555563</v>
      </c>
      <c r="K248">
        <f t="shared" si="33"/>
        <v>24.012295555555564</v>
      </c>
      <c r="L248">
        <f t="shared" ref="G248:T266" si="35">(-1.4841*L$3+3.6472)+$C248</f>
        <v>23.938090555555565</v>
      </c>
      <c r="M248">
        <f t="shared" si="35"/>
        <v>23.863885555555562</v>
      </c>
      <c r="N248">
        <f t="shared" si="35"/>
        <v>23.789680555555563</v>
      </c>
      <c r="O248">
        <f t="shared" si="35"/>
        <v>23.715475555555564</v>
      </c>
      <c r="P248">
        <f t="shared" si="35"/>
        <v>23.641270555555565</v>
      </c>
      <c r="Q248">
        <f t="shared" si="35"/>
        <v>23.567065555555565</v>
      </c>
      <c r="R248">
        <f t="shared" si="35"/>
        <v>23.492860555555563</v>
      </c>
      <c r="S248">
        <f t="shared" si="35"/>
        <v>23.418655555555564</v>
      </c>
      <c r="T248">
        <f t="shared" si="35"/>
        <v>23.344450555555564</v>
      </c>
      <c r="U248">
        <f t="shared" si="34"/>
        <v>23.270245555555562</v>
      </c>
      <c r="V248">
        <f t="shared" si="34"/>
        <v>23.196040555555562</v>
      </c>
      <c r="W248">
        <f t="shared" si="34"/>
        <v>23.121835555555563</v>
      </c>
      <c r="X248">
        <f t="shared" si="34"/>
        <v>23.047630555555564</v>
      </c>
      <c r="Y248">
        <f t="shared" si="34"/>
        <v>22.973425555555565</v>
      </c>
      <c r="Z248">
        <f t="shared" si="34"/>
        <v>22.899220555555562</v>
      </c>
      <c r="AA248">
        <f t="shared" si="34"/>
        <v>22.825015555555563</v>
      </c>
      <c r="AB248">
        <f t="shared" si="34"/>
        <v>22.750810555555564</v>
      </c>
      <c r="AC248">
        <f t="shared" si="34"/>
        <v>22.676605555555561</v>
      </c>
      <c r="AD248">
        <f t="shared" si="31"/>
        <v>21.340915555555565</v>
      </c>
    </row>
    <row r="249" spans="2:30" x14ac:dyDescent="0.2">
      <c r="B249" s="7">
        <v>44818</v>
      </c>
      <c r="C249" s="8">
        <v>19.607638888888893</v>
      </c>
      <c r="D249">
        <f t="shared" si="28"/>
        <v>22.883813888888895</v>
      </c>
      <c r="E249">
        <f t="shared" si="30"/>
        <v>22.809608888888892</v>
      </c>
      <c r="F249">
        <f t="shared" si="30"/>
        <v>22.735403888888893</v>
      </c>
      <c r="G249">
        <f t="shared" si="35"/>
        <v>22.661198888888894</v>
      </c>
      <c r="H249">
        <f t="shared" si="35"/>
        <v>22.586993888888895</v>
      </c>
      <c r="I249">
        <f t="shared" si="35"/>
        <v>22.512788888888892</v>
      </c>
      <c r="J249">
        <f t="shared" si="35"/>
        <v>22.438583888888893</v>
      </c>
      <c r="K249">
        <f t="shared" si="35"/>
        <v>22.364378888888893</v>
      </c>
      <c r="L249">
        <f t="shared" si="35"/>
        <v>22.290173888888894</v>
      </c>
      <c r="M249">
        <f t="shared" si="35"/>
        <v>22.215968888888892</v>
      </c>
      <c r="N249">
        <f t="shared" si="35"/>
        <v>22.141763888888892</v>
      </c>
      <c r="O249">
        <f t="shared" si="35"/>
        <v>22.067558888888893</v>
      </c>
      <c r="P249">
        <f t="shared" si="35"/>
        <v>21.993353888888894</v>
      </c>
      <c r="Q249">
        <f t="shared" si="35"/>
        <v>21.919148888888891</v>
      </c>
      <c r="R249">
        <f t="shared" si="35"/>
        <v>21.844943888888892</v>
      </c>
      <c r="S249">
        <f t="shared" si="35"/>
        <v>21.770738888888893</v>
      </c>
      <c r="T249">
        <f t="shared" si="35"/>
        <v>21.696533888888894</v>
      </c>
      <c r="U249">
        <f t="shared" si="34"/>
        <v>21.622328888888894</v>
      </c>
      <c r="V249">
        <f t="shared" si="34"/>
        <v>21.548123888888892</v>
      </c>
      <c r="W249">
        <f t="shared" si="34"/>
        <v>21.473918888888893</v>
      </c>
      <c r="X249">
        <f t="shared" si="34"/>
        <v>21.399713888888893</v>
      </c>
      <c r="Y249">
        <f t="shared" si="34"/>
        <v>21.325508888888891</v>
      </c>
      <c r="Z249">
        <f t="shared" si="34"/>
        <v>21.251303888888891</v>
      </c>
      <c r="AA249">
        <f t="shared" si="34"/>
        <v>21.177098888888892</v>
      </c>
      <c r="AB249">
        <f t="shared" si="34"/>
        <v>21.102893888888893</v>
      </c>
      <c r="AC249">
        <f t="shared" si="34"/>
        <v>21.028688888888894</v>
      </c>
      <c r="AD249">
        <f t="shared" si="31"/>
        <v>19.692998888888894</v>
      </c>
    </row>
    <row r="250" spans="2:30" x14ac:dyDescent="0.2">
      <c r="B250" s="7">
        <v>44819</v>
      </c>
      <c r="C250" s="8">
        <v>17.481944444444455</v>
      </c>
      <c r="D250">
        <f t="shared" si="28"/>
        <v>20.758119444444453</v>
      </c>
      <c r="E250">
        <f t="shared" si="30"/>
        <v>20.683914444444454</v>
      </c>
      <c r="F250">
        <f t="shared" si="30"/>
        <v>20.609709444444455</v>
      </c>
      <c r="G250">
        <f t="shared" si="35"/>
        <v>20.535504444444456</v>
      </c>
      <c r="H250">
        <f t="shared" si="35"/>
        <v>20.461299444444457</v>
      </c>
      <c r="I250">
        <f t="shared" si="35"/>
        <v>20.387094444444454</v>
      </c>
      <c r="J250">
        <f t="shared" si="35"/>
        <v>20.312889444444455</v>
      </c>
      <c r="K250">
        <f t="shared" si="35"/>
        <v>20.238684444444456</v>
      </c>
      <c r="L250">
        <f t="shared" si="35"/>
        <v>20.164479444444456</v>
      </c>
      <c r="M250">
        <f t="shared" si="35"/>
        <v>20.090274444444454</v>
      </c>
      <c r="N250">
        <f t="shared" si="35"/>
        <v>20.016069444444454</v>
      </c>
      <c r="O250">
        <f t="shared" si="35"/>
        <v>19.941864444444455</v>
      </c>
      <c r="P250">
        <f t="shared" si="35"/>
        <v>19.867659444444456</v>
      </c>
      <c r="Q250">
        <f t="shared" si="35"/>
        <v>19.793454444444457</v>
      </c>
      <c r="R250">
        <f t="shared" si="35"/>
        <v>19.719249444444454</v>
      </c>
      <c r="S250">
        <f t="shared" si="35"/>
        <v>19.645044444444455</v>
      </c>
      <c r="T250">
        <f t="shared" si="35"/>
        <v>19.570839444444456</v>
      </c>
      <c r="U250">
        <f t="shared" si="34"/>
        <v>19.496634444444453</v>
      </c>
      <c r="V250">
        <f t="shared" si="34"/>
        <v>19.422429444444454</v>
      </c>
      <c r="W250">
        <f t="shared" si="34"/>
        <v>19.348224444444455</v>
      </c>
      <c r="X250">
        <f t="shared" si="34"/>
        <v>19.274019444444455</v>
      </c>
      <c r="Y250">
        <f t="shared" si="34"/>
        <v>19.199814444444456</v>
      </c>
      <c r="Z250">
        <f t="shared" si="34"/>
        <v>19.125609444444454</v>
      </c>
      <c r="AA250">
        <f t="shared" si="34"/>
        <v>19.051404444444454</v>
      </c>
      <c r="AB250">
        <f t="shared" si="34"/>
        <v>18.977199444444455</v>
      </c>
      <c r="AC250">
        <f t="shared" si="34"/>
        <v>18.902994444444452</v>
      </c>
      <c r="AD250">
        <f t="shared" si="31"/>
        <v>17.567304444444456</v>
      </c>
    </row>
    <row r="251" spans="2:30" x14ac:dyDescent="0.2">
      <c r="B251" s="7">
        <v>44820</v>
      </c>
      <c r="C251" s="8">
        <v>14.42638888888888</v>
      </c>
      <c r="D251">
        <f t="shared" si="28"/>
        <v>17.702563888888882</v>
      </c>
      <c r="E251">
        <f t="shared" si="30"/>
        <v>17.628358888888879</v>
      </c>
      <c r="F251">
        <f t="shared" si="30"/>
        <v>17.55415388888888</v>
      </c>
      <c r="G251">
        <f t="shared" si="35"/>
        <v>17.479948888888881</v>
      </c>
      <c r="H251">
        <f t="shared" si="35"/>
        <v>17.405743888888882</v>
      </c>
      <c r="I251">
        <f t="shared" si="35"/>
        <v>17.331538888888879</v>
      </c>
      <c r="J251">
        <f t="shared" si="35"/>
        <v>17.25733388888888</v>
      </c>
      <c r="K251">
        <f t="shared" si="35"/>
        <v>17.183128888888881</v>
      </c>
      <c r="L251">
        <f t="shared" si="35"/>
        <v>17.108923888888881</v>
      </c>
      <c r="M251">
        <f t="shared" si="35"/>
        <v>17.034718888888879</v>
      </c>
      <c r="N251">
        <f t="shared" si="35"/>
        <v>16.96051388888888</v>
      </c>
      <c r="O251">
        <f t="shared" si="35"/>
        <v>16.88630888888888</v>
      </c>
      <c r="P251">
        <f t="shared" si="35"/>
        <v>16.812103888888881</v>
      </c>
      <c r="Q251">
        <f t="shared" si="35"/>
        <v>16.737898888888878</v>
      </c>
      <c r="R251">
        <f t="shared" si="35"/>
        <v>16.663693888888879</v>
      </c>
      <c r="S251">
        <f t="shared" si="35"/>
        <v>16.58948888888888</v>
      </c>
      <c r="T251">
        <f t="shared" si="35"/>
        <v>16.515283888888881</v>
      </c>
      <c r="U251">
        <f t="shared" si="34"/>
        <v>16.441078888888882</v>
      </c>
      <c r="V251">
        <f t="shared" si="34"/>
        <v>16.366873888888879</v>
      </c>
      <c r="W251">
        <f t="shared" si="34"/>
        <v>16.29266888888888</v>
      </c>
      <c r="X251">
        <f t="shared" si="34"/>
        <v>16.218463888888881</v>
      </c>
      <c r="Y251">
        <f t="shared" si="34"/>
        <v>16.144258888888878</v>
      </c>
      <c r="Z251">
        <f t="shared" si="34"/>
        <v>16.070053888888879</v>
      </c>
      <c r="AA251">
        <f t="shared" si="34"/>
        <v>15.995848888888879</v>
      </c>
      <c r="AB251">
        <f t="shared" si="34"/>
        <v>15.92164388888888</v>
      </c>
      <c r="AC251">
        <f t="shared" si="34"/>
        <v>15.847438888888879</v>
      </c>
      <c r="AD251">
        <f t="shared" si="31"/>
        <v>14.511748888888881</v>
      </c>
    </row>
    <row r="252" spans="2:30" x14ac:dyDescent="0.2">
      <c r="B252" s="7">
        <v>44821</v>
      </c>
      <c r="C252" s="8">
        <v>13.263888888888879</v>
      </c>
      <c r="D252">
        <f t="shared" si="28"/>
        <v>16.540063888888881</v>
      </c>
      <c r="E252">
        <f t="shared" si="30"/>
        <v>16.465858888888878</v>
      </c>
      <c r="F252">
        <f t="shared" si="30"/>
        <v>16.391653888888879</v>
      </c>
      <c r="G252">
        <f t="shared" si="35"/>
        <v>16.31744888888888</v>
      </c>
      <c r="H252">
        <f t="shared" si="35"/>
        <v>16.24324388888888</v>
      </c>
      <c r="I252">
        <f t="shared" si="35"/>
        <v>16.169038888888878</v>
      </c>
      <c r="J252">
        <f t="shared" si="35"/>
        <v>16.094833888888878</v>
      </c>
      <c r="K252">
        <f t="shared" si="35"/>
        <v>16.020628888888879</v>
      </c>
      <c r="L252">
        <f t="shared" si="35"/>
        <v>15.946423888888878</v>
      </c>
      <c r="M252">
        <f t="shared" si="35"/>
        <v>15.872218888888879</v>
      </c>
      <c r="N252">
        <f t="shared" si="35"/>
        <v>15.798013888888878</v>
      </c>
      <c r="O252">
        <f t="shared" si="35"/>
        <v>15.723808888888879</v>
      </c>
      <c r="P252">
        <f t="shared" si="35"/>
        <v>15.64960388888888</v>
      </c>
      <c r="Q252">
        <f t="shared" si="35"/>
        <v>15.575398888888879</v>
      </c>
      <c r="R252">
        <f t="shared" si="35"/>
        <v>15.501193888888878</v>
      </c>
      <c r="S252">
        <f t="shared" si="35"/>
        <v>15.426988888888879</v>
      </c>
      <c r="T252">
        <f t="shared" si="35"/>
        <v>15.352783888888879</v>
      </c>
      <c r="U252">
        <f t="shared" si="34"/>
        <v>15.278578888888878</v>
      </c>
      <c r="V252">
        <f t="shared" si="34"/>
        <v>15.204373888888878</v>
      </c>
      <c r="W252">
        <f t="shared" si="34"/>
        <v>15.130168888888878</v>
      </c>
      <c r="X252">
        <f t="shared" si="34"/>
        <v>15.055963888888879</v>
      </c>
      <c r="Y252">
        <f t="shared" si="34"/>
        <v>14.981758888888878</v>
      </c>
      <c r="Z252">
        <f t="shared" si="34"/>
        <v>14.907553888888877</v>
      </c>
      <c r="AA252">
        <f t="shared" si="34"/>
        <v>14.833348888888878</v>
      </c>
      <c r="AB252">
        <f t="shared" si="34"/>
        <v>14.759143888888879</v>
      </c>
      <c r="AC252">
        <f t="shared" si="34"/>
        <v>14.684938888888878</v>
      </c>
      <c r="AD252">
        <f t="shared" si="31"/>
        <v>13.34924888888888</v>
      </c>
    </row>
    <row r="253" spans="2:30" x14ac:dyDescent="0.2">
      <c r="B253" s="7">
        <v>44822</v>
      </c>
      <c r="C253" s="8">
        <v>12.471527777777773</v>
      </c>
      <c r="D253">
        <f t="shared" si="28"/>
        <v>15.747702777777773</v>
      </c>
      <c r="E253">
        <f t="shared" si="30"/>
        <v>15.673497777777772</v>
      </c>
      <c r="F253">
        <f t="shared" si="30"/>
        <v>15.599292777777773</v>
      </c>
      <c r="G253">
        <f t="shared" si="35"/>
        <v>15.525087777777774</v>
      </c>
      <c r="H253">
        <f t="shared" si="35"/>
        <v>15.450882777777773</v>
      </c>
      <c r="I253">
        <f t="shared" si="35"/>
        <v>15.376677777777774</v>
      </c>
      <c r="J253">
        <f t="shared" si="35"/>
        <v>15.302472777777773</v>
      </c>
      <c r="K253">
        <f t="shared" si="35"/>
        <v>15.228267777777774</v>
      </c>
      <c r="L253">
        <f t="shared" si="35"/>
        <v>15.154062777777773</v>
      </c>
      <c r="M253">
        <f t="shared" si="35"/>
        <v>15.079857777777773</v>
      </c>
      <c r="N253">
        <f t="shared" si="35"/>
        <v>15.005652777777772</v>
      </c>
      <c r="O253">
        <f t="shared" si="35"/>
        <v>14.931447777777773</v>
      </c>
      <c r="P253">
        <f t="shared" si="35"/>
        <v>14.857242777777774</v>
      </c>
      <c r="Q253">
        <f t="shared" si="35"/>
        <v>14.783037777777773</v>
      </c>
      <c r="R253">
        <f t="shared" si="35"/>
        <v>14.708832777777772</v>
      </c>
      <c r="S253">
        <f t="shared" si="35"/>
        <v>14.634627777777773</v>
      </c>
      <c r="T253">
        <f t="shared" si="35"/>
        <v>14.560422777777774</v>
      </c>
      <c r="U253">
        <f t="shared" si="34"/>
        <v>14.486217777777773</v>
      </c>
      <c r="V253">
        <f t="shared" si="34"/>
        <v>14.412012777777772</v>
      </c>
      <c r="W253">
        <f t="shared" si="34"/>
        <v>14.337807777777773</v>
      </c>
      <c r="X253">
        <f t="shared" si="34"/>
        <v>14.263602777777773</v>
      </c>
      <c r="Y253">
        <f t="shared" si="34"/>
        <v>14.189397777777772</v>
      </c>
      <c r="Z253">
        <f t="shared" si="34"/>
        <v>14.115192777777771</v>
      </c>
      <c r="AA253">
        <f t="shared" si="34"/>
        <v>14.040987777777772</v>
      </c>
      <c r="AB253">
        <f t="shared" si="34"/>
        <v>13.966782777777773</v>
      </c>
      <c r="AC253">
        <f t="shared" si="34"/>
        <v>13.892577777777772</v>
      </c>
      <c r="AD253">
        <f t="shared" si="31"/>
        <v>12.556887777777774</v>
      </c>
    </row>
    <row r="254" spans="2:30" x14ac:dyDescent="0.2">
      <c r="B254" s="7">
        <v>44823</v>
      </c>
      <c r="C254" s="8">
        <v>13.128472222222216</v>
      </c>
      <c r="D254">
        <f t="shared" si="28"/>
        <v>16.404647222222216</v>
      </c>
      <c r="E254">
        <f t="shared" si="30"/>
        <v>16.330442222222217</v>
      </c>
      <c r="F254">
        <f t="shared" si="30"/>
        <v>16.256237222222218</v>
      </c>
      <c r="G254">
        <f t="shared" si="35"/>
        <v>16.182032222222215</v>
      </c>
      <c r="H254">
        <f t="shared" si="35"/>
        <v>16.107827222222216</v>
      </c>
      <c r="I254">
        <f t="shared" si="35"/>
        <v>16.033622222222217</v>
      </c>
      <c r="J254">
        <f t="shared" si="35"/>
        <v>15.959417222222216</v>
      </c>
      <c r="K254">
        <f t="shared" si="35"/>
        <v>15.885212222222217</v>
      </c>
      <c r="L254">
        <f t="shared" si="35"/>
        <v>15.811007222222216</v>
      </c>
      <c r="M254">
        <f t="shared" si="35"/>
        <v>15.736802222222217</v>
      </c>
      <c r="N254">
        <f t="shared" si="35"/>
        <v>15.662597222222217</v>
      </c>
      <c r="O254">
        <f t="shared" si="35"/>
        <v>15.588392222222216</v>
      </c>
      <c r="P254">
        <f t="shared" si="35"/>
        <v>15.514187222222215</v>
      </c>
      <c r="Q254">
        <f t="shared" si="35"/>
        <v>15.439982222222216</v>
      </c>
      <c r="R254">
        <f t="shared" si="35"/>
        <v>15.365777222222217</v>
      </c>
      <c r="S254">
        <f t="shared" si="35"/>
        <v>15.291572222222216</v>
      </c>
      <c r="T254">
        <f t="shared" si="35"/>
        <v>15.217367222222215</v>
      </c>
      <c r="U254">
        <f t="shared" si="34"/>
        <v>15.143162222222216</v>
      </c>
      <c r="V254">
        <f t="shared" si="34"/>
        <v>15.068957222222217</v>
      </c>
      <c r="W254">
        <f t="shared" si="34"/>
        <v>14.994752222222216</v>
      </c>
      <c r="X254">
        <f t="shared" si="34"/>
        <v>14.920547222222215</v>
      </c>
      <c r="Y254">
        <f t="shared" si="34"/>
        <v>14.846342222222216</v>
      </c>
      <c r="Z254">
        <f t="shared" si="34"/>
        <v>14.772137222222216</v>
      </c>
      <c r="AA254">
        <f t="shared" si="34"/>
        <v>14.697932222222216</v>
      </c>
      <c r="AB254">
        <f t="shared" si="34"/>
        <v>14.623727222222215</v>
      </c>
      <c r="AC254">
        <f t="shared" si="34"/>
        <v>14.549522222222215</v>
      </c>
      <c r="AD254">
        <f t="shared" si="31"/>
        <v>13.213832222222216</v>
      </c>
    </row>
    <row r="255" spans="2:30" x14ac:dyDescent="0.2">
      <c r="B255" s="7">
        <v>44824</v>
      </c>
      <c r="C255" s="8">
        <v>14.977083333333335</v>
      </c>
      <c r="D255">
        <f t="shared" si="28"/>
        <v>18.253258333333335</v>
      </c>
      <c r="E255">
        <f t="shared" si="30"/>
        <v>18.179053333333336</v>
      </c>
      <c r="F255">
        <f t="shared" si="30"/>
        <v>18.104848333333337</v>
      </c>
      <c r="G255">
        <f t="shared" si="35"/>
        <v>18.030643333333334</v>
      </c>
      <c r="H255">
        <f t="shared" si="35"/>
        <v>17.956438333333335</v>
      </c>
      <c r="I255">
        <f t="shared" si="35"/>
        <v>17.882233333333335</v>
      </c>
      <c r="J255">
        <f t="shared" si="35"/>
        <v>17.808028333333336</v>
      </c>
      <c r="K255">
        <f t="shared" si="35"/>
        <v>17.733823333333333</v>
      </c>
      <c r="L255">
        <f t="shared" si="35"/>
        <v>17.659618333333334</v>
      </c>
      <c r="M255">
        <f t="shared" si="35"/>
        <v>17.585413333333335</v>
      </c>
      <c r="N255">
        <f t="shared" si="35"/>
        <v>17.511208333333336</v>
      </c>
      <c r="O255">
        <f t="shared" si="35"/>
        <v>17.437003333333337</v>
      </c>
      <c r="P255">
        <f t="shared" si="35"/>
        <v>17.362798333333334</v>
      </c>
      <c r="Q255">
        <f t="shared" si="35"/>
        <v>17.288593333333335</v>
      </c>
      <c r="R255">
        <f t="shared" si="35"/>
        <v>17.214388333333336</v>
      </c>
      <c r="S255">
        <f t="shared" si="35"/>
        <v>17.140183333333333</v>
      </c>
      <c r="T255">
        <f t="shared" si="35"/>
        <v>17.065978333333334</v>
      </c>
      <c r="U255">
        <f t="shared" si="34"/>
        <v>16.991773333333335</v>
      </c>
      <c r="V255">
        <f t="shared" si="34"/>
        <v>16.917568333333335</v>
      </c>
      <c r="W255">
        <f t="shared" si="34"/>
        <v>16.843363333333336</v>
      </c>
      <c r="X255">
        <f t="shared" si="34"/>
        <v>16.769158333333333</v>
      </c>
      <c r="Y255">
        <f t="shared" si="34"/>
        <v>16.694953333333334</v>
      </c>
      <c r="Z255">
        <f t="shared" si="34"/>
        <v>16.620748333333335</v>
      </c>
      <c r="AA255">
        <f t="shared" si="34"/>
        <v>16.546543333333332</v>
      </c>
      <c r="AB255">
        <f t="shared" si="34"/>
        <v>16.472338333333333</v>
      </c>
      <c r="AC255">
        <f t="shared" si="34"/>
        <v>16.398133333333334</v>
      </c>
      <c r="AD255">
        <f t="shared" si="31"/>
        <v>15.062443333333334</v>
      </c>
    </row>
    <row r="256" spans="2:30" x14ac:dyDescent="0.2">
      <c r="B256" s="7">
        <v>44825</v>
      </c>
      <c r="C256" s="8">
        <v>16.034722222222214</v>
      </c>
      <c r="D256">
        <f t="shared" si="28"/>
        <v>19.310897222222216</v>
      </c>
      <c r="E256">
        <f t="shared" si="30"/>
        <v>19.236692222222214</v>
      </c>
      <c r="F256">
        <f t="shared" si="30"/>
        <v>19.162487222222214</v>
      </c>
      <c r="G256">
        <f t="shared" si="35"/>
        <v>19.088282222222215</v>
      </c>
      <c r="H256">
        <f t="shared" si="35"/>
        <v>19.014077222222216</v>
      </c>
      <c r="I256">
        <f t="shared" si="35"/>
        <v>18.939872222222213</v>
      </c>
      <c r="J256">
        <f t="shared" si="35"/>
        <v>18.865667222222214</v>
      </c>
      <c r="K256">
        <f t="shared" si="35"/>
        <v>18.791462222222215</v>
      </c>
      <c r="L256">
        <f t="shared" si="35"/>
        <v>18.717257222222216</v>
      </c>
      <c r="M256">
        <f t="shared" si="35"/>
        <v>18.643052222222213</v>
      </c>
      <c r="N256">
        <f t="shared" si="35"/>
        <v>18.568847222222214</v>
      </c>
      <c r="O256">
        <f t="shared" si="35"/>
        <v>18.494642222222215</v>
      </c>
      <c r="P256">
        <f t="shared" si="35"/>
        <v>18.420437222222215</v>
      </c>
      <c r="Q256">
        <f t="shared" si="35"/>
        <v>18.346232222222213</v>
      </c>
      <c r="R256">
        <f t="shared" si="35"/>
        <v>18.272027222222214</v>
      </c>
      <c r="S256">
        <f t="shared" si="35"/>
        <v>18.197822222222214</v>
      </c>
      <c r="T256">
        <f t="shared" si="35"/>
        <v>18.123617222222215</v>
      </c>
      <c r="U256">
        <f t="shared" si="34"/>
        <v>18.049412222222216</v>
      </c>
      <c r="V256">
        <f t="shared" si="34"/>
        <v>17.975207222222213</v>
      </c>
      <c r="W256">
        <f t="shared" si="34"/>
        <v>17.901002222222214</v>
      </c>
      <c r="X256">
        <f t="shared" si="34"/>
        <v>17.826797222222215</v>
      </c>
      <c r="Y256">
        <f t="shared" si="34"/>
        <v>17.752592222222212</v>
      </c>
      <c r="Z256">
        <f t="shared" si="34"/>
        <v>17.678387222222213</v>
      </c>
      <c r="AA256">
        <f t="shared" si="34"/>
        <v>17.604182222222214</v>
      </c>
      <c r="AB256">
        <f t="shared" si="34"/>
        <v>17.529977222222215</v>
      </c>
      <c r="AC256">
        <f t="shared" si="34"/>
        <v>17.455772222222215</v>
      </c>
      <c r="AD256">
        <f t="shared" si="31"/>
        <v>16.120082222222216</v>
      </c>
    </row>
    <row r="257" spans="2:30" x14ac:dyDescent="0.2">
      <c r="B257" s="7">
        <v>44826</v>
      </c>
      <c r="C257" s="8">
        <v>15.317361111111106</v>
      </c>
      <c r="D257">
        <f t="shared" si="28"/>
        <v>18.593536111111106</v>
      </c>
      <c r="E257">
        <f t="shared" si="30"/>
        <v>18.519331111111107</v>
      </c>
      <c r="F257">
        <f t="shared" si="30"/>
        <v>18.445126111111108</v>
      </c>
      <c r="G257">
        <f t="shared" si="35"/>
        <v>18.370921111111105</v>
      </c>
      <c r="H257">
        <f t="shared" si="35"/>
        <v>18.296716111111106</v>
      </c>
      <c r="I257">
        <f t="shared" si="35"/>
        <v>18.222511111111107</v>
      </c>
      <c r="J257">
        <f t="shared" si="35"/>
        <v>18.148306111111108</v>
      </c>
      <c r="K257">
        <f t="shared" si="35"/>
        <v>18.074101111111105</v>
      </c>
      <c r="L257">
        <f t="shared" si="35"/>
        <v>17.999896111111106</v>
      </c>
      <c r="M257">
        <f t="shared" si="35"/>
        <v>17.925691111111107</v>
      </c>
      <c r="N257">
        <f t="shared" si="35"/>
        <v>17.851486111111107</v>
      </c>
      <c r="O257">
        <f t="shared" si="35"/>
        <v>17.777281111111108</v>
      </c>
      <c r="P257">
        <f t="shared" si="35"/>
        <v>17.703076111111105</v>
      </c>
      <c r="Q257">
        <f t="shared" si="35"/>
        <v>17.628871111111106</v>
      </c>
      <c r="R257">
        <f t="shared" si="35"/>
        <v>17.554666111111107</v>
      </c>
      <c r="S257">
        <f t="shared" si="35"/>
        <v>17.480461111111104</v>
      </c>
      <c r="T257">
        <f t="shared" si="35"/>
        <v>17.406256111111105</v>
      </c>
      <c r="U257">
        <f t="shared" si="34"/>
        <v>17.332051111111106</v>
      </c>
      <c r="V257">
        <f t="shared" si="34"/>
        <v>17.257846111111107</v>
      </c>
      <c r="W257">
        <f t="shared" si="34"/>
        <v>17.183641111111108</v>
      </c>
      <c r="X257">
        <f t="shared" si="34"/>
        <v>17.109436111111105</v>
      </c>
      <c r="Y257">
        <f t="shared" si="34"/>
        <v>17.035231111111106</v>
      </c>
      <c r="Z257">
        <f t="shared" si="34"/>
        <v>16.961026111111106</v>
      </c>
      <c r="AA257">
        <f t="shared" si="34"/>
        <v>16.886821111111104</v>
      </c>
      <c r="AB257">
        <f t="shared" si="34"/>
        <v>16.812616111111105</v>
      </c>
      <c r="AC257">
        <f t="shared" si="34"/>
        <v>16.738411111111105</v>
      </c>
      <c r="AD257">
        <f t="shared" si="31"/>
        <v>15.402721111111106</v>
      </c>
    </row>
    <row r="258" spans="2:30" x14ac:dyDescent="0.2">
      <c r="B258" s="7">
        <v>44827</v>
      </c>
      <c r="C258" s="8">
        <v>14.624999999999996</v>
      </c>
      <c r="D258">
        <f t="shared" si="28"/>
        <v>17.901174999999995</v>
      </c>
      <c r="E258">
        <f t="shared" si="30"/>
        <v>17.826969999999996</v>
      </c>
      <c r="F258">
        <f t="shared" si="30"/>
        <v>17.752764999999997</v>
      </c>
      <c r="G258">
        <f t="shared" si="35"/>
        <v>17.678559999999997</v>
      </c>
      <c r="H258">
        <f t="shared" si="35"/>
        <v>17.604354999999998</v>
      </c>
      <c r="I258">
        <f t="shared" si="35"/>
        <v>17.530149999999995</v>
      </c>
      <c r="J258">
        <f t="shared" si="35"/>
        <v>17.455944999999996</v>
      </c>
      <c r="K258">
        <f t="shared" si="35"/>
        <v>17.381739999999997</v>
      </c>
      <c r="L258">
        <f t="shared" si="35"/>
        <v>17.307534999999998</v>
      </c>
      <c r="M258">
        <f t="shared" si="35"/>
        <v>17.233329999999995</v>
      </c>
      <c r="N258">
        <f t="shared" si="35"/>
        <v>17.159124999999996</v>
      </c>
      <c r="O258">
        <f t="shared" si="35"/>
        <v>17.084919999999997</v>
      </c>
      <c r="P258">
        <f t="shared" si="35"/>
        <v>17.010714999999998</v>
      </c>
      <c r="Q258">
        <f t="shared" si="35"/>
        <v>16.936509999999998</v>
      </c>
      <c r="R258">
        <f t="shared" si="35"/>
        <v>16.862304999999996</v>
      </c>
      <c r="S258">
        <f t="shared" si="35"/>
        <v>16.788099999999996</v>
      </c>
      <c r="T258">
        <f t="shared" si="35"/>
        <v>16.713894999999997</v>
      </c>
      <c r="U258">
        <f t="shared" si="34"/>
        <v>16.639689999999995</v>
      </c>
      <c r="V258">
        <f t="shared" si="34"/>
        <v>16.565484999999995</v>
      </c>
      <c r="W258">
        <f t="shared" si="34"/>
        <v>16.491279999999996</v>
      </c>
      <c r="X258">
        <f t="shared" si="34"/>
        <v>16.417074999999997</v>
      </c>
      <c r="Y258">
        <f t="shared" si="34"/>
        <v>16.342869999999998</v>
      </c>
      <c r="Z258">
        <f t="shared" si="34"/>
        <v>16.268664999999995</v>
      </c>
      <c r="AA258">
        <f t="shared" si="34"/>
        <v>16.194459999999996</v>
      </c>
      <c r="AB258">
        <f t="shared" si="34"/>
        <v>16.120254999999997</v>
      </c>
      <c r="AC258">
        <f t="shared" si="34"/>
        <v>16.046049999999994</v>
      </c>
      <c r="AD258">
        <f t="shared" si="31"/>
        <v>14.710359999999998</v>
      </c>
    </row>
    <row r="259" spans="2:30" x14ac:dyDescent="0.2">
      <c r="B259" s="7">
        <v>44828</v>
      </c>
      <c r="C259" s="8">
        <v>14.76319444444443</v>
      </c>
      <c r="D259">
        <f t="shared" si="28"/>
        <v>18.039369444444432</v>
      </c>
      <c r="E259">
        <f t="shared" si="30"/>
        <v>17.965164444444429</v>
      </c>
      <c r="F259">
        <f t="shared" si="30"/>
        <v>17.89095944444443</v>
      </c>
      <c r="G259">
        <f t="shared" si="35"/>
        <v>17.816754444444431</v>
      </c>
      <c r="H259">
        <f t="shared" si="35"/>
        <v>17.742549444444432</v>
      </c>
      <c r="I259">
        <f t="shared" si="35"/>
        <v>17.668344444444429</v>
      </c>
      <c r="J259">
        <f t="shared" si="35"/>
        <v>17.59413944444443</v>
      </c>
      <c r="K259">
        <f t="shared" si="35"/>
        <v>17.519934444444431</v>
      </c>
      <c r="L259">
        <f t="shared" si="35"/>
        <v>17.445729444444432</v>
      </c>
      <c r="M259">
        <f t="shared" si="35"/>
        <v>17.371524444444429</v>
      </c>
      <c r="N259">
        <f t="shared" si="35"/>
        <v>17.29731944444443</v>
      </c>
      <c r="O259">
        <f t="shared" si="35"/>
        <v>17.22311444444443</v>
      </c>
      <c r="P259">
        <f t="shared" si="35"/>
        <v>17.148909444444431</v>
      </c>
      <c r="Q259">
        <f t="shared" si="35"/>
        <v>17.074704444444428</v>
      </c>
      <c r="R259">
        <f t="shared" si="35"/>
        <v>17.000499444444429</v>
      </c>
      <c r="S259">
        <f t="shared" si="35"/>
        <v>16.92629444444443</v>
      </c>
      <c r="T259">
        <f t="shared" si="35"/>
        <v>16.852089444444431</v>
      </c>
      <c r="U259">
        <f t="shared" si="34"/>
        <v>16.777884444444432</v>
      </c>
      <c r="V259">
        <f t="shared" si="34"/>
        <v>16.703679444444429</v>
      </c>
      <c r="W259">
        <f t="shared" si="34"/>
        <v>16.62947444444443</v>
      </c>
      <c r="X259">
        <f t="shared" si="34"/>
        <v>16.555269444444431</v>
      </c>
      <c r="Y259">
        <f t="shared" si="34"/>
        <v>16.481064444444428</v>
      </c>
      <c r="Z259">
        <f t="shared" si="34"/>
        <v>16.406859444444429</v>
      </c>
      <c r="AA259">
        <f t="shared" si="34"/>
        <v>16.332654444444429</v>
      </c>
      <c r="AB259">
        <f t="shared" si="34"/>
        <v>16.25844944444443</v>
      </c>
      <c r="AC259">
        <f t="shared" si="34"/>
        <v>16.184244444444431</v>
      </c>
      <c r="AD259">
        <f t="shared" si="31"/>
        <v>14.848554444444432</v>
      </c>
    </row>
    <row r="260" spans="2:30" x14ac:dyDescent="0.2">
      <c r="B260" s="7">
        <v>44829</v>
      </c>
      <c r="C260" s="8">
        <v>14.445833333333329</v>
      </c>
      <c r="D260">
        <f t="shared" si="28"/>
        <v>17.722008333333328</v>
      </c>
      <c r="E260">
        <f t="shared" si="30"/>
        <v>17.647803333333329</v>
      </c>
      <c r="F260">
        <f t="shared" si="30"/>
        <v>17.573598333333329</v>
      </c>
      <c r="G260">
        <f t="shared" si="35"/>
        <v>17.49939333333333</v>
      </c>
      <c r="H260">
        <f t="shared" si="35"/>
        <v>17.425188333333331</v>
      </c>
      <c r="I260">
        <f t="shared" si="35"/>
        <v>17.350983333333328</v>
      </c>
      <c r="J260">
        <f t="shared" si="35"/>
        <v>17.276778333333329</v>
      </c>
      <c r="K260">
        <f t="shared" si="35"/>
        <v>17.20257333333333</v>
      </c>
      <c r="L260">
        <f t="shared" si="35"/>
        <v>17.128368333333331</v>
      </c>
      <c r="M260">
        <f t="shared" si="35"/>
        <v>17.054163333333328</v>
      </c>
      <c r="N260">
        <f t="shared" si="35"/>
        <v>16.979958333333329</v>
      </c>
      <c r="O260">
        <f t="shared" si="35"/>
        <v>16.90575333333333</v>
      </c>
      <c r="P260">
        <f t="shared" si="35"/>
        <v>16.83154833333333</v>
      </c>
      <c r="Q260">
        <f t="shared" si="35"/>
        <v>16.757343333333331</v>
      </c>
      <c r="R260">
        <f t="shared" si="35"/>
        <v>16.683138333333329</v>
      </c>
      <c r="S260">
        <f t="shared" si="35"/>
        <v>16.608933333333329</v>
      </c>
      <c r="T260">
        <f t="shared" si="35"/>
        <v>16.53472833333333</v>
      </c>
      <c r="U260">
        <f t="shared" si="34"/>
        <v>16.460523333333327</v>
      </c>
      <c r="V260">
        <f t="shared" si="34"/>
        <v>16.386318333333328</v>
      </c>
      <c r="W260">
        <f t="shared" si="34"/>
        <v>16.312113333333329</v>
      </c>
      <c r="X260">
        <f t="shared" si="34"/>
        <v>16.23790833333333</v>
      </c>
      <c r="Y260">
        <f t="shared" si="34"/>
        <v>16.163703333333331</v>
      </c>
      <c r="Z260">
        <f t="shared" si="34"/>
        <v>16.089498333333328</v>
      </c>
      <c r="AA260">
        <f t="shared" si="34"/>
        <v>16.015293333333329</v>
      </c>
      <c r="AB260">
        <f t="shared" si="34"/>
        <v>15.94108833333333</v>
      </c>
      <c r="AC260">
        <f t="shared" si="34"/>
        <v>15.866883333333329</v>
      </c>
      <c r="AD260">
        <f t="shared" si="31"/>
        <v>14.531193333333331</v>
      </c>
    </row>
    <row r="261" spans="2:30" x14ac:dyDescent="0.2">
      <c r="B261" s="7">
        <v>44830</v>
      </c>
      <c r="C261" s="8">
        <v>13.511805555555544</v>
      </c>
      <c r="D261">
        <f t="shared" si="28"/>
        <v>16.787980555555542</v>
      </c>
      <c r="E261">
        <f t="shared" si="30"/>
        <v>16.713775555555543</v>
      </c>
      <c r="F261">
        <f t="shared" si="30"/>
        <v>16.639570555555544</v>
      </c>
      <c r="G261">
        <f t="shared" si="35"/>
        <v>16.565365555555545</v>
      </c>
      <c r="H261">
        <f t="shared" si="35"/>
        <v>16.491160555555545</v>
      </c>
      <c r="I261">
        <f t="shared" si="35"/>
        <v>16.416955555555543</v>
      </c>
      <c r="J261">
        <f t="shared" si="35"/>
        <v>16.342750555555543</v>
      </c>
      <c r="K261">
        <f t="shared" si="35"/>
        <v>16.268545555555544</v>
      </c>
      <c r="L261">
        <f t="shared" si="35"/>
        <v>16.194340555555545</v>
      </c>
      <c r="M261">
        <f t="shared" si="35"/>
        <v>16.120135555555542</v>
      </c>
      <c r="N261">
        <f t="shared" si="35"/>
        <v>16.045930555555543</v>
      </c>
      <c r="O261">
        <f t="shared" si="35"/>
        <v>15.971725555555544</v>
      </c>
      <c r="P261">
        <f t="shared" si="35"/>
        <v>15.897520555555545</v>
      </c>
      <c r="Q261">
        <f t="shared" si="35"/>
        <v>15.823315555555544</v>
      </c>
      <c r="R261">
        <f t="shared" si="35"/>
        <v>15.749110555555543</v>
      </c>
      <c r="S261">
        <f t="shared" si="35"/>
        <v>15.674905555555544</v>
      </c>
      <c r="T261">
        <f t="shared" si="35"/>
        <v>15.600700555555544</v>
      </c>
      <c r="U261">
        <f t="shared" si="34"/>
        <v>15.526495555555544</v>
      </c>
      <c r="V261">
        <f t="shared" si="34"/>
        <v>15.452290555555543</v>
      </c>
      <c r="W261">
        <f t="shared" si="34"/>
        <v>15.378085555555543</v>
      </c>
      <c r="X261">
        <f t="shared" si="34"/>
        <v>15.303880555555544</v>
      </c>
      <c r="Y261">
        <f t="shared" si="34"/>
        <v>15.229675555555543</v>
      </c>
      <c r="Z261">
        <f t="shared" si="34"/>
        <v>15.155470555555542</v>
      </c>
      <c r="AA261">
        <f t="shared" si="34"/>
        <v>15.081265555555543</v>
      </c>
      <c r="AB261">
        <f t="shared" si="34"/>
        <v>15.007060555555544</v>
      </c>
      <c r="AC261">
        <f t="shared" si="34"/>
        <v>14.932855555555543</v>
      </c>
      <c r="AD261">
        <f t="shared" si="31"/>
        <v>13.597165555555545</v>
      </c>
    </row>
    <row r="262" spans="2:30" x14ac:dyDescent="0.2">
      <c r="B262" s="7">
        <v>44831</v>
      </c>
      <c r="C262" s="8">
        <v>11.43125</v>
      </c>
      <c r="D262">
        <f t="shared" ref="D262:D325" si="36">(-1.4841*D$3+3.6472)+C262</f>
        <v>14.707425000000001</v>
      </c>
      <c r="E262">
        <f t="shared" si="30"/>
        <v>14.633220000000001</v>
      </c>
      <c r="F262">
        <f t="shared" si="30"/>
        <v>14.559015</v>
      </c>
      <c r="G262">
        <f t="shared" si="35"/>
        <v>14.48481</v>
      </c>
      <c r="H262">
        <f t="shared" si="35"/>
        <v>14.410605</v>
      </c>
      <c r="I262">
        <f t="shared" si="35"/>
        <v>14.336400000000001</v>
      </c>
      <c r="J262">
        <f t="shared" si="35"/>
        <v>14.262195</v>
      </c>
      <c r="K262">
        <f t="shared" si="35"/>
        <v>14.187990000000001</v>
      </c>
      <c r="L262">
        <f t="shared" si="35"/>
        <v>14.113785</v>
      </c>
      <c r="M262">
        <f t="shared" si="35"/>
        <v>14.039580000000001</v>
      </c>
      <c r="N262">
        <f t="shared" si="35"/>
        <v>13.965375000000002</v>
      </c>
      <c r="O262">
        <f t="shared" si="35"/>
        <v>13.891170000000001</v>
      </c>
      <c r="P262">
        <f t="shared" si="35"/>
        <v>13.816965</v>
      </c>
      <c r="Q262">
        <f t="shared" si="35"/>
        <v>13.742760000000001</v>
      </c>
      <c r="R262">
        <f t="shared" si="35"/>
        <v>13.668555000000001</v>
      </c>
      <c r="S262">
        <f t="shared" si="35"/>
        <v>13.59435</v>
      </c>
      <c r="T262">
        <f t="shared" si="35"/>
        <v>13.520144999999999</v>
      </c>
      <c r="U262">
        <f t="shared" si="34"/>
        <v>13.44594</v>
      </c>
      <c r="V262">
        <f t="shared" si="34"/>
        <v>13.371735000000001</v>
      </c>
      <c r="W262">
        <f t="shared" si="34"/>
        <v>13.29753</v>
      </c>
      <c r="X262">
        <f t="shared" si="34"/>
        <v>13.223324999999999</v>
      </c>
      <c r="Y262">
        <f t="shared" si="34"/>
        <v>13.14912</v>
      </c>
      <c r="Z262">
        <f t="shared" si="34"/>
        <v>13.074915000000001</v>
      </c>
      <c r="AA262">
        <f t="shared" si="34"/>
        <v>13.00071</v>
      </c>
      <c r="AB262">
        <f t="shared" si="34"/>
        <v>12.926504999999999</v>
      </c>
      <c r="AC262">
        <f t="shared" si="34"/>
        <v>12.8523</v>
      </c>
      <c r="AD262">
        <f t="shared" si="31"/>
        <v>11.51661</v>
      </c>
    </row>
    <row r="263" spans="2:30" x14ac:dyDescent="0.2">
      <c r="B263" s="7">
        <v>44832</v>
      </c>
      <c r="C263" s="8">
        <v>12.170833333333325</v>
      </c>
      <c r="D263">
        <f t="shared" si="36"/>
        <v>15.447008333333326</v>
      </c>
      <c r="E263">
        <f t="shared" si="30"/>
        <v>15.372803333333326</v>
      </c>
      <c r="F263">
        <f t="shared" si="30"/>
        <v>15.298598333333326</v>
      </c>
      <c r="G263">
        <f t="shared" si="35"/>
        <v>15.224393333333325</v>
      </c>
      <c r="H263">
        <f t="shared" si="35"/>
        <v>15.150188333333325</v>
      </c>
      <c r="I263">
        <f t="shared" si="35"/>
        <v>15.075983333333326</v>
      </c>
      <c r="J263">
        <f t="shared" si="35"/>
        <v>15.001778333333325</v>
      </c>
      <c r="K263">
        <f t="shared" si="35"/>
        <v>14.927573333333326</v>
      </c>
      <c r="L263">
        <f t="shared" si="35"/>
        <v>14.853368333333325</v>
      </c>
      <c r="M263">
        <f t="shared" si="35"/>
        <v>14.779163333333326</v>
      </c>
      <c r="N263">
        <f t="shared" si="35"/>
        <v>14.704958333333327</v>
      </c>
      <c r="O263">
        <f t="shared" si="35"/>
        <v>14.630753333333326</v>
      </c>
      <c r="P263">
        <f t="shared" si="35"/>
        <v>14.556548333333325</v>
      </c>
      <c r="Q263">
        <f t="shared" si="35"/>
        <v>14.482343333333326</v>
      </c>
      <c r="R263">
        <f t="shared" si="35"/>
        <v>14.408138333333326</v>
      </c>
      <c r="S263">
        <f t="shared" si="35"/>
        <v>14.333933333333325</v>
      </c>
      <c r="T263">
        <f t="shared" si="35"/>
        <v>14.259728333333324</v>
      </c>
      <c r="U263">
        <f t="shared" si="34"/>
        <v>14.185523333333325</v>
      </c>
      <c r="V263">
        <f t="shared" si="34"/>
        <v>14.111318333333326</v>
      </c>
      <c r="W263">
        <f t="shared" si="34"/>
        <v>14.037113333333325</v>
      </c>
      <c r="X263">
        <f t="shared" si="34"/>
        <v>13.962908333333324</v>
      </c>
      <c r="Y263">
        <f t="shared" si="34"/>
        <v>13.888703333333325</v>
      </c>
      <c r="Z263">
        <f t="shared" si="34"/>
        <v>13.814498333333326</v>
      </c>
      <c r="AA263">
        <f t="shared" si="34"/>
        <v>13.740293333333325</v>
      </c>
      <c r="AB263">
        <f t="shared" si="34"/>
        <v>13.666088333333324</v>
      </c>
      <c r="AC263">
        <f t="shared" si="34"/>
        <v>13.591883333333325</v>
      </c>
      <c r="AD263">
        <f t="shared" si="31"/>
        <v>12.256193333333325</v>
      </c>
    </row>
    <row r="264" spans="2:30" x14ac:dyDescent="0.2">
      <c r="B264" s="7">
        <v>44833</v>
      </c>
      <c r="C264" s="8">
        <v>12.684722222222215</v>
      </c>
      <c r="D264">
        <f t="shared" si="36"/>
        <v>15.960897222222215</v>
      </c>
      <c r="E264">
        <f t="shared" si="30"/>
        <v>15.886692222222216</v>
      </c>
      <c r="F264">
        <f t="shared" si="30"/>
        <v>15.812487222222215</v>
      </c>
      <c r="G264">
        <f t="shared" si="35"/>
        <v>15.738282222222214</v>
      </c>
      <c r="H264">
        <f t="shared" si="35"/>
        <v>15.664077222222215</v>
      </c>
      <c r="I264">
        <f t="shared" si="35"/>
        <v>15.589872222222215</v>
      </c>
      <c r="J264">
        <f t="shared" si="35"/>
        <v>15.515667222222215</v>
      </c>
      <c r="K264">
        <f t="shared" si="35"/>
        <v>15.441462222222215</v>
      </c>
      <c r="L264">
        <f t="shared" si="35"/>
        <v>15.367257222222214</v>
      </c>
      <c r="M264">
        <f t="shared" si="35"/>
        <v>15.293052222222215</v>
      </c>
      <c r="N264">
        <f t="shared" si="35"/>
        <v>15.218847222222216</v>
      </c>
      <c r="O264">
        <f t="shared" si="35"/>
        <v>15.144642222222215</v>
      </c>
      <c r="P264">
        <f t="shared" si="35"/>
        <v>15.070437222222214</v>
      </c>
      <c r="Q264">
        <f t="shared" si="35"/>
        <v>14.996232222222215</v>
      </c>
      <c r="R264">
        <f t="shared" si="35"/>
        <v>14.922027222222216</v>
      </c>
      <c r="S264">
        <f t="shared" si="35"/>
        <v>14.847822222222215</v>
      </c>
      <c r="T264">
        <f t="shared" si="35"/>
        <v>14.773617222222214</v>
      </c>
      <c r="U264">
        <f t="shared" si="34"/>
        <v>14.699412222222215</v>
      </c>
      <c r="V264">
        <f t="shared" si="34"/>
        <v>14.625207222222215</v>
      </c>
      <c r="W264">
        <f t="shared" si="34"/>
        <v>14.551002222222214</v>
      </c>
      <c r="X264">
        <f t="shared" si="34"/>
        <v>14.476797222222213</v>
      </c>
      <c r="Y264">
        <f t="shared" si="34"/>
        <v>14.402592222222214</v>
      </c>
      <c r="Z264">
        <f t="shared" si="34"/>
        <v>14.328387222222215</v>
      </c>
      <c r="AA264">
        <f t="shared" si="34"/>
        <v>14.254182222222214</v>
      </c>
      <c r="AB264">
        <f t="shared" si="34"/>
        <v>14.179977222222213</v>
      </c>
      <c r="AC264">
        <f t="shared" si="34"/>
        <v>14.105772222222214</v>
      </c>
      <c r="AD264">
        <f t="shared" si="31"/>
        <v>12.770082222222214</v>
      </c>
    </row>
    <row r="265" spans="2:30" x14ac:dyDescent="0.2">
      <c r="B265" s="7">
        <v>44834</v>
      </c>
      <c r="C265" s="8">
        <v>12.6673611111111</v>
      </c>
      <c r="D265">
        <f t="shared" si="36"/>
        <v>15.943536111111101</v>
      </c>
      <c r="E265">
        <f t="shared" si="30"/>
        <v>15.869331111111102</v>
      </c>
      <c r="F265">
        <f t="shared" si="30"/>
        <v>15.795126111111101</v>
      </c>
      <c r="G265">
        <f t="shared" si="35"/>
        <v>15.7209211111111</v>
      </c>
      <c r="H265">
        <f t="shared" si="35"/>
        <v>15.6467161111111</v>
      </c>
      <c r="I265">
        <f t="shared" si="35"/>
        <v>15.572511111111101</v>
      </c>
      <c r="J265">
        <f t="shared" si="35"/>
        <v>15.4983061111111</v>
      </c>
      <c r="K265">
        <f t="shared" si="35"/>
        <v>15.424101111111101</v>
      </c>
      <c r="L265">
        <f t="shared" si="35"/>
        <v>15.3498961111111</v>
      </c>
      <c r="M265">
        <f t="shared" si="35"/>
        <v>15.275691111111101</v>
      </c>
      <c r="N265">
        <f t="shared" si="35"/>
        <v>15.201486111111102</v>
      </c>
      <c r="O265">
        <f t="shared" si="35"/>
        <v>15.127281111111101</v>
      </c>
      <c r="P265">
        <f t="shared" si="35"/>
        <v>15.0530761111111</v>
      </c>
      <c r="Q265">
        <f t="shared" si="35"/>
        <v>14.978871111111101</v>
      </c>
      <c r="R265">
        <f t="shared" si="35"/>
        <v>14.904666111111101</v>
      </c>
      <c r="S265">
        <f t="shared" si="35"/>
        <v>14.8304611111111</v>
      </c>
      <c r="T265">
        <f t="shared" si="35"/>
        <v>14.756256111111099</v>
      </c>
      <c r="U265">
        <f t="shared" si="34"/>
        <v>14.6820511111111</v>
      </c>
      <c r="V265">
        <f t="shared" si="34"/>
        <v>14.607846111111101</v>
      </c>
      <c r="W265">
        <f t="shared" si="34"/>
        <v>14.5336411111111</v>
      </c>
      <c r="X265">
        <f t="shared" si="34"/>
        <v>14.459436111111099</v>
      </c>
      <c r="Y265">
        <f t="shared" si="34"/>
        <v>14.3852311111111</v>
      </c>
      <c r="Z265">
        <f t="shared" si="34"/>
        <v>14.311026111111101</v>
      </c>
      <c r="AA265">
        <f t="shared" si="34"/>
        <v>14.2368211111111</v>
      </c>
      <c r="AB265">
        <f t="shared" si="34"/>
        <v>14.162616111111099</v>
      </c>
      <c r="AC265">
        <f t="shared" si="34"/>
        <v>14.0884111111111</v>
      </c>
      <c r="AD265">
        <f t="shared" si="31"/>
        <v>12.7527211111111</v>
      </c>
    </row>
    <row r="266" spans="2:30" x14ac:dyDescent="0.2">
      <c r="B266" s="7">
        <v>44835</v>
      </c>
      <c r="C266" s="8">
        <v>13.626388888888883</v>
      </c>
      <c r="D266">
        <f t="shared" si="36"/>
        <v>16.902563888888885</v>
      </c>
      <c r="E266">
        <f t="shared" si="30"/>
        <v>16.828358888888882</v>
      </c>
      <c r="F266">
        <f t="shared" si="30"/>
        <v>16.754153888888883</v>
      </c>
      <c r="G266">
        <f t="shared" si="35"/>
        <v>16.679948888888884</v>
      </c>
      <c r="H266">
        <f t="shared" si="35"/>
        <v>16.605743888888885</v>
      </c>
      <c r="I266">
        <f t="shared" si="35"/>
        <v>16.531538888888882</v>
      </c>
      <c r="J266">
        <f t="shared" si="35"/>
        <v>16.457333888888883</v>
      </c>
      <c r="K266">
        <f t="shared" si="35"/>
        <v>16.383128888888884</v>
      </c>
      <c r="L266">
        <f t="shared" si="35"/>
        <v>16.308923888888884</v>
      </c>
      <c r="M266">
        <f t="shared" si="35"/>
        <v>16.234718888888882</v>
      </c>
      <c r="N266">
        <f t="shared" si="35"/>
        <v>16.160513888888882</v>
      </c>
      <c r="O266">
        <f t="shared" ref="G266:T284" si="37">(-1.4841*O$3+3.6472)+$C266</f>
        <v>16.086308888888883</v>
      </c>
      <c r="P266">
        <f t="shared" si="37"/>
        <v>16.012103888888884</v>
      </c>
      <c r="Q266">
        <f t="shared" si="37"/>
        <v>15.937898888888883</v>
      </c>
      <c r="R266">
        <f t="shared" si="37"/>
        <v>15.863693888888882</v>
      </c>
      <c r="S266">
        <f t="shared" si="37"/>
        <v>15.789488888888883</v>
      </c>
      <c r="T266">
        <f t="shared" si="37"/>
        <v>15.715283888888884</v>
      </c>
      <c r="U266">
        <f t="shared" si="34"/>
        <v>15.641078888888883</v>
      </c>
      <c r="V266">
        <f t="shared" si="34"/>
        <v>15.566873888888882</v>
      </c>
      <c r="W266">
        <f t="shared" si="34"/>
        <v>15.492668888888883</v>
      </c>
      <c r="X266">
        <f t="shared" si="34"/>
        <v>15.418463888888883</v>
      </c>
      <c r="Y266">
        <f t="shared" si="34"/>
        <v>15.344258888888882</v>
      </c>
      <c r="Z266">
        <f t="shared" si="34"/>
        <v>15.270053888888881</v>
      </c>
      <c r="AA266">
        <f t="shared" si="34"/>
        <v>15.195848888888882</v>
      </c>
      <c r="AB266">
        <f t="shared" si="34"/>
        <v>15.121643888888883</v>
      </c>
      <c r="AC266">
        <f t="shared" si="34"/>
        <v>15.047438888888882</v>
      </c>
      <c r="AD266">
        <f t="shared" si="31"/>
        <v>13.711748888888884</v>
      </c>
    </row>
    <row r="267" spans="2:30" x14ac:dyDescent="0.2">
      <c r="B267" s="7">
        <v>44836</v>
      </c>
      <c r="C267" s="8">
        <v>14.30833333333333</v>
      </c>
      <c r="D267">
        <f t="shared" si="36"/>
        <v>17.584508333333332</v>
      </c>
      <c r="E267">
        <f t="shared" si="30"/>
        <v>17.510303333333329</v>
      </c>
      <c r="F267">
        <f t="shared" si="30"/>
        <v>17.43609833333333</v>
      </c>
      <c r="G267">
        <f t="shared" si="37"/>
        <v>17.361893333333331</v>
      </c>
      <c r="H267">
        <f t="shared" si="37"/>
        <v>17.287688333333332</v>
      </c>
      <c r="I267">
        <f t="shared" si="37"/>
        <v>17.213483333333329</v>
      </c>
      <c r="J267">
        <f t="shared" si="37"/>
        <v>17.13927833333333</v>
      </c>
      <c r="K267">
        <f t="shared" si="37"/>
        <v>17.065073333333331</v>
      </c>
      <c r="L267">
        <f t="shared" si="37"/>
        <v>16.990868333333331</v>
      </c>
      <c r="M267">
        <f t="shared" si="37"/>
        <v>16.916663333333329</v>
      </c>
      <c r="N267">
        <f t="shared" si="37"/>
        <v>16.84245833333333</v>
      </c>
      <c r="O267">
        <f t="shared" si="37"/>
        <v>16.76825333333333</v>
      </c>
      <c r="P267">
        <f t="shared" si="37"/>
        <v>16.694048333333331</v>
      </c>
      <c r="Q267">
        <f t="shared" si="37"/>
        <v>16.619843333333328</v>
      </c>
      <c r="R267">
        <f t="shared" si="37"/>
        <v>16.545638333333329</v>
      </c>
      <c r="S267">
        <f t="shared" si="37"/>
        <v>16.47143333333333</v>
      </c>
      <c r="T267">
        <f t="shared" si="37"/>
        <v>16.397228333333331</v>
      </c>
      <c r="U267">
        <f t="shared" si="34"/>
        <v>16.323023333333332</v>
      </c>
      <c r="V267">
        <f t="shared" si="34"/>
        <v>16.248818333333329</v>
      </c>
      <c r="W267">
        <f t="shared" si="34"/>
        <v>16.17461333333333</v>
      </c>
      <c r="X267">
        <f t="shared" si="34"/>
        <v>16.100408333333331</v>
      </c>
      <c r="Y267">
        <f t="shared" si="34"/>
        <v>16.026203333333328</v>
      </c>
      <c r="Z267">
        <f t="shared" si="34"/>
        <v>15.951998333333329</v>
      </c>
      <c r="AA267">
        <f t="shared" si="34"/>
        <v>15.877793333333329</v>
      </c>
      <c r="AB267">
        <f t="shared" si="34"/>
        <v>15.80358833333333</v>
      </c>
      <c r="AC267">
        <f t="shared" si="34"/>
        <v>15.729383333333329</v>
      </c>
      <c r="AD267">
        <f t="shared" si="31"/>
        <v>14.393693333333331</v>
      </c>
    </row>
    <row r="268" spans="2:30" x14ac:dyDescent="0.2">
      <c r="B268" s="7">
        <v>44837</v>
      </c>
      <c r="C268" s="8">
        <v>13.67291666666666</v>
      </c>
      <c r="D268">
        <f t="shared" si="36"/>
        <v>16.949091666666661</v>
      </c>
      <c r="E268">
        <f t="shared" si="30"/>
        <v>16.874886666666661</v>
      </c>
      <c r="F268">
        <f t="shared" si="30"/>
        <v>16.800681666666662</v>
      </c>
      <c r="G268">
        <f t="shared" si="37"/>
        <v>16.72647666666666</v>
      </c>
      <c r="H268">
        <f t="shared" si="37"/>
        <v>16.65227166666666</v>
      </c>
      <c r="I268">
        <f t="shared" si="37"/>
        <v>16.578066666666661</v>
      </c>
      <c r="J268">
        <f t="shared" si="37"/>
        <v>16.503861666666662</v>
      </c>
      <c r="K268">
        <f t="shared" si="37"/>
        <v>16.429656666666659</v>
      </c>
      <c r="L268">
        <f t="shared" si="37"/>
        <v>16.35545166666666</v>
      </c>
      <c r="M268">
        <f t="shared" si="37"/>
        <v>16.281246666666661</v>
      </c>
      <c r="N268">
        <f t="shared" si="37"/>
        <v>16.207041666666662</v>
      </c>
      <c r="O268">
        <f t="shared" si="37"/>
        <v>16.132836666666662</v>
      </c>
      <c r="P268">
        <f t="shared" si="37"/>
        <v>16.05863166666666</v>
      </c>
      <c r="Q268">
        <f t="shared" si="37"/>
        <v>15.984426666666661</v>
      </c>
      <c r="R268">
        <f t="shared" si="37"/>
        <v>15.910221666666661</v>
      </c>
      <c r="S268">
        <f t="shared" si="37"/>
        <v>15.83601666666666</v>
      </c>
      <c r="T268">
        <f t="shared" si="37"/>
        <v>15.761811666666659</v>
      </c>
      <c r="U268">
        <f t="shared" si="34"/>
        <v>15.68760666666666</v>
      </c>
      <c r="V268">
        <f t="shared" si="34"/>
        <v>15.613401666666661</v>
      </c>
      <c r="W268">
        <f t="shared" si="34"/>
        <v>15.53919666666666</v>
      </c>
      <c r="X268">
        <f t="shared" si="34"/>
        <v>15.464991666666659</v>
      </c>
      <c r="Y268">
        <f t="shared" si="34"/>
        <v>15.39078666666666</v>
      </c>
      <c r="Z268">
        <f t="shared" si="34"/>
        <v>15.316581666666661</v>
      </c>
      <c r="AA268">
        <f t="shared" si="34"/>
        <v>15.24237666666666</v>
      </c>
      <c r="AB268">
        <f t="shared" si="34"/>
        <v>15.168171666666659</v>
      </c>
      <c r="AC268">
        <f t="shared" si="34"/>
        <v>15.09396666666666</v>
      </c>
      <c r="AD268">
        <f t="shared" si="31"/>
        <v>13.75827666666666</v>
      </c>
    </row>
    <row r="269" spans="2:30" x14ac:dyDescent="0.2">
      <c r="B269" s="7">
        <v>44838</v>
      </c>
      <c r="C269" s="8">
        <v>14.348611111111097</v>
      </c>
      <c r="D269">
        <f t="shared" si="36"/>
        <v>17.624786111111099</v>
      </c>
      <c r="E269">
        <f t="shared" si="30"/>
        <v>17.550581111111097</v>
      </c>
      <c r="F269">
        <f t="shared" si="30"/>
        <v>17.476376111111097</v>
      </c>
      <c r="G269">
        <f t="shared" si="37"/>
        <v>17.402171111111098</v>
      </c>
      <c r="H269">
        <f t="shared" si="37"/>
        <v>17.327966111111099</v>
      </c>
      <c r="I269">
        <f t="shared" si="37"/>
        <v>17.253761111111096</v>
      </c>
      <c r="J269">
        <f t="shared" si="37"/>
        <v>17.179556111111097</v>
      </c>
      <c r="K269">
        <f t="shared" si="37"/>
        <v>17.105351111111098</v>
      </c>
      <c r="L269">
        <f t="shared" si="37"/>
        <v>17.031146111111099</v>
      </c>
      <c r="M269">
        <f t="shared" si="37"/>
        <v>16.956941111111096</v>
      </c>
      <c r="N269">
        <f t="shared" si="37"/>
        <v>16.882736111111097</v>
      </c>
      <c r="O269">
        <f t="shared" si="37"/>
        <v>16.808531111111098</v>
      </c>
      <c r="P269">
        <f t="shared" si="37"/>
        <v>16.734326111111098</v>
      </c>
      <c r="Q269">
        <f t="shared" si="37"/>
        <v>16.660121111111096</v>
      </c>
      <c r="R269">
        <f t="shared" si="37"/>
        <v>16.585916111111096</v>
      </c>
      <c r="S269">
        <f t="shared" si="37"/>
        <v>16.511711111111097</v>
      </c>
      <c r="T269">
        <f t="shared" si="37"/>
        <v>16.437506111111098</v>
      </c>
      <c r="U269">
        <f t="shared" si="34"/>
        <v>16.363301111111099</v>
      </c>
      <c r="V269">
        <f t="shared" si="34"/>
        <v>16.289096111111096</v>
      </c>
      <c r="W269">
        <f t="shared" si="34"/>
        <v>16.214891111111097</v>
      </c>
      <c r="X269">
        <f t="shared" si="34"/>
        <v>16.140686111111098</v>
      </c>
      <c r="Y269">
        <f t="shared" si="34"/>
        <v>16.066481111111095</v>
      </c>
      <c r="Z269">
        <f t="shared" si="34"/>
        <v>15.992276111111096</v>
      </c>
      <c r="AA269">
        <f t="shared" si="34"/>
        <v>15.918071111111097</v>
      </c>
      <c r="AB269">
        <f t="shared" si="34"/>
        <v>15.843866111111097</v>
      </c>
      <c r="AC269">
        <f t="shared" si="34"/>
        <v>15.769661111111096</v>
      </c>
      <c r="AD269">
        <f t="shared" si="31"/>
        <v>14.433971111111099</v>
      </c>
    </row>
    <row r="270" spans="2:30" x14ac:dyDescent="0.2">
      <c r="B270" s="7">
        <v>44839</v>
      </c>
      <c r="C270" s="8">
        <v>14.54652777777777</v>
      </c>
      <c r="D270">
        <f t="shared" si="36"/>
        <v>17.822702777777771</v>
      </c>
      <c r="E270">
        <f t="shared" si="30"/>
        <v>17.748497777777771</v>
      </c>
      <c r="F270">
        <f t="shared" si="30"/>
        <v>17.674292777777772</v>
      </c>
      <c r="G270">
        <f t="shared" si="37"/>
        <v>17.60008777777777</v>
      </c>
      <c r="H270">
        <f t="shared" si="37"/>
        <v>17.52588277777777</v>
      </c>
      <c r="I270">
        <f t="shared" si="37"/>
        <v>17.451677777777771</v>
      </c>
      <c r="J270">
        <f t="shared" si="37"/>
        <v>17.377472777777772</v>
      </c>
      <c r="K270">
        <f t="shared" si="37"/>
        <v>17.303267777777769</v>
      </c>
      <c r="L270">
        <f t="shared" si="37"/>
        <v>17.22906277777777</v>
      </c>
      <c r="M270">
        <f t="shared" si="37"/>
        <v>17.154857777777771</v>
      </c>
      <c r="N270">
        <f t="shared" si="37"/>
        <v>17.080652777777772</v>
      </c>
      <c r="O270">
        <f t="shared" si="37"/>
        <v>17.006447777777773</v>
      </c>
      <c r="P270">
        <f t="shared" si="37"/>
        <v>16.93224277777777</v>
      </c>
      <c r="Q270">
        <f t="shared" si="37"/>
        <v>16.858037777777771</v>
      </c>
      <c r="R270">
        <f t="shared" si="37"/>
        <v>16.783832777777771</v>
      </c>
      <c r="S270">
        <f t="shared" si="37"/>
        <v>16.709627777777769</v>
      </c>
      <c r="T270">
        <f t="shared" si="37"/>
        <v>16.635422777777769</v>
      </c>
      <c r="U270">
        <f t="shared" si="34"/>
        <v>16.56121777777777</v>
      </c>
      <c r="V270">
        <f t="shared" si="34"/>
        <v>16.487012777777771</v>
      </c>
      <c r="W270">
        <f t="shared" si="34"/>
        <v>16.412807777777772</v>
      </c>
      <c r="X270">
        <f t="shared" si="34"/>
        <v>16.338602777777769</v>
      </c>
      <c r="Y270">
        <f t="shared" si="34"/>
        <v>16.26439777777777</v>
      </c>
      <c r="Z270">
        <f t="shared" si="34"/>
        <v>16.190192777777771</v>
      </c>
      <c r="AA270">
        <f t="shared" si="34"/>
        <v>16.115987777777768</v>
      </c>
      <c r="AB270">
        <f t="shared" si="34"/>
        <v>16.041782777777769</v>
      </c>
      <c r="AC270">
        <f t="shared" si="34"/>
        <v>15.96757777777777</v>
      </c>
      <c r="AD270">
        <f t="shared" si="31"/>
        <v>14.63188777777777</v>
      </c>
    </row>
    <row r="271" spans="2:30" x14ac:dyDescent="0.2">
      <c r="B271" s="7">
        <v>44840</v>
      </c>
      <c r="C271" s="8">
        <v>13.413888888888879</v>
      </c>
      <c r="D271">
        <f t="shared" si="36"/>
        <v>16.690063888888879</v>
      </c>
      <c r="E271">
        <f t="shared" si="30"/>
        <v>16.61585888888888</v>
      </c>
      <c r="F271">
        <f t="shared" si="30"/>
        <v>16.541653888888881</v>
      </c>
      <c r="G271">
        <f t="shared" si="37"/>
        <v>16.467448888888878</v>
      </c>
      <c r="H271">
        <f t="shared" si="37"/>
        <v>16.393243888888879</v>
      </c>
      <c r="I271">
        <f t="shared" si="37"/>
        <v>16.31903888888888</v>
      </c>
      <c r="J271">
        <f t="shared" si="37"/>
        <v>16.244833888888881</v>
      </c>
      <c r="K271">
        <f t="shared" si="37"/>
        <v>16.170628888888878</v>
      </c>
      <c r="L271">
        <f t="shared" si="37"/>
        <v>16.096423888888879</v>
      </c>
      <c r="M271">
        <f t="shared" si="37"/>
        <v>16.022218888888879</v>
      </c>
      <c r="N271">
        <f t="shared" si="37"/>
        <v>15.94801388888888</v>
      </c>
      <c r="O271">
        <f t="shared" si="37"/>
        <v>15.873808888888879</v>
      </c>
      <c r="P271">
        <f t="shared" si="37"/>
        <v>15.799603888888878</v>
      </c>
      <c r="Q271">
        <f t="shared" si="37"/>
        <v>15.725398888888879</v>
      </c>
      <c r="R271">
        <f t="shared" si="37"/>
        <v>15.65119388888888</v>
      </c>
      <c r="S271">
        <f t="shared" si="37"/>
        <v>15.576988888888879</v>
      </c>
      <c r="T271">
        <f t="shared" si="37"/>
        <v>15.502783888888878</v>
      </c>
      <c r="U271">
        <f t="shared" si="34"/>
        <v>15.428578888888879</v>
      </c>
      <c r="V271">
        <f t="shared" si="34"/>
        <v>15.35437388888888</v>
      </c>
      <c r="W271">
        <f t="shared" si="34"/>
        <v>15.280168888888879</v>
      </c>
      <c r="X271">
        <f t="shared" si="34"/>
        <v>15.205963888888878</v>
      </c>
      <c r="Y271">
        <f t="shared" si="34"/>
        <v>15.131758888888879</v>
      </c>
      <c r="Z271">
        <f t="shared" si="34"/>
        <v>15.057553888888879</v>
      </c>
      <c r="AA271">
        <f t="shared" si="34"/>
        <v>14.983348888888878</v>
      </c>
      <c r="AB271">
        <f t="shared" si="34"/>
        <v>14.909143888888877</v>
      </c>
      <c r="AC271">
        <f t="shared" si="34"/>
        <v>14.834938888888878</v>
      </c>
      <c r="AD271">
        <f t="shared" si="31"/>
        <v>13.499248888888879</v>
      </c>
    </row>
    <row r="272" spans="2:30" x14ac:dyDescent="0.2">
      <c r="B272" s="7">
        <v>44841</v>
      </c>
      <c r="C272" s="8">
        <v>12.715277777777773</v>
      </c>
      <c r="D272">
        <f t="shared" si="36"/>
        <v>15.991452777777774</v>
      </c>
      <c r="E272">
        <f t="shared" si="30"/>
        <v>15.917247777777774</v>
      </c>
      <c r="F272">
        <f t="shared" si="30"/>
        <v>15.843042777777773</v>
      </c>
      <c r="G272">
        <f t="shared" si="37"/>
        <v>15.768837777777772</v>
      </c>
      <c r="H272">
        <f t="shared" si="37"/>
        <v>15.694632777777773</v>
      </c>
      <c r="I272">
        <f t="shared" si="37"/>
        <v>15.620427777777774</v>
      </c>
      <c r="J272">
        <f t="shared" si="37"/>
        <v>15.546222777777773</v>
      </c>
      <c r="K272">
        <f t="shared" si="37"/>
        <v>15.472017777777774</v>
      </c>
      <c r="L272">
        <f t="shared" si="37"/>
        <v>15.397812777777773</v>
      </c>
      <c r="M272">
        <f t="shared" si="37"/>
        <v>15.323607777777774</v>
      </c>
      <c r="N272">
        <f t="shared" si="37"/>
        <v>15.249402777777775</v>
      </c>
      <c r="O272">
        <f t="shared" si="37"/>
        <v>15.175197777777774</v>
      </c>
      <c r="P272">
        <f t="shared" si="37"/>
        <v>15.100992777777773</v>
      </c>
      <c r="Q272">
        <f t="shared" si="37"/>
        <v>15.026787777777773</v>
      </c>
      <c r="R272">
        <f t="shared" si="37"/>
        <v>14.952582777777774</v>
      </c>
      <c r="S272">
        <f t="shared" si="37"/>
        <v>14.878377777777773</v>
      </c>
      <c r="T272">
        <f t="shared" si="37"/>
        <v>14.804172777777772</v>
      </c>
      <c r="U272">
        <f t="shared" si="34"/>
        <v>14.729967777777773</v>
      </c>
      <c r="V272">
        <f t="shared" si="34"/>
        <v>14.655762777777774</v>
      </c>
      <c r="W272">
        <f t="shared" si="34"/>
        <v>14.581557777777773</v>
      </c>
      <c r="X272">
        <f t="shared" si="34"/>
        <v>14.507352777777772</v>
      </c>
      <c r="Y272">
        <f t="shared" si="34"/>
        <v>14.433147777777773</v>
      </c>
      <c r="Z272">
        <f t="shared" si="34"/>
        <v>14.358942777777774</v>
      </c>
      <c r="AA272">
        <f t="shared" si="34"/>
        <v>14.284737777777773</v>
      </c>
      <c r="AB272">
        <f t="shared" si="34"/>
        <v>14.210532777777772</v>
      </c>
      <c r="AC272">
        <f t="shared" si="34"/>
        <v>14.136327777777772</v>
      </c>
      <c r="AD272">
        <f t="shared" si="31"/>
        <v>12.800637777777773</v>
      </c>
    </row>
    <row r="273" spans="2:30" x14ac:dyDescent="0.2">
      <c r="B273" s="7">
        <v>44842</v>
      </c>
      <c r="C273" s="8">
        <v>13.211111111111101</v>
      </c>
      <c r="D273">
        <f t="shared" si="36"/>
        <v>16.487286111111104</v>
      </c>
      <c r="E273">
        <f t="shared" si="30"/>
        <v>16.413081111111101</v>
      </c>
      <c r="F273">
        <f t="shared" si="30"/>
        <v>16.338876111111102</v>
      </c>
      <c r="G273">
        <f t="shared" si="37"/>
        <v>16.264671111111102</v>
      </c>
      <c r="H273">
        <f t="shared" si="37"/>
        <v>16.190466111111103</v>
      </c>
      <c r="I273">
        <f t="shared" si="37"/>
        <v>16.1162611111111</v>
      </c>
      <c r="J273">
        <f t="shared" si="37"/>
        <v>16.042056111111101</v>
      </c>
      <c r="K273">
        <f t="shared" si="37"/>
        <v>15.967851111111102</v>
      </c>
      <c r="L273">
        <f t="shared" si="37"/>
        <v>15.893646111111101</v>
      </c>
      <c r="M273">
        <f t="shared" si="37"/>
        <v>15.819441111111102</v>
      </c>
      <c r="N273">
        <f t="shared" si="37"/>
        <v>15.745236111111101</v>
      </c>
      <c r="O273">
        <f t="shared" si="37"/>
        <v>15.671031111111102</v>
      </c>
      <c r="P273">
        <f t="shared" si="37"/>
        <v>15.596826111111103</v>
      </c>
      <c r="Q273">
        <f t="shared" si="37"/>
        <v>15.522621111111102</v>
      </c>
      <c r="R273">
        <f t="shared" si="37"/>
        <v>15.448416111111101</v>
      </c>
      <c r="S273">
        <f t="shared" si="37"/>
        <v>15.374211111111102</v>
      </c>
      <c r="T273">
        <f t="shared" si="37"/>
        <v>15.300006111111102</v>
      </c>
      <c r="U273">
        <f t="shared" si="34"/>
        <v>15.225801111111101</v>
      </c>
      <c r="V273">
        <f t="shared" si="34"/>
        <v>15.1515961111111</v>
      </c>
      <c r="W273">
        <f t="shared" si="34"/>
        <v>15.077391111111101</v>
      </c>
      <c r="X273">
        <f t="shared" si="34"/>
        <v>15.003186111111102</v>
      </c>
      <c r="Y273">
        <f t="shared" si="34"/>
        <v>14.928981111111101</v>
      </c>
      <c r="Z273">
        <f t="shared" si="34"/>
        <v>14.8547761111111</v>
      </c>
      <c r="AA273">
        <f t="shared" si="34"/>
        <v>14.780571111111101</v>
      </c>
      <c r="AB273">
        <f t="shared" si="34"/>
        <v>14.706366111111102</v>
      </c>
      <c r="AC273">
        <f t="shared" si="34"/>
        <v>14.632161111111101</v>
      </c>
      <c r="AD273">
        <f t="shared" si="31"/>
        <v>13.296471111111103</v>
      </c>
    </row>
    <row r="274" spans="2:30" x14ac:dyDescent="0.2">
      <c r="B274" s="7">
        <v>44843</v>
      </c>
      <c r="C274" s="8">
        <v>12.555555555555548</v>
      </c>
      <c r="D274">
        <f t="shared" si="36"/>
        <v>15.831730555555549</v>
      </c>
      <c r="E274">
        <f t="shared" si="30"/>
        <v>15.757525555555549</v>
      </c>
      <c r="F274">
        <f t="shared" si="30"/>
        <v>15.683320555555548</v>
      </c>
      <c r="G274">
        <f t="shared" si="37"/>
        <v>15.609115555555547</v>
      </c>
      <c r="H274">
        <f t="shared" si="37"/>
        <v>15.534910555555548</v>
      </c>
      <c r="I274">
        <f t="shared" si="37"/>
        <v>15.460705555555549</v>
      </c>
      <c r="J274">
        <f t="shared" si="37"/>
        <v>15.386500555555548</v>
      </c>
      <c r="K274">
        <f t="shared" si="37"/>
        <v>15.312295555555549</v>
      </c>
      <c r="L274">
        <f t="shared" si="37"/>
        <v>15.238090555555548</v>
      </c>
      <c r="M274">
        <f t="shared" si="37"/>
        <v>15.163885555555549</v>
      </c>
      <c r="N274">
        <f t="shared" si="37"/>
        <v>15.08968055555555</v>
      </c>
      <c r="O274">
        <f t="shared" si="37"/>
        <v>15.015475555555549</v>
      </c>
      <c r="P274">
        <f t="shared" si="37"/>
        <v>14.941270555555548</v>
      </c>
      <c r="Q274">
        <f t="shared" si="37"/>
        <v>14.867065555555548</v>
      </c>
      <c r="R274">
        <f t="shared" si="37"/>
        <v>14.792860555555549</v>
      </c>
      <c r="S274">
        <f t="shared" si="37"/>
        <v>14.718655555555548</v>
      </c>
      <c r="T274">
        <f t="shared" si="37"/>
        <v>14.644450555555547</v>
      </c>
      <c r="U274">
        <f t="shared" si="34"/>
        <v>14.570245555555548</v>
      </c>
      <c r="V274">
        <f t="shared" si="34"/>
        <v>14.496040555555549</v>
      </c>
      <c r="W274">
        <f t="shared" si="34"/>
        <v>14.421835555555548</v>
      </c>
      <c r="X274">
        <f t="shared" si="34"/>
        <v>14.347630555555547</v>
      </c>
      <c r="Y274">
        <f t="shared" si="34"/>
        <v>14.273425555555548</v>
      </c>
      <c r="Z274">
        <f t="shared" si="34"/>
        <v>14.199220555555549</v>
      </c>
      <c r="AA274">
        <f t="shared" si="34"/>
        <v>14.125015555555548</v>
      </c>
      <c r="AB274">
        <f t="shared" si="34"/>
        <v>14.050810555555547</v>
      </c>
      <c r="AC274">
        <f t="shared" si="34"/>
        <v>13.976605555555548</v>
      </c>
      <c r="AD274">
        <f t="shared" si="31"/>
        <v>12.640915555555548</v>
      </c>
    </row>
    <row r="275" spans="2:30" x14ac:dyDescent="0.2">
      <c r="B275" s="7">
        <v>44844</v>
      </c>
      <c r="C275" s="8">
        <v>11.143055555555554</v>
      </c>
      <c r="D275">
        <f t="shared" si="36"/>
        <v>14.419230555555554</v>
      </c>
      <c r="E275">
        <f t="shared" si="30"/>
        <v>14.345025555555555</v>
      </c>
      <c r="F275">
        <f t="shared" si="30"/>
        <v>14.270820555555554</v>
      </c>
      <c r="G275">
        <f t="shared" si="37"/>
        <v>14.196615555555553</v>
      </c>
      <c r="H275">
        <f t="shared" si="37"/>
        <v>14.122410555555554</v>
      </c>
      <c r="I275">
        <f t="shared" si="37"/>
        <v>14.048205555555555</v>
      </c>
      <c r="J275">
        <f t="shared" si="37"/>
        <v>13.974000555555554</v>
      </c>
      <c r="K275">
        <f t="shared" si="37"/>
        <v>13.899795555555555</v>
      </c>
      <c r="L275">
        <f t="shared" si="37"/>
        <v>13.825590555555554</v>
      </c>
      <c r="M275">
        <f t="shared" si="37"/>
        <v>13.751385555555554</v>
      </c>
      <c r="N275">
        <f t="shared" si="37"/>
        <v>13.677180555555555</v>
      </c>
      <c r="O275">
        <f t="shared" si="37"/>
        <v>13.602975555555554</v>
      </c>
      <c r="P275">
        <f t="shared" si="37"/>
        <v>13.528770555555553</v>
      </c>
      <c r="Q275">
        <f t="shared" si="37"/>
        <v>13.454565555555554</v>
      </c>
      <c r="R275">
        <f t="shared" si="37"/>
        <v>13.380360555555555</v>
      </c>
      <c r="S275">
        <f t="shared" si="37"/>
        <v>13.306155555555554</v>
      </c>
      <c r="T275">
        <f t="shared" si="37"/>
        <v>13.231950555555553</v>
      </c>
      <c r="U275">
        <f t="shared" si="34"/>
        <v>13.157745555555554</v>
      </c>
      <c r="V275">
        <f t="shared" si="34"/>
        <v>13.083540555555555</v>
      </c>
      <c r="W275">
        <f t="shared" si="34"/>
        <v>13.009335555555554</v>
      </c>
      <c r="X275">
        <f t="shared" si="34"/>
        <v>12.935130555555553</v>
      </c>
      <c r="Y275">
        <f t="shared" si="34"/>
        <v>12.860925555555554</v>
      </c>
      <c r="Z275">
        <f t="shared" si="34"/>
        <v>12.786720555555554</v>
      </c>
      <c r="AA275">
        <f t="shared" si="34"/>
        <v>12.712515555555553</v>
      </c>
      <c r="AB275">
        <f t="shared" si="34"/>
        <v>12.638310555555552</v>
      </c>
      <c r="AC275">
        <f t="shared" si="34"/>
        <v>12.564105555555553</v>
      </c>
      <c r="AD275">
        <f t="shared" si="31"/>
        <v>11.228415555555554</v>
      </c>
    </row>
    <row r="276" spans="2:30" x14ac:dyDescent="0.2">
      <c r="B276" s="7">
        <v>44845</v>
      </c>
      <c r="C276" s="8">
        <v>11.08819444444444</v>
      </c>
      <c r="D276">
        <f t="shared" si="36"/>
        <v>14.36436944444444</v>
      </c>
      <c r="E276">
        <f t="shared" si="30"/>
        <v>14.290164444444439</v>
      </c>
      <c r="F276">
        <f t="shared" si="30"/>
        <v>14.21595944444444</v>
      </c>
      <c r="G276">
        <f t="shared" si="37"/>
        <v>14.141754444444441</v>
      </c>
      <c r="H276">
        <f t="shared" si="37"/>
        <v>14.06754944444444</v>
      </c>
      <c r="I276">
        <f t="shared" si="37"/>
        <v>13.993344444444441</v>
      </c>
      <c r="J276">
        <f t="shared" si="37"/>
        <v>13.91913944444444</v>
      </c>
      <c r="K276">
        <f t="shared" si="37"/>
        <v>13.844934444444441</v>
      </c>
      <c r="L276">
        <f t="shared" si="37"/>
        <v>13.77072944444444</v>
      </c>
      <c r="M276">
        <f t="shared" si="37"/>
        <v>13.696524444444441</v>
      </c>
      <c r="N276">
        <f t="shared" si="37"/>
        <v>13.62231944444444</v>
      </c>
      <c r="O276">
        <f t="shared" si="37"/>
        <v>13.54811444444444</v>
      </c>
      <c r="P276">
        <f t="shared" si="37"/>
        <v>13.473909444444441</v>
      </c>
      <c r="Q276">
        <f t="shared" si="37"/>
        <v>13.39970444444444</v>
      </c>
      <c r="R276">
        <f t="shared" si="37"/>
        <v>13.325499444444439</v>
      </c>
      <c r="S276">
        <f t="shared" si="37"/>
        <v>13.25129444444444</v>
      </c>
      <c r="T276">
        <f t="shared" si="37"/>
        <v>13.177089444444441</v>
      </c>
      <c r="U276">
        <f t="shared" si="34"/>
        <v>13.10288444444444</v>
      </c>
      <c r="V276">
        <f t="shared" si="34"/>
        <v>13.028679444444439</v>
      </c>
      <c r="W276">
        <f t="shared" ref="U276:AC304" si="38">(-1.4841*W$3+3.6472)+$C276</f>
        <v>12.95447444444444</v>
      </c>
      <c r="X276">
        <f t="shared" si="38"/>
        <v>12.880269444444441</v>
      </c>
      <c r="Y276">
        <f t="shared" si="38"/>
        <v>12.80606444444444</v>
      </c>
      <c r="Z276">
        <f t="shared" si="38"/>
        <v>12.731859444444439</v>
      </c>
      <c r="AA276">
        <f t="shared" si="38"/>
        <v>12.657654444444439</v>
      </c>
      <c r="AB276">
        <f t="shared" si="38"/>
        <v>12.58344944444444</v>
      </c>
      <c r="AC276">
        <f t="shared" si="38"/>
        <v>12.509244444444439</v>
      </c>
      <c r="AD276">
        <f t="shared" si="31"/>
        <v>11.173554444444441</v>
      </c>
    </row>
    <row r="277" spans="2:30" x14ac:dyDescent="0.2">
      <c r="B277" s="7">
        <v>44846</v>
      </c>
      <c r="C277" s="8">
        <v>11.245833333333323</v>
      </c>
      <c r="D277">
        <f t="shared" si="36"/>
        <v>14.522008333333323</v>
      </c>
      <c r="E277">
        <f t="shared" ref="E277:T340" si="39">(-1.4841*E$3+3.6472)+$C277</f>
        <v>14.447803333333322</v>
      </c>
      <c r="F277">
        <f t="shared" si="39"/>
        <v>14.373598333333323</v>
      </c>
      <c r="G277">
        <f t="shared" si="37"/>
        <v>14.299393333333324</v>
      </c>
      <c r="H277">
        <f t="shared" si="37"/>
        <v>14.225188333333323</v>
      </c>
      <c r="I277">
        <f t="shared" si="37"/>
        <v>14.150983333333324</v>
      </c>
      <c r="J277">
        <f t="shared" si="37"/>
        <v>14.076778333333323</v>
      </c>
      <c r="K277">
        <f t="shared" si="37"/>
        <v>14.002573333333324</v>
      </c>
      <c r="L277">
        <f t="shared" si="37"/>
        <v>13.928368333333323</v>
      </c>
      <c r="M277">
        <f t="shared" si="37"/>
        <v>13.854163333333323</v>
      </c>
      <c r="N277">
        <f t="shared" si="37"/>
        <v>13.779958333333322</v>
      </c>
      <c r="O277">
        <f t="shared" si="37"/>
        <v>13.705753333333323</v>
      </c>
      <c r="P277">
        <f t="shared" si="37"/>
        <v>13.631548333333324</v>
      </c>
      <c r="Q277">
        <f t="shared" si="37"/>
        <v>13.557343333333323</v>
      </c>
      <c r="R277">
        <f t="shared" si="37"/>
        <v>13.483138333333322</v>
      </c>
      <c r="S277">
        <f t="shared" si="37"/>
        <v>13.408933333333323</v>
      </c>
      <c r="T277">
        <f t="shared" si="37"/>
        <v>13.334728333333324</v>
      </c>
      <c r="U277">
        <f t="shared" si="38"/>
        <v>13.260523333333323</v>
      </c>
      <c r="V277">
        <f t="shared" si="38"/>
        <v>13.186318333333322</v>
      </c>
      <c r="W277">
        <f t="shared" si="38"/>
        <v>13.112113333333323</v>
      </c>
      <c r="X277">
        <f t="shared" si="38"/>
        <v>13.037908333333323</v>
      </c>
      <c r="Y277">
        <f t="shared" si="38"/>
        <v>12.963703333333322</v>
      </c>
      <c r="Z277">
        <f t="shared" si="38"/>
        <v>12.889498333333322</v>
      </c>
      <c r="AA277">
        <f t="shared" si="38"/>
        <v>12.815293333333322</v>
      </c>
      <c r="AB277">
        <f t="shared" si="38"/>
        <v>12.741088333333323</v>
      </c>
      <c r="AC277">
        <f t="shared" si="38"/>
        <v>12.666883333333322</v>
      </c>
      <c r="AD277">
        <f t="shared" ref="AD277:AD331" si="40">(-1.4841*AD$3+3.6472)+$C277</f>
        <v>11.331193333333324</v>
      </c>
    </row>
    <row r="278" spans="2:30" x14ac:dyDescent="0.2">
      <c r="B278" s="7">
        <v>44847</v>
      </c>
      <c r="C278" s="8">
        <v>11.869444444444435</v>
      </c>
      <c r="D278">
        <f t="shared" si="36"/>
        <v>15.145619444444435</v>
      </c>
      <c r="E278">
        <f t="shared" si="39"/>
        <v>15.071414444444436</v>
      </c>
      <c r="F278">
        <f t="shared" si="39"/>
        <v>14.997209444444435</v>
      </c>
      <c r="G278">
        <f t="shared" si="37"/>
        <v>14.923004444444434</v>
      </c>
      <c r="H278">
        <f t="shared" si="37"/>
        <v>14.848799444444435</v>
      </c>
      <c r="I278">
        <f t="shared" si="37"/>
        <v>14.774594444444435</v>
      </c>
      <c r="J278">
        <f t="shared" si="37"/>
        <v>14.700389444444435</v>
      </c>
      <c r="K278">
        <f t="shared" si="37"/>
        <v>14.626184444444435</v>
      </c>
      <c r="L278">
        <f t="shared" si="37"/>
        <v>14.551979444444434</v>
      </c>
      <c r="M278">
        <f t="shared" si="37"/>
        <v>14.477774444444435</v>
      </c>
      <c r="N278">
        <f t="shared" si="37"/>
        <v>14.403569444444436</v>
      </c>
      <c r="O278">
        <f t="shared" si="37"/>
        <v>14.329364444444435</v>
      </c>
      <c r="P278">
        <f t="shared" si="37"/>
        <v>14.255159444444434</v>
      </c>
      <c r="Q278">
        <f t="shared" si="37"/>
        <v>14.180954444444435</v>
      </c>
      <c r="R278">
        <f t="shared" si="37"/>
        <v>14.106749444444436</v>
      </c>
      <c r="S278">
        <f t="shared" si="37"/>
        <v>14.032544444444435</v>
      </c>
      <c r="T278">
        <f t="shared" si="37"/>
        <v>13.958339444444434</v>
      </c>
      <c r="U278">
        <f t="shared" si="38"/>
        <v>13.884134444444435</v>
      </c>
      <c r="V278">
        <f t="shared" si="38"/>
        <v>13.809929444444435</v>
      </c>
      <c r="W278">
        <f t="shared" si="38"/>
        <v>13.735724444444434</v>
      </c>
      <c r="X278">
        <f t="shared" si="38"/>
        <v>13.661519444444433</v>
      </c>
      <c r="Y278">
        <f t="shared" si="38"/>
        <v>13.587314444444434</v>
      </c>
      <c r="Z278">
        <f t="shared" si="38"/>
        <v>13.513109444444435</v>
      </c>
      <c r="AA278">
        <f t="shared" si="38"/>
        <v>13.438904444444434</v>
      </c>
      <c r="AB278">
        <f t="shared" si="38"/>
        <v>13.364699444444433</v>
      </c>
      <c r="AC278">
        <f t="shared" si="38"/>
        <v>13.290494444444434</v>
      </c>
      <c r="AD278">
        <f t="shared" si="40"/>
        <v>11.954804444444434</v>
      </c>
    </row>
    <row r="279" spans="2:30" x14ac:dyDescent="0.2">
      <c r="B279" s="7">
        <v>44848</v>
      </c>
      <c r="C279" s="8">
        <v>11.928472222222219</v>
      </c>
      <c r="D279">
        <f t="shared" si="36"/>
        <v>15.204647222222219</v>
      </c>
      <c r="E279">
        <f t="shared" si="39"/>
        <v>15.130442222222218</v>
      </c>
      <c r="F279">
        <f t="shared" si="39"/>
        <v>15.056237222222219</v>
      </c>
      <c r="G279">
        <f t="shared" si="37"/>
        <v>14.98203222222222</v>
      </c>
      <c r="H279">
        <f t="shared" si="37"/>
        <v>14.907827222222219</v>
      </c>
      <c r="I279">
        <f t="shared" si="37"/>
        <v>14.833622222222219</v>
      </c>
      <c r="J279">
        <f t="shared" si="37"/>
        <v>14.759417222222218</v>
      </c>
      <c r="K279">
        <f t="shared" si="37"/>
        <v>14.685212222222219</v>
      </c>
      <c r="L279">
        <f t="shared" si="37"/>
        <v>14.611007222222218</v>
      </c>
      <c r="M279">
        <f t="shared" si="37"/>
        <v>14.536802222222219</v>
      </c>
      <c r="N279">
        <f t="shared" si="37"/>
        <v>14.462597222222218</v>
      </c>
      <c r="O279">
        <f t="shared" si="37"/>
        <v>14.388392222222219</v>
      </c>
      <c r="P279">
        <f t="shared" si="37"/>
        <v>14.31418722222222</v>
      </c>
      <c r="Q279">
        <f t="shared" si="37"/>
        <v>14.239982222222219</v>
      </c>
      <c r="R279">
        <f t="shared" si="37"/>
        <v>14.165777222222218</v>
      </c>
      <c r="S279">
        <f t="shared" si="37"/>
        <v>14.091572222222219</v>
      </c>
      <c r="T279">
        <f t="shared" si="37"/>
        <v>14.017367222222219</v>
      </c>
      <c r="U279">
        <f t="shared" si="38"/>
        <v>13.943162222222218</v>
      </c>
      <c r="V279">
        <f t="shared" si="38"/>
        <v>13.868957222222217</v>
      </c>
      <c r="W279">
        <f t="shared" si="38"/>
        <v>13.794752222222218</v>
      </c>
      <c r="X279">
        <f t="shared" si="38"/>
        <v>13.720547222222219</v>
      </c>
      <c r="Y279">
        <f t="shared" si="38"/>
        <v>13.646342222222218</v>
      </c>
      <c r="Z279">
        <f t="shared" si="38"/>
        <v>13.572137222222217</v>
      </c>
      <c r="AA279">
        <f t="shared" si="38"/>
        <v>13.497932222222218</v>
      </c>
      <c r="AB279">
        <f t="shared" si="38"/>
        <v>13.423727222222219</v>
      </c>
      <c r="AC279">
        <f t="shared" si="38"/>
        <v>13.349522222222218</v>
      </c>
      <c r="AD279">
        <f t="shared" si="40"/>
        <v>12.01383222222222</v>
      </c>
    </row>
    <row r="280" spans="2:30" x14ac:dyDescent="0.2">
      <c r="B280" s="7">
        <v>44849</v>
      </c>
      <c r="C280" s="8">
        <v>12.776388888888881</v>
      </c>
      <c r="D280">
        <f t="shared" si="36"/>
        <v>16.052563888888884</v>
      </c>
      <c r="E280">
        <f t="shared" si="39"/>
        <v>15.978358888888881</v>
      </c>
      <c r="F280">
        <f t="shared" si="39"/>
        <v>15.904153888888882</v>
      </c>
      <c r="G280">
        <f t="shared" si="37"/>
        <v>15.829948888888882</v>
      </c>
      <c r="H280">
        <f t="shared" si="37"/>
        <v>15.755743888888881</v>
      </c>
      <c r="I280">
        <f t="shared" si="37"/>
        <v>15.681538888888882</v>
      </c>
      <c r="J280">
        <f t="shared" si="37"/>
        <v>15.607333888888881</v>
      </c>
      <c r="K280">
        <f t="shared" si="37"/>
        <v>15.533128888888882</v>
      </c>
      <c r="L280">
        <f t="shared" si="37"/>
        <v>15.458923888888881</v>
      </c>
      <c r="M280">
        <f t="shared" si="37"/>
        <v>15.384718888888882</v>
      </c>
      <c r="N280">
        <f t="shared" si="37"/>
        <v>15.310513888888881</v>
      </c>
      <c r="O280">
        <f t="shared" si="37"/>
        <v>15.236308888888882</v>
      </c>
      <c r="P280">
        <f t="shared" si="37"/>
        <v>15.162103888888883</v>
      </c>
      <c r="Q280">
        <f t="shared" si="37"/>
        <v>15.087898888888882</v>
      </c>
      <c r="R280">
        <f t="shared" si="37"/>
        <v>15.013693888888881</v>
      </c>
      <c r="S280">
        <f t="shared" si="37"/>
        <v>14.939488888888881</v>
      </c>
      <c r="T280">
        <f t="shared" si="37"/>
        <v>14.865283888888882</v>
      </c>
      <c r="U280">
        <f t="shared" si="38"/>
        <v>14.791078888888881</v>
      </c>
      <c r="V280">
        <f t="shared" si="38"/>
        <v>14.71687388888888</v>
      </c>
      <c r="W280">
        <f t="shared" si="38"/>
        <v>14.642668888888881</v>
      </c>
      <c r="X280">
        <f t="shared" si="38"/>
        <v>14.568463888888882</v>
      </c>
      <c r="Y280">
        <f t="shared" si="38"/>
        <v>14.494258888888881</v>
      </c>
      <c r="Z280">
        <f t="shared" si="38"/>
        <v>14.42005388888888</v>
      </c>
      <c r="AA280">
        <f t="shared" si="38"/>
        <v>14.345848888888881</v>
      </c>
      <c r="AB280">
        <f t="shared" si="38"/>
        <v>14.271643888888882</v>
      </c>
      <c r="AC280">
        <f t="shared" si="38"/>
        <v>14.197438888888881</v>
      </c>
      <c r="AD280">
        <f t="shared" si="40"/>
        <v>12.861748888888883</v>
      </c>
    </row>
    <row r="281" spans="2:30" x14ac:dyDescent="0.2">
      <c r="B281" s="7">
        <v>44850</v>
      </c>
      <c r="C281" s="8">
        <v>13.513194444444437</v>
      </c>
      <c r="D281">
        <f t="shared" si="36"/>
        <v>16.789369444444439</v>
      </c>
      <c r="E281">
        <f t="shared" si="39"/>
        <v>16.715164444444436</v>
      </c>
      <c r="F281">
        <f t="shared" si="39"/>
        <v>16.640959444444437</v>
      </c>
      <c r="G281">
        <f t="shared" si="37"/>
        <v>16.566754444444438</v>
      </c>
      <c r="H281">
        <f t="shared" si="37"/>
        <v>16.492549444444439</v>
      </c>
      <c r="I281">
        <f t="shared" si="37"/>
        <v>16.418344444444436</v>
      </c>
      <c r="J281">
        <f t="shared" si="37"/>
        <v>16.344139444444437</v>
      </c>
      <c r="K281">
        <f t="shared" si="37"/>
        <v>16.269934444444438</v>
      </c>
      <c r="L281">
        <f t="shared" si="37"/>
        <v>16.195729444444439</v>
      </c>
      <c r="M281">
        <f t="shared" si="37"/>
        <v>16.121524444444436</v>
      </c>
      <c r="N281">
        <f t="shared" si="37"/>
        <v>16.047319444444437</v>
      </c>
      <c r="O281">
        <f t="shared" si="37"/>
        <v>15.973114444444438</v>
      </c>
      <c r="P281">
        <f t="shared" si="37"/>
        <v>15.898909444444438</v>
      </c>
      <c r="Q281">
        <f t="shared" si="37"/>
        <v>15.824704444444437</v>
      </c>
      <c r="R281">
        <f t="shared" si="37"/>
        <v>15.750499444444436</v>
      </c>
      <c r="S281">
        <f t="shared" si="37"/>
        <v>15.676294444444437</v>
      </c>
      <c r="T281">
        <f t="shared" si="37"/>
        <v>15.602089444444438</v>
      </c>
      <c r="U281">
        <f t="shared" si="38"/>
        <v>15.527884444444437</v>
      </c>
      <c r="V281">
        <f t="shared" si="38"/>
        <v>15.453679444444436</v>
      </c>
      <c r="W281">
        <f t="shared" si="38"/>
        <v>15.379474444444437</v>
      </c>
      <c r="X281">
        <f t="shared" si="38"/>
        <v>15.305269444444438</v>
      </c>
      <c r="Y281">
        <f t="shared" si="38"/>
        <v>15.231064444444437</v>
      </c>
      <c r="Z281">
        <f t="shared" si="38"/>
        <v>15.156859444444436</v>
      </c>
      <c r="AA281">
        <f t="shared" si="38"/>
        <v>15.082654444444437</v>
      </c>
      <c r="AB281">
        <f t="shared" si="38"/>
        <v>15.008449444444437</v>
      </c>
      <c r="AC281">
        <f t="shared" si="38"/>
        <v>14.934244444444436</v>
      </c>
      <c r="AD281">
        <f t="shared" si="40"/>
        <v>13.598554444444439</v>
      </c>
    </row>
    <row r="282" spans="2:30" x14ac:dyDescent="0.2">
      <c r="B282" s="7">
        <v>44851</v>
      </c>
      <c r="C282" s="8">
        <v>13.849999999999996</v>
      </c>
      <c r="D282">
        <f t="shared" si="36"/>
        <v>17.126174999999996</v>
      </c>
      <c r="E282">
        <f t="shared" si="39"/>
        <v>17.051969999999997</v>
      </c>
      <c r="F282">
        <f t="shared" si="39"/>
        <v>16.977764999999998</v>
      </c>
      <c r="G282">
        <f t="shared" si="37"/>
        <v>16.903559999999995</v>
      </c>
      <c r="H282">
        <f t="shared" si="37"/>
        <v>16.829354999999996</v>
      </c>
      <c r="I282">
        <f t="shared" si="37"/>
        <v>16.755149999999997</v>
      </c>
      <c r="J282">
        <f t="shared" si="37"/>
        <v>16.680944999999998</v>
      </c>
      <c r="K282">
        <f t="shared" si="37"/>
        <v>16.606739999999995</v>
      </c>
      <c r="L282">
        <f t="shared" si="37"/>
        <v>16.532534999999996</v>
      </c>
      <c r="M282">
        <f t="shared" si="37"/>
        <v>16.458329999999997</v>
      </c>
      <c r="N282">
        <f t="shared" si="37"/>
        <v>16.384124999999997</v>
      </c>
      <c r="O282">
        <f t="shared" si="37"/>
        <v>16.309919999999998</v>
      </c>
      <c r="P282">
        <f t="shared" si="37"/>
        <v>16.235714999999995</v>
      </c>
      <c r="Q282">
        <f t="shared" si="37"/>
        <v>16.161509999999996</v>
      </c>
      <c r="R282">
        <f t="shared" si="37"/>
        <v>16.087304999999997</v>
      </c>
      <c r="S282">
        <f t="shared" si="37"/>
        <v>16.013099999999994</v>
      </c>
      <c r="T282">
        <f t="shared" si="37"/>
        <v>15.938894999999995</v>
      </c>
      <c r="U282">
        <f t="shared" si="38"/>
        <v>15.864689999999996</v>
      </c>
      <c r="V282">
        <f t="shared" si="38"/>
        <v>15.790484999999997</v>
      </c>
      <c r="W282">
        <f t="shared" si="38"/>
        <v>15.716279999999996</v>
      </c>
      <c r="X282">
        <f t="shared" si="38"/>
        <v>15.642074999999995</v>
      </c>
      <c r="Y282">
        <f t="shared" si="38"/>
        <v>15.567869999999996</v>
      </c>
      <c r="Z282">
        <f t="shared" si="38"/>
        <v>15.493664999999996</v>
      </c>
      <c r="AA282">
        <f t="shared" si="38"/>
        <v>15.419459999999996</v>
      </c>
      <c r="AB282">
        <f t="shared" si="38"/>
        <v>15.345254999999995</v>
      </c>
      <c r="AC282">
        <f t="shared" si="38"/>
        <v>15.271049999999995</v>
      </c>
      <c r="AD282">
        <f t="shared" si="40"/>
        <v>13.935359999999996</v>
      </c>
    </row>
    <row r="283" spans="2:30" x14ac:dyDescent="0.2">
      <c r="B283" s="7">
        <v>44852</v>
      </c>
      <c r="C283" s="8">
        <v>13.650694444444435</v>
      </c>
      <c r="D283">
        <f t="shared" si="36"/>
        <v>16.926869444444435</v>
      </c>
      <c r="E283">
        <f t="shared" si="39"/>
        <v>16.852664444444436</v>
      </c>
      <c r="F283">
        <f t="shared" si="39"/>
        <v>16.778459444444437</v>
      </c>
      <c r="G283">
        <f t="shared" si="37"/>
        <v>16.704254444444434</v>
      </c>
      <c r="H283">
        <f t="shared" si="37"/>
        <v>16.630049444444435</v>
      </c>
      <c r="I283">
        <f t="shared" si="37"/>
        <v>16.555844444444435</v>
      </c>
      <c r="J283">
        <f t="shared" si="37"/>
        <v>16.481639444444436</v>
      </c>
      <c r="K283">
        <f t="shared" si="37"/>
        <v>16.407434444444434</v>
      </c>
      <c r="L283">
        <f t="shared" si="37"/>
        <v>16.333229444444434</v>
      </c>
      <c r="M283">
        <f t="shared" si="37"/>
        <v>16.259024444444435</v>
      </c>
      <c r="N283">
        <f t="shared" si="37"/>
        <v>16.184819444444436</v>
      </c>
      <c r="O283">
        <f t="shared" si="37"/>
        <v>16.110614444444437</v>
      </c>
      <c r="P283">
        <f t="shared" si="37"/>
        <v>16.036409444444434</v>
      </c>
      <c r="Q283">
        <f t="shared" si="37"/>
        <v>15.962204444444435</v>
      </c>
      <c r="R283">
        <f t="shared" si="37"/>
        <v>15.887999444444436</v>
      </c>
      <c r="S283">
        <f t="shared" si="37"/>
        <v>15.813794444444435</v>
      </c>
      <c r="T283">
        <f t="shared" si="37"/>
        <v>15.739589444444434</v>
      </c>
      <c r="U283">
        <f t="shared" si="38"/>
        <v>15.665384444444435</v>
      </c>
      <c r="V283">
        <f t="shared" si="38"/>
        <v>15.591179444444435</v>
      </c>
      <c r="W283">
        <f t="shared" si="38"/>
        <v>15.516974444444434</v>
      </c>
      <c r="X283">
        <f t="shared" si="38"/>
        <v>15.442769444444433</v>
      </c>
      <c r="Y283">
        <f t="shared" si="38"/>
        <v>15.368564444444434</v>
      </c>
      <c r="Z283">
        <f t="shared" si="38"/>
        <v>15.294359444444435</v>
      </c>
      <c r="AA283">
        <f t="shared" si="38"/>
        <v>15.220154444444434</v>
      </c>
      <c r="AB283">
        <f t="shared" si="38"/>
        <v>15.145949444444433</v>
      </c>
      <c r="AC283">
        <f t="shared" si="38"/>
        <v>15.071744444444434</v>
      </c>
      <c r="AD283">
        <f t="shared" si="40"/>
        <v>13.736054444444434</v>
      </c>
    </row>
    <row r="284" spans="2:30" x14ac:dyDescent="0.2">
      <c r="B284" s="7">
        <v>44853</v>
      </c>
      <c r="C284" s="8">
        <v>11.725694444444439</v>
      </c>
      <c r="D284">
        <f t="shared" si="36"/>
        <v>15.00186944444444</v>
      </c>
      <c r="E284">
        <f t="shared" si="39"/>
        <v>14.927664444444439</v>
      </c>
      <c r="F284">
        <f t="shared" si="39"/>
        <v>14.853459444444439</v>
      </c>
      <c r="G284">
        <f t="shared" si="37"/>
        <v>14.77925444444444</v>
      </c>
      <c r="H284">
        <f t="shared" si="37"/>
        <v>14.705049444444439</v>
      </c>
      <c r="I284">
        <f t="shared" si="37"/>
        <v>14.63084444444444</v>
      </c>
      <c r="J284">
        <f t="shared" si="37"/>
        <v>14.556639444444439</v>
      </c>
      <c r="K284">
        <f t="shared" si="37"/>
        <v>14.48243444444444</v>
      </c>
      <c r="L284">
        <f t="shared" si="37"/>
        <v>14.408229444444439</v>
      </c>
      <c r="M284">
        <f t="shared" si="37"/>
        <v>14.33402444444444</v>
      </c>
      <c r="N284">
        <f t="shared" si="37"/>
        <v>14.259819444444439</v>
      </c>
      <c r="O284">
        <f t="shared" si="37"/>
        <v>14.18561444444444</v>
      </c>
      <c r="P284">
        <f t="shared" si="37"/>
        <v>14.11140944444444</v>
      </c>
      <c r="Q284">
        <f t="shared" si="37"/>
        <v>14.037204444444439</v>
      </c>
      <c r="R284">
        <f t="shared" ref="G284:T302" si="41">(-1.4841*R$3+3.6472)+$C284</f>
        <v>13.962999444444439</v>
      </c>
      <c r="S284">
        <f t="shared" si="41"/>
        <v>13.888794444444439</v>
      </c>
      <c r="T284">
        <f t="shared" si="41"/>
        <v>13.81458944444444</v>
      </c>
      <c r="U284">
        <f t="shared" si="38"/>
        <v>13.740384444444439</v>
      </c>
      <c r="V284">
        <f t="shared" si="38"/>
        <v>13.666179444444438</v>
      </c>
      <c r="W284">
        <f t="shared" si="38"/>
        <v>13.591974444444439</v>
      </c>
      <c r="X284">
        <f t="shared" si="38"/>
        <v>13.51776944444444</v>
      </c>
      <c r="Y284">
        <f t="shared" si="38"/>
        <v>13.443564444444439</v>
      </c>
      <c r="Z284">
        <f t="shared" si="38"/>
        <v>13.369359444444438</v>
      </c>
      <c r="AA284">
        <f t="shared" si="38"/>
        <v>13.295154444444439</v>
      </c>
      <c r="AB284">
        <f t="shared" si="38"/>
        <v>13.22094944444444</v>
      </c>
      <c r="AC284">
        <f t="shared" si="38"/>
        <v>13.146744444444439</v>
      </c>
      <c r="AD284">
        <f t="shared" si="40"/>
        <v>11.811054444444441</v>
      </c>
    </row>
    <row r="285" spans="2:30" x14ac:dyDescent="0.2">
      <c r="B285" s="7">
        <v>44854</v>
      </c>
      <c r="C285" s="8">
        <v>10.344444444444452</v>
      </c>
      <c r="D285">
        <f t="shared" si="36"/>
        <v>13.620619444444452</v>
      </c>
      <c r="E285">
        <f t="shared" si="39"/>
        <v>13.546414444444451</v>
      </c>
      <c r="F285">
        <f t="shared" si="39"/>
        <v>13.472209444444452</v>
      </c>
      <c r="G285">
        <f t="shared" si="41"/>
        <v>13.398004444444453</v>
      </c>
      <c r="H285">
        <f t="shared" si="41"/>
        <v>13.323799444444452</v>
      </c>
      <c r="I285">
        <f t="shared" si="41"/>
        <v>13.249594444444453</v>
      </c>
      <c r="J285">
        <f t="shared" si="41"/>
        <v>13.175389444444452</v>
      </c>
      <c r="K285">
        <f t="shared" si="41"/>
        <v>13.101184444444453</v>
      </c>
      <c r="L285">
        <f t="shared" si="41"/>
        <v>13.026979444444452</v>
      </c>
      <c r="M285">
        <f t="shared" si="41"/>
        <v>12.952774444444453</v>
      </c>
      <c r="N285">
        <f t="shared" si="41"/>
        <v>12.878569444444452</v>
      </c>
      <c r="O285">
        <f t="shared" si="41"/>
        <v>12.804364444444452</v>
      </c>
      <c r="P285">
        <f t="shared" si="41"/>
        <v>12.730159444444453</v>
      </c>
      <c r="Q285">
        <f t="shared" si="41"/>
        <v>12.655954444444452</v>
      </c>
      <c r="R285">
        <f t="shared" si="41"/>
        <v>12.581749444444451</v>
      </c>
      <c r="S285">
        <f t="shared" si="41"/>
        <v>12.507544444444452</v>
      </c>
      <c r="T285">
        <f t="shared" si="41"/>
        <v>12.433339444444453</v>
      </c>
      <c r="U285">
        <f t="shared" si="38"/>
        <v>12.359134444444452</v>
      </c>
      <c r="V285">
        <f t="shared" si="38"/>
        <v>12.284929444444451</v>
      </c>
      <c r="W285">
        <f t="shared" si="38"/>
        <v>12.210724444444452</v>
      </c>
      <c r="X285">
        <f t="shared" si="38"/>
        <v>12.136519444444453</v>
      </c>
      <c r="Y285">
        <f t="shared" si="38"/>
        <v>12.062314444444452</v>
      </c>
      <c r="Z285">
        <f t="shared" si="38"/>
        <v>11.988109444444451</v>
      </c>
      <c r="AA285">
        <f t="shared" si="38"/>
        <v>11.913904444444452</v>
      </c>
      <c r="AB285">
        <f t="shared" si="38"/>
        <v>11.839699444444452</v>
      </c>
      <c r="AC285">
        <f t="shared" si="38"/>
        <v>11.765494444444451</v>
      </c>
      <c r="AD285">
        <f t="shared" si="40"/>
        <v>10.429804444444454</v>
      </c>
    </row>
    <row r="286" spans="2:30" x14ac:dyDescent="0.2">
      <c r="B286" s="7">
        <v>44855</v>
      </c>
      <c r="C286" s="8">
        <v>12.663888888888883</v>
      </c>
      <c r="D286">
        <f t="shared" si="36"/>
        <v>15.940063888888883</v>
      </c>
      <c r="E286">
        <f t="shared" si="39"/>
        <v>15.865858888888884</v>
      </c>
      <c r="F286">
        <f t="shared" si="39"/>
        <v>15.791653888888883</v>
      </c>
      <c r="G286">
        <f t="shared" si="41"/>
        <v>15.717448888888882</v>
      </c>
      <c r="H286">
        <f t="shared" si="41"/>
        <v>15.643243888888883</v>
      </c>
      <c r="I286">
        <f t="shared" si="41"/>
        <v>15.569038888888883</v>
      </c>
      <c r="J286">
        <f t="shared" si="41"/>
        <v>15.494833888888882</v>
      </c>
      <c r="K286">
        <f t="shared" si="41"/>
        <v>15.420628888888883</v>
      </c>
      <c r="L286">
        <f t="shared" si="41"/>
        <v>15.346423888888882</v>
      </c>
      <c r="M286">
        <f t="shared" si="41"/>
        <v>15.272218888888883</v>
      </c>
      <c r="N286">
        <f t="shared" si="41"/>
        <v>15.198013888888884</v>
      </c>
      <c r="O286">
        <f t="shared" si="41"/>
        <v>15.123808888888883</v>
      </c>
      <c r="P286">
        <f t="shared" si="41"/>
        <v>15.049603888888882</v>
      </c>
      <c r="Q286">
        <f t="shared" si="41"/>
        <v>14.975398888888883</v>
      </c>
      <c r="R286">
        <f t="shared" si="41"/>
        <v>14.901193888888884</v>
      </c>
      <c r="S286">
        <f t="shared" si="41"/>
        <v>14.826988888888883</v>
      </c>
      <c r="T286">
        <f t="shared" si="41"/>
        <v>14.752783888888882</v>
      </c>
      <c r="U286">
        <f t="shared" si="38"/>
        <v>14.678578888888882</v>
      </c>
      <c r="V286">
        <f t="shared" si="38"/>
        <v>14.604373888888883</v>
      </c>
      <c r="W286">
        <f t="shared" si="38"/>
        <v>14.530168888888882</v>
      </c>
      <c r="X286">
        <f t="shared" si="38"/>
        <v>14.455963888888881</v>
      </c>
      <c r="Y286">
        <f t="shared" si="38"/>
        <v>14.381758888888882</v>
      </c>
      <c r="Z286">
        <f t="shared" si="38"/>
        <v>14.307553888888883</v>
      </c>
      <c r="AA286">
        <f t="shared" si="38"/>
        <v>14.233348888888882</v>
      </c>
      <c r="AB286">
        <f t="shared" si="38"/>
        <v>14.159143888888881</v>
      </c>
      <c r="AC286">
        <f t="shared" si="38"/>
        <v>14.084938888888882</v>
      </c>
      <c r="AD286">
        <f t="shared" si="40"/>
        <v>12.749248888888882</v>
      </c>
    </row>
    <row r="287" spans="2:30" x14ac:dyDescent="0.2">
      <c r="B287" s="7">
        <v>44856</v>
      </c>
      <c r="C287" s="8">
        <v>13.715277777777779</v>
      </c>
      <c r="D287">
        <f t="shared" si="36"/>
        <v>16.991452777777781</v>
      </c>
      <c r="E287">
        <f t="shared" si="39"/>
        <v>16.917247777777778</v>
      </c>
      <c r="F287">
        <f t="shared" si="39"/>
        <v>16.843042777777779</v>
      </c>
      <c r="G287">
        <f t="shared" si="41"/>
        <v>16.76883777777778</v>
      </c>
      <c r="H287">
        <f t="shared" si="41"/>
        <v>16.69463277777778</v>
      </c>
      <c r="I287">
        <f t="shared" si="41"/>
        <v>16.620427777777778</v>
      </c>
      <c r="J287">
        <f t="shared" si="41"/>
        <v>16.546222777777778</v>
      </c>
      <c r="K287">
        <f t="shared" si="41"/>
        <v>16.472017777777779</v>
      </c>
      <c r="L287">
        <f t="shared" si="41"/>
        <v>16.39781277777778</v>
      </c>
      <c r="M287">
        <f t="shared" si="41"/>
        <v>16.323607777777777</v>
      </c>
      <c r="N287">
        <f t="shared" si="41"/>
        <v>16.249402777777778</v>
      </c>
      <c r="O287">
        <f t="shared" si="41"/>
        <v>16.175197777777779</v>
      </c>
      <c r="P287">
        <f t="shared" si="41"/>
        <v>16.10099277777778</v>
      </c>
      <c r="Q287">
        <f t="shared" si="41"/>
        <v>16.026787777777777</v>
      </c>
      <c r="R287">
        <f t="shared" si="41"/>
        <v>15.952582777777778</v>
      </c>
      <c r="S287">
        <f t="shared" si="41"/>
        <v>15.878377777777779</v>
      </c>
      <c r="T287">
        <f t="shared" si="41"/>
        <v>15.804172777777779</v>
      </c>
      <c r="U287">
        <f t="shared" si="38"/>
        <v>15.729967777777778</v>
      </c>
      <c r="V287">
        <f t="shared" si="38"/>
        <v>15.655762777777777</v>
      </c>
      <c r="W287">
        <f t="shared" si="38"/>
        <v>15.581557777777778</v>
      </c>
      <c r="X287">
        <f t="shared" si="38"/>
        <v>15.507352777777779</v>
      </c>
      <c r="Y287">
        <f t="shared" si="38"/>
        <v>15.433147777777778</v>
      </c>
      <c r="Z287">
        <f t="shared" si="38"/>
        <v>15.358942777777777</v>
      </c>
      <c r="AA287">
        <f t="shared" si="38"/>
        <v>15.284737777777778</v>
      </c>
      <c r="AB287">
        <f t="shared" si="38"/>
        <v>15.210532777777779</v>
      </c>
      <c r="AC287">
        <f t="shared" si="38"/>
        <v>15.136327777777778</v>
      </c>
      <c r="AD287">
        <f t="shared" si="40"/>
        <v>13.80063777777778</v>
      </c>
    </row>
    <row r="288" spans="2:30" x14ac:dyDescent="0.2">
      <c r="B288" s="7">
        <v>44857</v>
      </c>
      <c r="C288" s="8">
        <v>13.319444444444434</v>
      </c>
      <c r="D288">
        <f t="shared" si="36"/>
        <v>16.595619444444434</v>
      </c>
      <c r="E288">
        <f t="shared" si="39"/>
        <v>16.521414444444435</v>
      </c>
      <c r="F288">
        <f t="shared" si="39"/>
        <v>16.447209444444432</v>
      </c>
      <c r="G288">
        <f t="shared" si="41"/>
        <v>16.373004444444433</v>
      </c>
      <c r="H288">
        <f t="shared" si="41"/>
        <v>16.298799444444434</v>
      </c>
      <c r="I288">
        <f t="shared" si="41"/>
        <v>16.224594444444435</v>
      </c>
      <c r="J288">
        <f t="shared" si="41"/>
        <v>16.150389444444436</v>
      </c>
      <c r="K288">
        <f t="shared" si="41"/>
        <v>16.076184444444433</v>
      </c>
      <c r="L288">
        <f t="shared" si="41"/>
        <v>16.001979444444434</v>
      </c>
      <c r="M288">
        <f t="shared" si="41"/>
        <v>15.927774444444434</v>
      </c>
      <c r="N288">
        <f t="shared" si="41"/>
        <v>15.853569444444435</v>
      </c>
      <c r="O288">
        <f t="shared" si="41"/>
        <v>15.779364444444434</v>
      </c>
      <c r="P288">
        <f t="shared" si="41"/>
        <v>15.705159444444433</v>
      </c>
      <c r="Q288">
        <f t="shared" si="41"/>
        <v>15.630954444444434</v>
      </c>
      <c r="R288">
        <f t="shared" si="41"/>
        <v>15.556749444444435</v>
      </c>
      <c r="S288">
        <f t="shared" si="41"/>
        <v>15.482544444444434</v>
      </c>
      <c r="T288">
        <f t="shared" si="41"/>
        <v>15.408339444444433</v>
      </c>
      <c r="U288">
        <f t="shared" si="38"/>
        <v>15.334134444444434</v>
      </c>
      <c r="V288">
        <f t="shared" si="38"/>
        <v>15.259929444444435</v>
      </c>
      <c r="W288">
        <f t="shared" si="38"/>
        <v>15.185724444444434</v>
      </c>
      <c r="X288">
        <f t="shared" si="38"/>
        <v>15.111519444444433</v>
      </c>
      <c r="Y288">
        <f t="shared" si="38"/>
        <v>15.037314444444434</v>
      </c>
      <c r="Z288">
        <f t="shared" si="38"/>
        <v>14.963109444444434</v>
      </c>
      <c r="AA288">
        <f t="shared" si="38"/>
        <v>14.888904444444433</v>
      </c>
      <c r="AB288">
        <f t="shared" si="38"/>
        <v>14.814699444444432</v>
      </c>
      <c r="AC288">
        <f t="shared" si="38"/>
        <v>14.740494444444433</v>
      </c>
      <c r="AD288">
        <f t="shared" si="40"/>
        <v>13.404804444444434</v>
      </c>
    </row>
    <row r="289" spans="2:30" x14ac:dyDescent="0.2">
      <c r="B289" s="7">
        <v>44858</v>
      </c>
      <c r="C289" s="8">
        <v>13.454166666666659</v>
      </c>
      <c r="D289">
        <f t="shared" si="36"/>
        <v>16.730341666666661</v>
      </c>
      <c r="E289">
        <f t="shared" si="39"/>
        <v>16.656136666666658</v>
      </c>
      <c r="F289">
        <f t="shared" si="39"/>
        <v>16.581931666666659</v>
      </c>
      <c r="G289">
        <f t="shared" si="41"/>
        <v>16.50772666666666</v>
      </c>
      <c r="H289">
        <f t="shared" si="41"/>
        <v>16.43352166666666</v>
      </c>
      <c r="I289">
        <f t="shared" si="41"/>
        <v>16.359316666666658</v>
      </c>
      <c r="J289">
        <f t="shared" si="41"/>
        <v>16.285111666666658</v>
      </c>
      <c r="K289">
        <f t="shared" si="41"/>
        <v>16.210906666666659</v>
      </c>
      <c r="L289">
        <f t="shared" si="41"/>
        <v>16.13670166666666</v>
      </c>
      <c r="M289">
        <f t="shared" si="41"/>
        <v>16.062496666666657</v>
      </c>
      <c r="N289">
        <f t="shared" si="41"/>
        <v>15.988291666666658</v>
      </c>
      <c r="O289">
        <f t="shared" si="41"/>
        <v>15.914086666666659</v>
      </c>
      <c r="P289">
        <f t="shared" si="41"/>
        <v>15.83988166666666</v>
      </c>
      <c r="Q289">
        <f t="shared" si="41"/>
        <v>15.765676666666659</v>
      </c>
      <c r="R289">
        <f t="shared" si="41"/>
        <v>15.691471666666658</v>
      </c>
      <c r="S289">
        <f t="shared" si="41"/>
        <v>15.617266666666659</v>
      </c>
      <c r="T289">
        <f t="shared" si="41"/>
        <v>15.543061666666659</v>
      </c>
      <c r="U289">
        <f t="shared" si="38"/>
        <v>15.468856666666658</v>
      </c>
      <c r="V289">
        <f t="shared" si="38"/>
        <v>15.394651666666658</v>
      </c>
      <c r="W289">
        <f t="shared" si="38"/>
        <v>15.320446666666658</v>
      </c>
      <c r="X289">
        <f t="shared" si="38"/>
        <v>15.246241666666659</v>
      </c>
      <c r="Y289">
        <f t="shared" si="38"/>
        <v>15.172036666666658</v>
      </c>
      <c r="Z289">
        <f t="shared" si="38"/>
        <v>15.097831666666657</v>
      </c>
      <c r="AA289">
        <f t="shared" si="38"/>
        <v>15.023626666666658</v>
      </c>
      <c r="AB289">
        <f t="shared" si="38"/>
        <v>14.949421666666659</v>
      </c>
      <c r="AC289">
        <f t="shared" si="38"/>
        <v>14.875216666666658</v>
      </c>
      <c r="AD289">
        <f t="shared" si="40"/>
        <v>13.53952666666666</v>
      </c>
    </row>
    <row r="290" spans="2:30" x14ac:dyDescent="0.2">
      <c r="B290" s="7">
        <v>44859</v>
      </c>
      <c r="C290" s="8">
        <v>13.635416666666663</v>
      </c>
      <c r="D290">
        <f t="shared" si="36"/>
        <v>16.911591666666663</v>
      </c>
      <c r="E290">
        <f t="shared" si="39"/>
        <v>16.837386666666664</v>
      </c>
      <c r="F290">
        <f t="shared" si="39"/>
        <v>16.763181666666661</v>
      </c>
      <c r="G290">
        <f t="shared" si="41"/>
        <v>16.688976666666662</v>
      </c>
      <c r="H290">
        <f t="shared" si="41"/>
        <v>16.614771666666662</v>
      </c>
      <c r="I290">
        <f t="shared" si="41"/>
        <v>16.540566666666663</v>
      </c>
      <c r="J290">
        <f t="shared" si="41"/>
        <v>16.466361666666664</v>
      </c>
      <c r="K290">
        <f t="shared" si="41"/>
        <v>16.392156666666661</v>
      </c>
      <c r="L290">
        <f t="shared" si="41"/>
        <v>16.317951666666662</v>
      </c>
      <c r="M290">
        <f t="shared" si="41"/>
        <v>16.243746666666663</v>
      </c>
      <c r="N290">
        <f t="shared" si="41"/>
        <v>16.169541666666664</v>
      </c>
      <c r="O290">
        <f t="shared" si="41"/>
        <v>16.095336666666661</v>
      </c>
      <c r="P290">
        <f t="shared" si="41"/>
        <v>16.021131666666662</v>
      </c>
      <c r="Q290">
        <f t="shared" si="41"/>
        <v>15.946926666666663</v>
      </c>
      <c r="R290">
        <f t="shared" si="41"/>
        <v>15.872721666666664</v>
      </c>
      <c r="S290">
        <f t="shared" si="41"/>
        <v>15.798516666666663</v>
      </c>
      <c r="T290">
        <f t="shared" si="41"/>
        <v>15.724311666666662</v>
      </c>
      <c r="U290">
        <f t="shared" si="38"/>
        <v>15.650106666666662</v>
      </c>
      <c r="V290">
        <f t="shared" si="38"/>
        <v>15.575901666666663</v>
      </c>
      <c r="W290">
        <f t="shared" si="38"/>
        <v>15.501696666666662</v>
      </c>
      <c r="X290">
        <f t="shared" si="38"/>
        <v>15.427491666666661</v>
      </c>
      <c r="Y290">
        <f t="shared" si="38"/>
        <v>15.353286666666662</v>
      </c>
      <c r="Z290">
        <f t="shared" si="38"/>
        <v>15.279081666666663</v>
      </c>
      <c r="AA290">
        <f t="shared" si="38"/>
        <v>15.204876666666662</v>
      </c>
      <c r="AB290">
        <f t="shared" si="38"/>
        <v>15.130671666666661</v>
      </c>
      <c r="AC290">
        <f t="shared" si="38"/>
        <v>15.056466666666662</v>
      </c>
      <c r="AD290">
        <f t="shared" si="40"/>
        <v>13.720776666666662</v>
      </c>
    </row>
    <row r="291" spans="2:30" x14ac:dyDescent="0.2">
      <c r="B291" s="7">
        <v>44860</v>
      </c>
      <c r="C291" s="8">
        <v>13.568055555555555</v>
      </c>
      <c r="D291">
        <f t="shared" si="36"/>
        <v>16.844230555555555</v>
      </c>
      <c r="E291">
        <f t="shared" si="39"/>
        <v>16.770025555555556</v>
      </c>
      <c r="F291">
        <f t="shared" si="39"/>
        <v>16.695820555555557</v>
      </c>
      <c r="G291">
        <f t="shared" si="41"/>
        <v>16.621615555555554</v>
      </c>
      <c r="H291">
        <f t="shared" si="41"/>
        <v>16.547410555555555</v>
      </c>
      <c r="I291">
        <f t="shared" si="41"/>
        <v>16.473205555555555</v>
      </c>
      <c r="J291">
        <f t="shared" si="41"/>
        <v>16.399000555555556</v>
      </c>
      <c r="K291">
        <f t="shared" si="41"/>
        <v>16.324795555555554</v>
      </c>
      <c r="L291">
        <f t="shared" si="41"/>
        <v>16.250590555555554</v>
      </c>
      <c r="M291">
        <f t="shared" si="41"/>
        <v>16.176385555555555</v>
      </c>
      <c r="N291">
        <f t="shared" si="41"/>
        <v>16.102180555555556</v>
      </c>
      <c r="O291">
        <f t="shared" si="41"/>
        <v>16.027975555555557</v>
      </c>
      <c r="P291">
        <f t="shared" si="41"/>
        <v>15.953770555555554</v>
      </c>
      <c r="Q291">
        <f t="shared" si="41"/>
        <v>15.879565555555555</v>
      </c>
      <c r="R291">
        <f t="shared" si="41"/>
        <v>15.805360555555556</v>
      </c>
      <c r="S291">
        <f t="shared" si="41"/>
        <v>15.731155555555555</v>
      </c>
      <c r="T291">
        <f t="shared" si="41"/>
        <v>15.656950555555554</v>
      </c>
      <c r="U291">
        <f t="shared" si="38"/>
        <v>15.582745555555555</v>
      </c>
      <c r="V291">
        <f t="shared" si="38"/>
        <v>15.508540555555555</v>
      </c>
      <c r="W291">
        <f t="shared" si="38"/>
        <v>15.434335555555554</v>
      </c>
      <c r="X291">
        <f t="shared" si="38"/>
        <v>15.360130555555553</v>
      </c>
      <c r="Y291">
        <f t="shared" si="38"/>
        <v>15.285925555555554</v>
      </c>
      <c r="Z291">
        <f t="shared" si="38"/>
        <v>15.211720555555555</v>
      </c>
      <c r="AA291">
        <f t="shared" si="38"/>
        <v>15.137515555555554</v>
      </c>
      <c r="AB291">
        <f t="shared" si="38"/>
        <v>15.063310555555553</v>
      </c>
      <c r="AC291">
        <f t="shared" si="38"/>
        <v>14.989105555555554</v>
      </c>
      <c r="AD291">
        <f t="shared" si="40"/>
        <v>13.653415555555554</v>
      </c>
    </row>
    <row r="292" spans="2:30" x14ac:dyDescent="0.2">
      <c r="B292" s="7">
        <v>44861</v>
      </c>
      <c r="C292" s="8">
        <v>13.936805555555546</v>
      </c>
      <c r="D292">
        <f t="shared" si="36"/>
        <v>17.212980555555546</v>
      </c>
      <c r="E292">
        <f t="shared" si="39"/>
        <v>17.138775555555547</v>
      </c>
      <c r="F292">
        <f t="shared" si="39"/>
        <v>17.064570555555548</v>
      </c>
      <c r="G292">
        <f t="shared" si="41"/>
        <v>16.990365555555545</v>
      </c>
      <c r="H292">
        <f t="shared" si="41"/>
        <v>16.916160555555546</v>
      </c>
      <c r="I292">
        <f t="shared" si="41"/>
        <v>16.841955555555547</v>
      </c>
      <c r="J292">
        <f t="shared" si="41"/>
        <v>16.767750555555548</v>
      </c>
      <c r="K292">
        <f t="shared" si="41"/>
        <v>16.693545555555545</v>
      </c>
      <c r="L292">
        <f t="shared" si="41"/>
        <v>16.619340555555546</v>
      </c>
      <c r="M292">
        <f t="shared" si="41"/>
        <v>16.545135555555547</v>
      </c>
      <c r="N292">
        <f t="shared" si="41"/>
        <v>16.470930555555547</v>
      </c>
      <c r="O292">
        <f t="shared" si="41"/>
        <v>16.396725555555548</v>
      </c>
      <c r="P292">
        <f t="shared" si="41"/>
        <v>16.322520555555545</v>
      </c>
      <c r="Q292">
        <f t="shared" si="41"/>
        <v>16.248315555555546</v>
      </c>
      <c r="R292">
        <f t="shared" si="41"/>
        <v>16.174110555555547</v>
      </c>
      <c r="S292">
        <f t="shared" si="41"/>
        <v>16.099905555555544</v>
      </c>
      <c r="T292">
        <f t="shared" si="41"/>
        <v>16.025700555555545</v>
      </c>
      <c r="U292">
        <f t="shared" si="38"/>
        <v>15.951495555555546</v>
      </c>
      <c r="V292">
        <f t="shared" si="38"/>
        <v>15.877290555555547</v>
      </c>
      <c r="W292">
        <f t="shared" si="38"/>
        <v>15.803085555555546</v>
      </c>
      <c r="X292">
        <f t="shared" si="38"/>
        <v>15.728880555555545</v>
      </c>
      <c r="Y292">
        <f t="shared" si="38"/>
        <v>15.654675555555546</v>
      </c>
      <c r="Z292">
        <f t="shared" si="38"/>
        <v>15.580470555555546</v>
      </c>
      <c r="AA292">
        <f t="shared" si="38"/>
        <v>15.506265555555546</v>
      </c>
      <c r="AB292">
        <f t="shared" si="38"/>
        <v>15.432060555555545</v>
      </c>
      <c r="AC292">
        <f t="shared" si="38"/>
        <v>15.357855555555545</v>
      </c>
      <c r="AD292">
        <f t="shared" si="40"/>
        <v>14.022165555555546</v>
      </c>
    </row>
    <row r="293" spans="2:30" x14ac:dyDescent="0.2">
      <c r="B293" s="7">
        <v>44862</v>
      </c>
      <c r="C293" s="8">
        <v>14.27430555555555</v>
      </c>
      <c r="D293">
        <f t="shared" si="36"/>
        <v>17.550480555555552</v>
      </c>
      <c r="E293">
        <f t="shared" si="39"/>
        <v>17.476275555555549</v>
      </c>
      <c r="F293">
        <f t="shared" si="39"/>
        <v>17.40207055555555</v>
      </c>
      <c r="G293">
        <f t="shared" si="41"/>
        <v>17.327865555555551</v>
      </c>
      <c r="H293">
        <f t="shared" si="41"/>
        <v>17.253660555555552</v>
      </c>
      <c r="I293">
        <f t="shared" si="41"/>
        <v>17.179455555555549</v>
      </c>
      <c r="J293">
        <f t="shared" si="41"/>
        <v>17.10525055555555</v>
      </c>
      <c r="K293">
        <f t="shared" si="41"/>
        <v>17.031045555555551</v>
      </c>
      <c r="L293">
        <f t="shared" si="41"/>
        <v>16.956840555555551</v>
      </c>
      <c r="M293">
        <f t="shared" si="41"/>
        <v>16.882635555555549</v>
      </c>
      <c r="N293">
        <f t="shared" si="41"/>
        <v>16.80843055555555</v>
      </c>
      <c r="O293">
        <f t="shared" si="41"/>
        <v>16.73422555555555</v>
      </c>
      <c r="P293">
        <f t="shared" si="41"/>
        <v>16.660020555555551</v>
      </c>
      <c r="Q293">
        <f t="shared" si="41"/>
        <v>16.585815555555548</v>
      </c>
      <c r="R293">
        <f t="shared" si="41"/>
        <v>16.511610555555549</v>
      </c>
      <c r="S293">
        <f t="shared" si="41"/>
        <v>16.43740555555555</v>
      </c>
      <c r="T293">
        <f t="shared" si="41"/>
        <v>16.363200555555551</v>
      </c>
      <c r="U293">
        <f t="shared" si="38"/>
        <v>16.288995555555552</v>
      </c>
      <c r="V293">
        <f t="shared" si="38"/>
        <v>16.214790555555549</v>
      </c>
      <c r="W293">
        <f t="shared" si="38"/>
        <v>16.14058555555555</v>
      </c>
      <c r="X293">
        <f t="shared" si="38"/>
        <v>16.066380555555551</v>
      </c>
      <c r="Y293">
        <f t="shared" si="38"/>
        <v>15.99217555555555</v>
      </c>
      <c r="Z293">
        <f t="shared" si="38"/>
        <v>15.917970555555549</v>
      </c>
      <c r="AA293">
        <f t="shared" si="38"/>
        <v>15.843765555555549</v>
      </c>
      <c r="AB293">
        <f t="shared" si="38"/>
        <v>15.76956055555555</v>
      </c>
      <c r="AC293">
        <f t="shared" si="38"/>
        <v>15.695355555555549</v>
      </c>
      <c r="AD293">
        <f t="shared" si="40"/>
        <v>14.359665555555551</v>
      </c>
    </row>
    <row r="294" spans="2:30" x14ac:dyDescent="0.2">
      <c r="B294" s="7">
        <v>44863</v>
      </c>
      <c r="C294" s="8">
        <v>14.165277777777769</v>
      </c>
      <c r="D294">
        <f t="shared" si="36"/>
        <v>17.441452777777769</v>
      </c>
      <c r="E294">
        <f t="shared" si="39"/>
        <v>17.36724777777777</v>
      </c>
      <c r="F294">
        <f t="shared" si="39"/>
        <v>17.293042777777771</v>
      </c>
      <c r="G294">
        <f t="shared" si="41"/>
        <v>17.218837777777768</v>
      </c>
      <c r="H294">
        <f t="shared" si="41"/>
        <v>17.144632777777769</v>
      </c>
      <c r="I294">
        <f t="shared" si="41"/>
        <v>17.07042777777777</v>
      </c>
      <c r="J294">
        <f t="shared" si="41"/>
        <v>16.996222777777771</v>
      </c>
      <c r="K294">
        <f t="shared" si="41"/>
        <v>16.922017777777768</v>
      </c>
      <c r="L294">
        <f t="shared" si="41"/>
        <v>16.847812777777769</v>
      </c>
      <c r="M294">
        <f t="shared" si="41"/>
        <v>16.773607777777769</v>
      </c>
      <c r="N294">
        <f t="shared" si="41"/>
        <v>16.69940277777777</v>
      </c>
      <c r="O294">
        <f t="shared" si="41"/>
        <v>16.625197777777771</v>
      </c>
      <c r="P294">
        <f t="shared" si="41"/>
        <v>16.550992777777768</v>
      </c>
      <c r="Q294">
        <f t="shared" si="41"/>
        <v>16.476787777777769</v>
      </c>
      <c r="R294">
        <f t="shared" si="41"/>
        <v>16.40258277777777</v>
      </c>
      <c r="S294">
        <f t="shared" si="41"/>
        <v>16.328377777777767</v>
      </c>
      <c r="T294">
        <f t="shared" si="41"/>
        <v>16.254172777777768</v>
      </c>
      <c r="U294">
        <f t="shared" si="38"/>
        <v>16.179967777777769</v>
      </c>
      <c r="V294">
        <f t="shared" si="38"/>
        <v>16.10576277777777</v>
      </c>
      <c r="W294">
        <f t="shared" si="38"/>
        <v>16.03155777777777</v>
      </c>
      <c r="X294">
        <f t="shared" si="38"/>
        <v>15.957352777777768</v>
      </c>
      <c r="Y294">
        <f t="shared" si="38"/>
        <v>15.883147777777769</v>
      </c>
      <c r="Z294">
        <f t="shared" si="38"/>
        <v>15.808942777777769</v>
      </c>
      <c r="AA294">
        <f t="shared" si="38"/>
        <v>15.734737777777768</v>
      </c>
      <c r="AB294">
        <f t="shared" si="38"/>
        <v>15.660532777777767</v>
      </c>
      <c r="AC294">
        <f t="shared" si="38"/>
        <v>15.586327777777768</v>
      </c>
      <c r="AD294">
        <f t="shared" si="40"/>
        <v>14.250637777777769</v>
      </c>
    </row>
    <row r="295" spans="2:30" x14ac:dyDescent="0.2">
      <c r="B295" s="7">
        <v>44864</v>
      </c>
      <c r="C295" s="8">
        <v>13.947222222222214</v>
      </c>
      <c r="D295">
        <f t="shared" si="36"/>
        <v>17.223397222222214</v>
      </c>
      <c r="E295">
        <f t="shared" si="39"/>
        <v>17.149192222222215</v>
      </c>
      <c r="F295">
        <f t="shared" si="39"/>
        <v>17.074987222222212</v>
      </c>
      <c r="G295">
        <f t="shared" si="41"/>
        <v>17.000782222222213</v>
      </c>
      <c r="H295">
        <f t="shared" si="41"/>
        <v>16.926577222222214</v>
      </c>
      <c r="I295">
        <f t="shared" si="41"/>
        <v>16.852372222222215</v>
      </c>
      <c r="J295">
        <f t="shared" si="41"/>
        <v>16.778167222222216</v>
      </c>
      <c r="K295">
        <f t="shared" si="41"/>
        <v>16.703962222222213</v>
      </c>
      <c r="L295">
        <f t="shared" si="41"/>
        <v>16.629757222222214</v>
      </c>
      <c r="M295">
        <f t="shared" si="41"/>
        <v>16.555552222222214</v>
      </c>
      <c r="N295">
        <f t="shared" si="41"/>
        <v>16.481347222222215</v>
      </c>
      <c r="O295">
        <f t="shared" si="41"/>
        <v>16.407142222222213</v>
      </c>
      <c r="P295">
        <f t="shared" si="41"/>
        <v>16.332937222222213</v>
      </c>
      <c r="Q295">
        <f t="shared" si="41"/>
        <v>16.258732222222214</v>
      </c>
      <c r="R295">
        <f t="shared" si="41"/>
        <v>16.184527222222215</v>
      </c>
      <c r="S295">
        <f t="shared" si="41"/>
        <v>16.110322222222216</v>
      </c>
      <c r="T295">
        <f t="shared" si="41"/>
        <v>16.036117222222213</v>
      </c>
      <c r="U295">
        <f t="shared" si="38"/>
        <v>15.961912222222214</v>
      </c>
      <c r="V295">
        <f t="shared" si="38"/>
        <v>15.887707222222215</v>
      </c>
      <c r="W295">
        <f t="shared" si="38"/>
        <v>15.813502222222214</v>
      </c>
      <c r="X295">
        <f t="shared" si="38"/>
        <v>15.739297222222213</v>
      </c>
      <c r="Y295">
        <f t="shared" si="38"/>
        <v>15.665092222222214</v>
      </c>
      <c r="Z295">
        <f t="shared" si="38"/>
        <v>15.590887222222214</v>
      </c>
      <c r="AA295">
        <f t="shared" si="38"/>
        <v>15.516682222222213</v>
      </c>
      <c r="AB295">
        <f t="shared" si="38"/>
        <v>15.442477222222212</v>
      </c>
      <c r="AC295">
        <f t="shared" si="38"/>
        <v>15.368272222222213</v>
      </c>
      <c r="AD295">
        <f t="shared" si="40"/>
        <v>14.032582222222214</v>
      </c>
    </row>
    <row r="296" spans="2:30" x14ac:dyDescent="0.2">
      <c r="B296" s="7">
        <v>44865</v>
      </c>
      <c r="C296" s="8">
        <v>19.345833333333346</v>
      </c>
      <c r="D296">
        <f t="shared" si="36"/>
        <v>22.622008333333348</v>
      </c>
      <c r="E296">
        <f t="shared" si="39"/>
        <v>22.547803333333345</v>
      </c>
      <c r="F296">
        <f t="shared" si="39"/>
        <v>22.473598333333346</v>
      </c>
      <c r="G296">
        <f t="shared" si="41"/>
        <v>22.399393333333347</v>
      </c>
      <c r="H296">
        <f t="shared" si="41"/>
        <v>22.325188333333347</v>
      </c>
      <c r="I296">
        <f t="shared" si="41"/>
        <v>22.250983333333345</v>
      </c>
      <c r="J296">
        <f t="shared" si="41"/>
        <v>22.176778333333345</v>
      </c>
      <c r="K296">
        <f t="shared" si="41"/>
        <v>22.102573333333346</v>
      </c>
      <c r="L296">
        <f t="shared" si="41"/>
        <v>22.028368333333347</v>
      </c>
      <c r="M296">
        <f t="shared" si="41"/>
        <v>21.954163333333344</v>
      </c>
      <c r="N296">
        <f t="shared" si="41"/>
        <v>21.879958333333345</v>
      </c>
      <c r="O296">
        <f t="shared" si="41"/>
        <v>21.805753333333346</v>
      </c>
      <c r="P296">
        <f t="shared" si="41"/>
        <v>21.731548333333347</v>
      </c>
      <c r="Q296">
        <f t="shared" si="41"/>
        <v>21.657343333333344</v>
      </c>
      <c r="R296">
        <f t="shared" si="41"/>
        <v>21.583138333333345</v>
      </c>
      <c r="S296">
        <f t="shared" si="41"/>
        <v>21.508933333333346</v>
      </c>
      <c r="T296">
        <f t="shared" si="41"/>
        <v>21.434728333333346</v>
      </c>
      <c r="U296">
        <f t="shared" si="38"/>
        <v>21.360523333333347</v>
      </c>
      <c r="V296">
        <f t="shared" si="38"/>
        <v>21.286318333333345</v>
      </c>
      <c r="W296">
        <f t="shared" si="38"/>
        <v>21.212113333333345</v>
      </c>
      <c r="X296">
        <f t="shared" si="38"/>
        <v>21.137908333333346</v>
      </c>
      <c r="Y296">
        <f t="shared" si="38"/>
        <v>21.063703333333343</v>
      </c>
      <c r="Z296">
        <f t="shared" si="38"/>
        <v>20.989498333333344</v>
      </c>
      <c r="AA296">
        <f t="shared" si="38"/>
        <v>20.915293333333345</v>
      </c>
      <c r="AB296">
        <f t="shared" si="38"/>
        <v>20.841088333333346</v>
      </c>
      <c r="AC296">
        <f t="shared" si="38"/>
        <v>20.766883333333347</v>
      </c>
      <c r="AD296">
        <f t="shared" si="40"/>
        <v>19.431193333333347</v>
      </c>
    </row>
    <row r="297" spans="2:30" x14ac:dyDescent="0.2">
      <c r="B297" s="7">
        <v>44866</v>
      </c>
      <c r="C297" s="8">
        <v>12.506249999999996</v>
      </c>
      <c r="D297">
        <f t="shared" si="36"/>
        <v>15.782424999999996</v>
      </c>
      <c r="E297">
        <f t="shared" si="39"/>
        <v>15.708219999999997</v>
      </c>
      <c r="F297">
        <f t="shared" si="39"/>
        <v>15.634014999999996</v>
      </c>
      <c r="G297">
        <f t="shared" si="41"/>
        <v>15.559809999999995</v>
      </c>
      <c r="H297">
        <f t="shared" si="41"/>
        <v>15.485604999999996</v>
      </c>
      <c r="I297">
        <f t="shared" si="41"/>
        <v>15.411399999999997</v>
      </c>
      <c r="J297">
        <f t="shared" si="41"/>
        <v>15.337194999999996</v>
      </c>
      <c r="K297">
        <f t="shared" si="41"/>
        <v>15.262989999999997</v>
      </c>
      <c r="L297">
        <f t="shared" si="41"/>
        <v>15.188784999999996</v>
      </c>
      <c r="M297">
        <f t="shared" si="41"/>
        <v>15.114579999999997</v>
      </c>
      <c r="N297">
        <f t="shared" si="41"/>
        <v>15.040374999999997</v>
      </c>
      <c r="O297">
        <f t="shared" si="41"/>
        <v>14.966169999999996</v>
      </c>
      <c r="P297">
        <f t="shared" si="41"/>
        <v>14.891964999999995</v>
      </c>
      <c r="Q297">
        <f t="shared" si="41"/>
        <v>14.817759999999996</v>
      </c>
      <c r="R297">
        <f t="shared" si="41"/>
        <v>14.743554999999997</v>
      </c>
      <c r="S297">
        <f t="shared" si="41"/>
        <v>14.669349999999996</v>
      </c>
      <c r="T297">
        <f t="shared" si="41"/>
        <v>14.595144999999995</v>
      </c>
      <c r="U297">
        <f t="shared" si="38"/>
        <v>14.520939999999996</v>
      </c>
      <c r="V297">
        <f t="shared" si="38"/>
        <v>14.446734999999997</v>
      </c>
      <c r="W297">
        <f t="shared" si="38"/>
        <v>14.372529999999996</v>
      </c>
      <c r="X297">
        <f t="shared" si="38"/>
        <v>14.298324999999995</v>
      </c>
      <c r="Y297">
        <f t="shared" si="38"/>
        <v>14.224119999999996</v>
      </c>
      <c r="Z297">
        <f t="shared" si="38"/>
        <v>14.149914999999996</v>
      </c>
      <c r="AA297">
        <f t="shared" si="38"/>
        <v>14.075709999999996</v>
      </c>
      <c r="AB297">
        <f t="shared" si="38"/>
        <v>14.001504999999995</v>
      </c>
      <c r="AC297">
        <f t="shared" si="38"/>
        <v>13.927299999999995</v>
      </c>
      <c r="AD297">
        <f t="shared" si="40"/>
        <v>12.591609999999996</v>
      </c>
    </row>
    <row r="298" spans="2:30" x14ac:dyDescent="0.2">
      <c r="B298" s="7">
        <v>44867</v>
      </c>
      <c r="C298" s="8">
        <v>11.062499999999998</v>
      </c>
      <c r="D298">
        <f t="shared" si="36"/>
        <v>14.338674999999999</v>
      </c>
      <c r="E298">
        <f t="shared" si="39"/>
        <v>14.264469999999999</v>
      </c>
      <c r="F298">
        <f t="shared" si="39"/>
        <v>14.190264999999998</v>
      </c>
      <c r="G298">
        <f t="shared" si="41"/>
        <v>14.116059999999997</v>
      </c>
      <c r="H298">
        <f t="shared" si="41"/>
        <v>14.041854999999998</v>
      </c>
      <c r="I298">
        <f t="shared" si="41"/>
        <v>13.967649999999999</v>
      </c>
      <c r="J298">
        <f t="shared" si="41"/>
        <v>13.893444999999998</v>
      </c>
      <c r="K298">
        <f t="shared" si="41"/>
        <v>13.819239999999999</v>
      </c>
      <c r="L298">
        <f t="shared" si="41"/>
        <v>13.745034999999998</v>
      </c>
      <c r="M298">
        <f t="shared" si="41"/>
        <v>13.670829999999999</v>
      </c>
      <c r="N298">
        <f t="shared" si="41"/>
        <v>13.596625</v>
      </c>
      <c r="O298">
        <f t="shared" si="41"/>
        <v>13.522419999999999</v>
      </c>
      <c r="P298">
        <f t="shared" si="41"/>
        <v>13.448214999999998</v>
      </c>
      <c r="Q298">
        <f t="shared" si="41"/>
        <v>13.374009999999998</v>
      </c>
      <c r="R298">
        <f t="shared" si="41"/>
        <v>13.299804999999999</v>
      </c>
      <c r="S298">
        <f t="shared" si="41"/>
        <v>13.225599999999998</v>
      </c>
      <c r="T298">
        <f t="shared" si="41"/>
        <v>13.151394999999997</v>
      </c>
      <c r="U298">
        <f t="shared" si="38"/>
        <v>13.077189999999998</v>
      </c>
      <c r="V298">
        <f t="shared" si="38"/>
        <v>13.002984999999999</v>
      </c>
      <c r="W298">
        <f t="shared" si="38"/>
        <v>12.928779999999998</v>
      </c>
      <c r="X298">
        <f t="shared" si="38"/>
        <v>12.854574999999997</v>
      </c>
      <c r="Y298">
        <f t="shared" si="38"/>
        <v>12.780369999999998</v>
      </c>
      <c r="Z298">
        <f t="shared" si="38"/>
        <v>12.706164999999999</v>
      </c>
      <c r="AA298">
        <f t="shared" si="38"/>
        <v>12.631959999999998</v>
      </c>
      <c r="AB298">
        <f t="shared" si="38"/>
        <v>12.557754999999997</v>
      </c>
      <c r="AC298">
        <f t="shared" si="38"/>
        <v>12.483549999999997</v>
      </c>
      <c r="AD298">
        <f t="shared" si="40"/>
        <v>11.147859999999998</v>
      </c>
    </row>
    <row r="299" spans="2:30" x14ac:dyDescent="0.2">
      <c r="B299" s="7">
        <v>44868</v>
      </c>
      <c r="C299" s="8">
        <v>10.628472222222221</v>
      </c>
      <c r="D299">
        <f t="shared" si="36"/>
        <v>13.904647222222222</v>
      </c>
      <c r="E299">
        <f t="shared" si="39"/>
        <v>13.830442222222221</v>
      </c>
      <c r="F299">
        <f t="shared" si="39"/>
        <v>13.756237222222222</v>
      </c>
      <c r="G299">
        <f t="shared" si="41"/>
        <v>13.682032222222222</v>
      </c>
      <c r="H299">
        <f t="shared" si="41"/>
        <v>13.607827222222221</v>
      </c>
      <c r="I299">
        <f t="shared" si="41"/>
        <v>13.533622222222222</v>
      </c>
      <c r="J299">
        <f t="shared" si="41"/>
        <v>13.459417222222221</v>
      </c>
      <c r="K299">
        <f t="shared" si="41"/>
        <v>13.385212222222222</v>
      </c>
      <c r="L299">
        <f t="shared" si="41"/>
        <v>13.311007222222221</v>
      </c>
      <c r="M299">
        <f t="shared" si="41"/>
        <v>13.236802222222222</v>
      </c>
      <c r="N299">
        <f t="shared" si="41"/>
        <v>13.162597222222221</v>
      </c>
      <c r="O299">
        <f t="shared" si="41"/>
        <v>13.088392222222222</v>
      </c>
      <c r="P299">
        <f t="shared" si="41"/>
        <v>13.014187222222223</v>
      </c>
      <c r="Q299">
        <f t="shared" si="41"/>
        <v>12.939982222222222</v>
      </c>
      <c r="R299">
        <f t="shared" si="41"/>
        <v>12.865777222222221</v>
      </c>
      <c r="S299">
        <f t="shared" si="41"/>
        <v>12.791572222222221</v>
      </c>
      <c r="T299">
        <f t="shared" si="41"/>
        <v>12.717367222222222</v>
      </c>
      <c r="U299">
        <f t="shared" si="38"/>
        <v>12.643162222222221</v>
      </c>
      <c r="V299">
        <f t="shared" si="38"/>
        <v>12.56895722222222</v>
      </c>
      <c r="W299">
        <f t="shared" si="38"/>
        <v>12.494752222222221</v>
      </c>
      <c r="X299">
        <f t="shared" si="38"/>
        <v>12.420547222222222</v>
      </c>
      <c r="Y299">
        <f t="shared" si="38"/>
        <v>12.346342222222221</v>
      </c>
      <c r="Z299">
        <f t="shared" si="38"/>
        <v>12.27213722222222</v>
      </c>
      <c r="AA299">
        <f t="shared" si="38"/>
        <v>12.197932222222221</v>
      </c>
      <c r="AB299">
        <f t="shared" si="38"/>
        <v>12.123727222222222</v>
      </c>
      <c r="AC299">
        <f t="shared" si="38"/>
        <v>12.049522222222221</v>
      </c>
      <c r="AD299">
        <f t="shared" si="40"/>
        <v>10.713832222222223</v>
      </c>
    </row>
    <row r="300" spans="2:30" x14ac:dyDescent="0.2">
      <c r="B300" s="7">
        <v>44869</v>
      </c>
      <c r="C300" s="8">
        <v>10.633333333333331</v>
      </c>
      <c r="D300">
        <f t="shared" si="36"/>
        <v>13.909508333333331</v>
      </c>
      <c r="E300">
        <f t="shared" si="39"/>
        <v>13.835303333333332</v>
      </c>
      <c r="F300">
        <f t="shared" si="39"/>
        <v>13.761098333333331</v>
      </c>
      <c r="G300">
        <f t="shared" si="41"/>
        <v>13.68689333333333</v>
      </c>
      <c r="H300">
        <f t="shared" si="41"/>
        <v>13.612688333333331</v>
      </c>
      <c r="I300">
        <f t="shared" si="41"/>
        <v>13.538483333333332</v>
      </c>
      <c r="J300">
        <f t="shared" si="41"/>
        <v>13.464278333333331</v>
      </c>
      <c r="K300">
        <f t="shared" si="41"/>
        <v>13.390073333333332</v>
      </c>
      <c r="L300">
        <f t="shared" si="41"/>
        <v>13.315868333333331</v>
      </c>
      <c r="M300">
        <f t="shared" si="41"/>
        <v>13.241663333333332</v>
      </c>
      <c r="N300">
        <f t="shared" si="41"/>
        <v>13.167458333333332</v>
      </c>
      <c r="O300">
        <f t="shared" si="41"/>
        <v>13.093253333333331</v>
      </c>
      <c r="P300">
        <f t="shared" si="41"/>
        <v>13.01904833333333</v>
      </c>
      <c r="Q300">
        <f t="shared" si="41"/>
        <v>12.944843333333331</v>
      </c>
      <c r="R300">
        <f t="shared" si="41"/>
        <v>12.870638333333332</v>
      </c>
      <c r="S300">
        <f t="shared" si="41"/>
        <v>12.796433333333331</v>
      </c>
      <c r="T300">
        <f t="shared" si="41"/>
        <v>12.72222833333333</v>
      </c>
      <c r="U300">
        <f t="shared" si="38"/>
        <v>12.648023333333331</v>
      </c>
      <c r="V300">
        <f t="shared" si="38"/>
        <v>12.573818333333332</v>
      </c>
      <c r="W300">
        <f t="shared" si="38"/>
        <v>12.499613333333331</v>
      </c>
      <c r="X300">
        <f t="shared" si="38"/>
        <v>12.42540833333333</v>
      </c>
      <c r="Y300">
        <f t="shared" si="38"/>
        <v>12.351203333333331</v>
      </c>
      <c r="Z300">
        <f t="shared" si="38"/>
        <v>12.276998333333331</v>
      </c>
      <c r="AA300">
        <f t="shared" si="38"/>
        <v>12.20279333333333</v>
      </c>
      <c r="AB300">
        <f t="shared" si="38"/>
        <v>12.12858833333333</v>
      </c>
      <c r="AC300">
        <f t="shared" si="38"/>
        <v>12.05438333333333</v>
      </c>
      <c r="AD300">
        <f t="shared" si="40"/>
        <v>10.718693333333331</v>
      </c>
    </row>
    <row r="301" spans="2:30" x14ac:dyDescent="0.2">
      <c r="B301" s="7">
        <v>44870</v>
      </c>
      <c r="C301" s="8">
        <v>9.6104166666666586</v>
      </c>
      <c r="D301">
        <f t="shared" si="36"/>
        <v>12.886591666666659</v>
      </c>
      <c r="E301">
        <f t="shared" si="39"/>
        <v>12.812386666666658</v>
      </c>
      <c r="F301">
        <f t="shared" si="39"/>
        <v>12.738181666666659</v>
      </c>
      <c r="G301">
        <f t="shared" si="41"/>
        <v>12.66397666666666</v>
      </c>
      <c r="H301">
        <f t="shared" si="41"/>
        <v>12.589771666666659</v>
      </c>
      <c r="I301">
        <f t="shared" si="41"/>
        <v>12.515566666666659</v>
      </c>
      <c r="J301">
        <f t="shared" si="41"/>
        <v>12.441361666666658</v>
      </c>
      <c r="K301">
        <f t="shared" si="41"/>
        <v>12.367156666666659</v>
      </c>
      <c r="L301">
        <f t="shared" si="41"/>
        <v>12.292951666666658</v>
      </c>
      <c r="M301">
        <f t="shared" si="41"/>
        <v>12.218746666666659</v>
      </c>
      <c r="N301">
        <f t="shared" si="41"/>
        <v>12.144541666666658</v>
      </c>
      <c r="O301">
        <f t="shared" si="41"/>
        <v>12.070336666666659</v>
      </c>
      <c r="P301">
        <f t="shared" si="41"/>
        <v>11.99613166666666</v>
      </c>
      <c r="Q301">
        <f t="shared" si="41"/>
        <v>11.921926666666659</v>
      </c>
      <c r="R301">
        <f t="shared" si="41"/>
        <v>11.847721666666658</v>
      </c>
      <c r="S301">
        <f t="shared" si="41"/>
        <v>11.773516666666659</v>
      </c>
      <c r="T301">
        <f t="shared" si="41"/>
        <v>11.699311666666659</v>
      </c>
      <c r="U301">
        <f t="shared" si="38"/>
        <v>11.625106666666658</v>
      </c>
      <c r="V301">
        <f t="shared" si="38"/>
        <v>11.550901666666658</v>
      </c>
      <c r="W301">
        <f t="shared" si="38"/>
        <v>11.476696666666658</v>
      </c>
      <c r="X301">
        <f t="shared" si="38"/>
        <v>11.402491666666659</v>
      </c>
      <c r="Y301">
        <f t="shared" si="38"/>
        <v>11.328286666666658</v>
      </c>
      <c r="Z301">
        <f t="shared" si="38"/>
        <v>11.254081666666657</v>
      </c>
      <c r="AA301">
        <f t="shared" si="38"/>
        <v>11.179876666666658</v>
      </c>
      <c r="AB301">
        <f t="shared" si="38"/>
        <v>11.105671666666659</v>
      </c>
      <c r="AC301">
        <f t="shared" si="38"/>
        <v>11.031466666666658</v>
      </c>
      <c r="AD301">
        <f t="shared" si="40"/>
        <v>9.69577666666666</v>
      </c>
    </row>
    <row r="302" spans="2:30" x14ac:dyDescent="0.2">
      <c r="B302" s="7">
        <v>44871</v>
      </c>
      <c r="C302" s="8">
        <v>9.8083333333333176</v>
      </c>
      <c r="D302">
        <f t="shared" si="36"/>
        <v>13.084508333333318</v>
      </c>
      <c r="E302">
        <f t="shared" si="39"/>
        <v>13.010303333333319</v>
      </c>
      <c r="F302">
        <f t="shared" si="39"/>
        <v>12.936098333333318</v>
      </c>
      <c r="G302">
        <f t="shared" si="41"/>
        <v>12.861893333333317</v>
      </c>
      <c r="H302">
        <f t="shared" si="41"/>
        <v>12.787688333333318</v>
      </c>
      <c r="I302">
        <f t="shared" si="41"/>
        <v>12.713483333333318</v>
      </c>
      <c r="J302">
        <f t="shared" si="41"/>
        <v>12.639278333333317</v>
      </c>
      <c r="K302">
        <f t="shared" si="41"/>
        <v>12.565073333333318</v>
      </c>
      <c r="L302">
        <f t="shared" si="41"/>
        <v>12.490868333333317</v>
      </c>
      <c r="M302">
        <f t="shared" si="41"/>
        <v>12.416663333333318</v>
      </c>
      <c r="N302">
        <f t="shared" si="41"/>
        <v>12.342458333333319</v>
      </c>
      <c r="O302">
        <f t="shared" si="41"/>
        <v>12.268253333333318</v>
      </c>
      <c r="P302">
        <f t="shared" si="41"/>
        <v>12.194048333333317</v>
      </c>
      <c r="Q302">
        <f t="shared" si="41"/>
        <v>12.119843333333318</v>
      </c>
      <c r="R302">
        <f t="shared" si="41"/>
        <v>12.045638333333319</v>
      </c>
      <c r="S302">
        <f t="shared" si="41"/>
        <v>11.971433333333318</v>
      </c>
      <c r="T302">
        <f t="shared" si="41"/>
        <v>11.897228333333317</v>
      </c>
      <c r="U302">
        <f t="shared" si="38"/>
        <v>11.823023333333317</v>
      </c>
      <c r="V302">
        <f t="shared" si="38"/>
        <v>11.748818333333318</v>
      </c>
      <c r="W302">
        <f t="shared" si="38"/>
        <v>11.674613333333317</v>
      </c>
      <c r="X302">
        <f t="shared" si="38"/>
        <v>11.600408333333316</v>
      </c>
      <c r="Y302">
        <f t="shared" si="38"/>
        <v>11.526203333333317</v>
      </c>
      <c r="Z302">
        <f t="shared" si="38"/>
        <v>11.451998333333318</v>
      </c>
      <c r="AA302">
        <f t="shared" si="38"/>
        <v>11.377793333333317</v>
      </c>
      <c r="AB302">
        <f t="shared" si="38"/>
        <v>11.303588333333316</v>
      </c>
      <c r="AC302">
        <f t="shared" si="38"/>
        <v>11.229383333333317</v>
      </c>
      <c r="AD302">
        <f t="shared" si="40"/>
        <v>9.8936933333333172</v>
      </c>
    </row>
    <row r="303" spans="2:30" x14ac:dyDescent="0.2">
      <c r="B303" s="7">
        <v>44872</v>
      </c>
      <c r="C303" s="8">
        <v>10.466666666666676</v>
      </c>
      <c r="D303">
        <f t="shared" si="36"/>
        <v>13.742841666666676</v>
      </c>
      <c r="E303">
        <f t="shared" si="39"/>
        <v>13.668636666666675</v>
      </c>
      <c r="F303">
        <f t="shared" si="39"/>
        <v>13.594431666666676</v>
      </c>
      <c r="G303">
        <f t="shared" si="39"/>
        <v>13.520226666666677</v>
      </c>
      <c r="H303">
        <f t="shared" si="39"/>
        <v>13.446021666666676</v>
      </c>
      <c r="I303">
        <f t="shared" si="39"/>
        <v>13.371816666666676</v>
      </c>
      <c r="J303">
        <f t="shared" si="39"/>
        <v>13.297611666666675</v>
      </c>
      <c r="K303">
        <f t="shared" si="39"/>
        <v>13.223406666666676</v>
      </c>
      <c r="L303">
        <f t="shared" si="39"/>
        <v>13.149201666666675</v>
      </c>
      <c r="M303">
        <f t="shared" si="39"/>
        <v>13.074996666666676</v>
      </c>
      <c r="N303">
        <f t="shared" si="39"/>
        <v>13.000791666666675</v>
      </c>
      <c r="O303">
        <f t="shared" si="39"/>
        <v>12.926586666666676</v>
      </c>
      <c r="P303">
        <f t="shared" si="39"/>
        <v>12.852381666666677</v>
      </c>
      <c r="Q303">
        <f t="shared" si="39"/>
        <v>12.778176666666676</v>
      </c>
      <c r="R303">
        <f t="shared" si="39"/>
        <v>12.703971666666675</v>
      </c>
      <c r="S303">
        <f t="shared" si="39"/>
        <v>12.629766666666676</v>
      </c>
      <c r="T303">
        <f t="shared" si="39"/>
        <v>12.555561666666677</v>
      </c>
      <c r="U303">
        <f t="shared" si="38"/>
        <v>12.481356666666676</v>
      </c>
      <c r="V303">
        <f t="shared" si="38"/>
        <v>12.407151666666675</v>
      </c>
      <c r="W303">
        <f t="shared" si="38"/>
        <v>12.332946666666675</v>
      </c>
      <c r="X303">
        <f t="shared" si="38"/>
        <v>12.258741666666676</v>
      </c>
      <c r="Y303">
        <f t="shared" si="38"/>
        <v>12.184536666666675</v>
      </c>
      <c r="Z303">
        <f t="shared" si="38"/>
        <v>12.110331666666674</v>
      </c>
      <c r="AA303">
        <f t="shared" si="38"/>
        <v>12.036126666666675</v>
      </c>
      <c r="AB303">
        <f t="shared" si="38"/>
        <v>11.961921666666676</v>
      </c>
      <c r="AC303">
        <f t="shared" si="38"/>
        <v>11.887716666666675</v>
      </c>
      <c r="AD303">
        <f t="shared" si="40"/>
        <v>10.552026666666677</v>
      </c>
    </row>
    <row r="304" spans="2:30" x14ac:dyDescent="0.2">
      <c r="B304" s="7">
        <v>44873</v>
      </c>
      <c r="C304" s="8">
        <v>10.650694444444436</v>
      </c>
      <c r="D304">
        <f t="shared" si="36"/>
        <v>13.926869444444437</v>
      </c>
      <c r="E304">
        <f t="shared" si="39"/>
        <v>13.852664444444436</v>
      </c>
      <c r="F304">
        <f t="shared" si="39"/>
        <v>13.778459444444437</v>
      </c>
      <c r="G304">
        <f t="shared" si="39"/>
        <v>13.704254444444437</v>
      </c>
      <c r="H304">
        <f t="shared" si="39"/>
        <v>13.630049444444436</v>
      </c>
      <c r="I304">
        <f t="shared" si="39"/>
        <v>13.555844444444437</v>
      </c>
      <c r="J304">
        <f t="shared" si="39"/>
        <v>13.481639444444436</v>
      </c>
      <c r="K304">
        <f t="shared" si="39"/>
        <v>13.407434444444437</v>
      </c>
      <c r="L304">
        <f t="shared" si="39"/>
        <v>13.333229444444436</v>
      </c>
      <c r="M304">
        <f t="shared" si="39"/>
        <v>13.259024444444437</v>
      </c>
      <c r="N304">
        <f t="shared" si="39"/>
        <v>13.184819444444436</v>
      </c>
      <c r="O304">
        <f t="shared" si="39"/>
        <v>13.110614444444437</v>
      </c>
      <c r="P304">
        <f t="shared" si="39"/>
        <v>13.036409444444438</v>
      </c>
      <c r="Q304">
        <f t="shared" si="39"/>
        <v>12.962204444444437</v>
      </c>
      <c r="R304">
        <f t="shared" si="39"/>
        <v>12.887999444444436</v>
      </c>
      <c r="S304">
        <f t="shared" si="39"/>
        <v>12.813794444444436</v>
      </c>
      <c r="T304">
        <f t="shared" si="39"/>
        <v>12.739589444444437</v>
      </c>
      <c r="U304">
        <f t="shared" si="38"/>
        <v>12.665384444444436</v>
      </c>
      <c r="V304">
        <f t="shared" si="38"/>
        <v>12.591179444444435</v>
      </c>
      <c r="W304">
        <f t="shared" si="38"/>
        <v>12.516974444444436</v>
      </c>
      <c r="X304">
        <f t="shared" si="38"/>
        <v>12.442769444444437</v>
      </c>
      <c r="Y304">
        <f t="shared" si="38"/>
        <v>12.368564444444436</v>
      </c>
      <c r="Z304">
        <f t="shared" ref="U304:AC332" si="42">(-1.4841*Z$3+3.6472)+$C304</f>
        <v>12.294359444444435</v>
      </c>
      <c r="AA304">
        <f t="shared" si="42"/>
        <v>12.220154444444436</v>
      </c>
      <c r="AB304">
        <f t="shared" si="42"/>
        <v>12.145949444444437</v>
      </c>
      <c r="AC304">
        <f t="shared" si="42"/>
        <v>12.071744444444436</v>
      </c>
      <c r="AD304">
        <f t="shared" si="40"/>
        <v>10.736054444444438</v>
      </c>
    </row>
    <row r="305" spans="2:30" x14ac:dyDescent="0.2">
      <c r="B305" s="7">
        <v>44874</v>
      </c>
      <c r="C305" s="8">
        <v>10.652777777777777</v>
      </c>
      <c r="D305">
        <f t="shared" si="36"/>
        <v>13.928952777777777</v>
      </c>
      <c r="E305">
        <f t="shared" si="39"/>
        <v>13.854747777777778</v>
      </c>
      <c r="F305">
        <f t="shared" si="39"/>
        <v>13.780542777777777</v>
      </c>
      <c r="G305">
        <f t="shared" si="39"/>
        <v>13.706337777777776</v>
      </c>
      <c r="H305">
        <f t="shared" si="39"/>
        <v>13.632132777777777</v>
      </c>
      <c r="I305">
        <f t="shared" si="39"/>
        <v>13.557927777777778</v>
      </c>
      <c r="J305">
        <f t="shared" si="39"/>
        <v>13.483722777777777</v>
      </c>
      <c r="K305">
        <f t="shared" si="39"/>
        <v>13.409517777777777</v>
      </c>
      <c r="L305">
        <f t="shared" si="39"/>
        <v>13.335312777777776</v>
      </c>
      <c r="M305">
        <f t="shared" si="39"/>
        <v>13.261107777777777</v>
      </c>
      <c r="N305">
        <f t="shared" si="39"/>
        <v>13.186902777777778</v>
      </c>
      <c r="O305">
        <f t="shared" si="39"/>
        <v>13.112697777777777</v>
      </c>
      <c r="P305">
        <f t="shared" si="39"/>
        <v>13.038492777777776</v>
      </c>
      <c r="Q305">
        <f t="shared" si="39"/>
        <v>12.964287777777777</v>
      </c>
      <c r="R305">
        <f t="shared" si="39"/>
        <v>12.890082777777778</v>
      </c>
      <c r="S305">
        <f t="shared" si="39"/>
        <v>12.815877777777777</v>
      </c>
      <c r="T305">
        <f t="shared" si="39"/>
        <v>12.741672777777776</v>
      </c>
      <c r="U305">
        <f t="shared" si="42"/>
        <v>12.667467777777777</v>
      </c>
      <c r="V305">
        <f t="shared" si="42"/>
        <v>12.593262777777777</v>
      </c>
      <c r="W305">
        <f t="shared" si="42"/>
        <v>12.519057777777777</v>
      </c>
      <c r="X305">
        <f t="shared" si="42"/>
        <v>12.444852777777776</v>
      </c>
      <c r="Y305">
        <f t="shared" si="42"/>
        <v>12.370647777777776</v>
      </c>
      <c r="Z305">
        <f t="shared" si="42"/>
        <v>12.296442777777777</v>
      </c>
      <c r="AA305">
        <f t="shared" si="42"/>
        <v>12.222237777777776</v>
      </c>
      <c r="AB305">
        <f t="shared" si="42"/>
        <v>12.148032777777775</v>
      </c>
      <c r="AC305">
        <f t="shared" si="42"/>
        <v>12.073827777777776</v>
      </c>
      <c r="AD305">
        <f t="shared" si="40"/>
        <v>10.738137777777776</v>
      </c>
    </row>
    <row r="306" spans="2:30" x14ac:dyDescent="0.2">
      <c r="B306" s="7">
        <v>44875</v>
      </c>
      <c r="C306" s="8">
        <v>10.595833333333335</v>
      </c>
      <c r="D306">
        <f t="shared" si="36"/>
        <v>13.872008333333335</v>
      </c>
      <c r="E306">
        <f t="shared" si="39"/>
        <v>13.797803333333334</v>
      </c>
      <c r="F306">
        <f t="shared" si="39"/>
        <v>13.723598333333335</v>
      </c>
      <c r="G306">
        <f t="shared" si="39"/>
        <v>13.649393333333336</v>
      </c>
      <c r="H306">
        <f t="shared" si="39"/>
        <v>13.575188333333335</v>
      </c>
      <c r="I306">
        <f t="shared" si="39"/>
        <v>13.500983333333336</v>
      </c>
      <c r="J306">
        <f t="shared" si="39"/>
        <v>13.426778333333335</v>
      </c>
      <c r="K306">
        <f t="shared" si="39"/>
        <v>13.352573333333336</v>
      </c>
      <c r="L306">
        <f t="shared" si="39"/>
        <v>13.278368333333335</v>
      </c>
      <c r="M306">
        <f t="shared" si="39"/>
        <v>13.204163333333335</v>
      </c>
      <c r="N306">
        <f t="shared" si="39"/>
        <v>13.129958333333335</v>
      </c>
      <c r="O306">
        <f t="shared" si="39"/>
        <v>13.055753333333335</v>
      </c>
      <c r="P306">
        <f t="shared" si="39"/>
        <v>12.981548333333336</v>
      </c>
      <c r="Q306">
        <f t="shared" si="39"/>
        <v>12.907343333333335</v>
      </c>
      <c r="R306">
        <f t="shared" si="39"/>
        <v>12.833138333333334</v>
      </c>
      <c r="S306">
        <f t="shared" si="39"/>
        <v>12.758933333333335</v>
      </c>
      <c r="T306">
        <f t="shared" si="39"/>
        <v>12.684728333333336</v>
      </c>
      <c r="U306">
        <f t="shared" si="42"/>
        <v>12.610523333333335</v>
      </c>
      <c r="V306">
        <f t="shared" si="42"/>
        <v>12.536318333333334</v>
      </c>
      <c r="W306">
        <f t="shared" si="42"/>
        <v>12.462113333333335</v>
      </c>
      <c r="X306">
        <f t="shared" si="42"/>
        <v>12.387908333333336</v>
      </c>
      <c r="Y306">
        <f t="shared" si="42"/>
        <v>12.313703333333335</v>
      </c>
      <c r="Z306">
        <f t="shared" si="42"/>
        <v>12.239498333333334</v>
      </c>
      <c r="AA306">
        <f t="shared" si="42"/>
        <v>12.165293333333334</v>
      </c>
      <c r="AB306">
        <f t="shared" si="42"/>
        <v>12.091088333333335</v>
      </c>
      <c r="AC306">
        <f t="shared" si="42"/>
        <v>12.016883333333334</v>
      </c>
      <c r="AD306">
        <f t="shared" si="40"/>
        <v>10.681193333333336</v>
      </c>
    </row>
    <row r="307" spans="2:30" x14ac:dyDescent="0.2">
      <c r="B307" s="7">
        <v>44876</v>
      </c>
      <c r="C307" s="8">
        <v>10.161111111111103</v>
      </c>
      <c r="D307">
        <f t="shared" si="36"/>
        <v>13.437286111111103</v>
      </c>
      <c r="E307">
        <f t="shared" si="39"/>
        <v>13.363081111111104</v>
      </c>
      <c r="F307">
        <f t="shared" si="39"/>
        <v>13.288876111111103</v>
      </c>
      <c r="G307">
        <f t="shared" si="39"/>
        <v>13.214671111111102</v>
      </c>
      <c r="H307">
        <f t="shared" si="39"/>
        <v>13.140466111111103</v>
      </c>
      <c r="I307">
        <f t="shared" si="39"/>
        <v>13.066261111111103</v>
      </c>
      <c r="J307">
        <f t="shared" si="39"/>
        <v>12.992056111111102</v>
      </c>
      <c r="K307">
        <f t="shared" si="39"/>
        <v>12.917851111111103</v>
      </c>
      <c r="L307">
        <f t="shared" si="39"/>
        <v>12.843646111111102</v>
      </c>
      <c r="M307">
        <f t="shared" si="39"/>
        <v>12.769441111111103</v>
      </c>
      <c r="N307">
        <f t="shared" si="39"/>
        <v>12.695236111111104</v>
      </c>
      <c r="O307">
        <f t="shared" si="39"/>
        <v>12.621031111111103</v>
      </c>
      <c r="P307">
        <f t="shared" si="39"/>
        <v>12.546826111111102</v>
      </c>
      <c r="Q307">
        <f t="shared" si="39"/>
        <v>12.472621111111103</v>
      </c>
      <c r="R307">
        <f t="shared" si="39"/>
        <v>12.398416111111104</v>
      </c>
      <c r="S307">
        <f t="shared" si="39"/>
        <v>12.324211111111103</v>
      </c>
      <c r="T307">
        <f t="shared" si="39"/>
        <v>12.250006111111102</v>
      </c>
      <c r="U307">
        <f t="shared" si="42"/>
        <v>12.175801111111102</v>
      </c>
      <c r="V307">
        <f t="shared" si="42"/>
        <v>12.101596111111103</v>
      </c>
      <c r="W307">
        <f t="shared" si="42"/>
        <v>12.027391111111102</v>
      </c>
      <c r="X307">
        <f t="shared" si="42"/>
        <v>11.953186111111101</v>
      </c>
      <c r="Y307">
        <f t="shared" si="42"/>
        <v>11.878981111111102</v>
      </c>
      <c r="Z307">
        <f t="shared" si="42"/>
        <v>11.804776111111103</v>
      </c>
      <c r="AA307">
        <f t="shared" si="42"/>
        <v>11.730571111111102</v>
      </c>
      <c r="AB307">
        <f t="shared" si="42"/>
        <v>11.656366111111101</v>
      </c>
      <c r="AC307">
        <f t="shared" si="42"/>
        <v>11.582161111111102</v>
      </c>
      <c r="AD307">
        <f t="shared" si="40"/>
        <v>10.246471111111102</v>
      </c>
    </row>
    <row r="308" spans="2:30" x14ac:dyDescent="0.2">
      <c r="B308" s="7">
        <v>44877</v>
      </c>
      <c r="C308" s="8">
        <v>9.4638888888888815</v>
      </c>
      <c r="D308">
        <f t="shared" si="36"/>
        <v>12.740063888888882</v>
      </c>
      <c r="E308">
        <f t="shared" si="39"/>
        <v>12.665858888888881</v>
      </c>
      <c r="F308">
        <f t="shared" si="39"/>
        <v>12.591653888888882</v>
      </c>
      <c r="G308">
        <f t="shared" si="39"/>
        <v>12.517448888888882</v>
      </c>
      <c r="H308">
        <f t="shared" si="39"/>
        <v>12.443243888888881</v>
      </c>
      <c r="I308">
        <f t="shared" si="39"/>
        <v>12.369038888888882</v>
      </c>
      <c r="J308">
        <f t="shared" si="39"/>
        <v>12.294833888888881</v>
      </c>
      <c r="K308">
        <f t="shared" si="39"/>
        <v>12.220628888888882</v>
      </c>
      <c r="L308">
        <f t="shared" si="39"/>
        <v>12.146423888888881</v>
      </c>
      <c r="M308">
        <f t="shared" si="39"/>
        <v>12.072218888888882</v>
      </c>
      <c r="N308">
        <f t="shared" si="39"/>
        <v>11.998013888888881</v>
      </c>
      <c r="O308">
        <f t="shared" si="39"/>
        <v>11.923808888888882</v>
      </c>
      <c r="P308">
        <f t="shared" si="39"/>
        <v>11.849603888888883</v>
      </c>
      <c r="Q308">
        <f t="shared" si="39"/>
        <v>11.775398888888882</v>
      </c>
      <c r="R308">
        <f t="shared" si="39"/>
        <v>11.701193888888881</v>
      </c>
      <c r="S308">
        <f t="shared" si="39"/>
        <v>11.626988888888881</v>
      </c>
      <c r="T308">
        <f t="shared" si="39"/>
        <v>11.552783888888882</v>
      </c>
      <c r="U308">
        <f t="shared" si="42"/>
        <v>11.478578888888881</v>
      </c>
      <c r="V308">
        <f t="shared" si="42"/>
        <v>11.40437388888888</v>
      </c>
      <c r="W308">
        <f t="shared" si="42"/>
        <v>11.330168888888881</v>
      </c>
      <c r="X308">
        <f t="shared" si="42"/>
        <v>11.255963888888882</v>
      </c>
      <c r="Y308">
        <f t="shared" si="42"/>
        <v>11.181758888888881</v>
      </c>
      <c r="Z308">
        <f t="shared" si="42"/>
        <v>11.10755388888888</v>
      </c>
      <c r="AA308">
        <f t="shared" si="42"/>
        <v>11.033348888888881</v>
      </c>
      <c r="AB308">
        <f t="shared" si="42"/>
        <v>10.959143888888882</v>
      </c>
      <c r="AC308">
        <f t="shared" si="42"/>
        <v>10.884938888888881</v>
      </c>
      <c r="AD308">
        <f t="shared" si="40"/>
        <v>9.5492488888888829</v>
      </c>
    </row>
    <row r="309" spans="2:30" x14ac:dyDescent="0.2">
      <c r="B309" s="7">
        <v>44878</v>
      </c>
      <c r="C309" s="8">
        <v>8.514583333333329</v>
      </c>
      <c r="D309">
        <f t="shared" si="36"/>
        <v>11.790758333333329</v>
      </c>
      <c r="E309">
        <f t="shared" si="39"/>
        <v>11.71655333333333</v>
      </c>
      <c r="F309">
        <f t="shared" si="39"/>
        <v>11.642348333333329</v>
      </c>
      <c r="G309">
        <f t="shared" si="39"/>
        <v>11.568143333333328</v>
      </c>
      <c r="H309">
        <f t="shared" si="39"/>
        <v>11.493938333333329</v>
      </c>
      <c r="I309">
        <f t="shared" si="39"/>
        <v>11.41973333333333</v>
      </c>
      <c r="J309">
        <f t="shared" si="39"/>
        <v>11.345528333333329</v>
      </c>
      <c r="K309">
        <f t="shared" si="39"/>
        <v>11.27132333333333</v>
      </c>
      <c r="L309">
        <f t="shared" si="39"/>
        <v>11.197118333333329</v>
      </c>
      <c r="M309">
        <f t="shared" si="39"/>
        <v>11.122913333333329</v>
      </c>
      <c r="N309">
        <f t="shared" si="39"/>
        <v>11.04870833333333</v>
      </c>
      <c r="O309">
        <f t="shared" si="39"/>
        <v>10.974503333333329</v>
      </c>
      <c r="P309">
        <f t="shared" si="39"/>
        <v>10.900298333333328</v>
      </c>
      <c r="Q309">
        <f t="shared" si="39"/>
        <v>10.826093333333329</v>
      </c>
      <c r="R309">
        <f t="shared" si="39"/>
        <v>10.75188833333333</v>
      </c>
      <c r="S309">
        <f t="shared" si="39"/>
        <v>10.677683333333329</v>
      </c>
      <c r="T309">
        <f t="shared" si="39"/>
        <v>10.603478333333328</v>
      </c>
      <c r="U309">
        <f t="shared" si="42"/>
        <v>10.529273333333329</v>
      </c>
      <c r="V309">
        <f t="shared" si="42"/>
        <v>10.45506833333333</v>
      </c>
      <c r="W309">
        <f t="shared" si="42"/>
        <v>10.380863333333329</v>
      </c>
      <c r="X309">
        <f t="shared" si="42"/>
        <v>10.306658333333328</v>
      </c>
      <c r="Y309">
        <f t="shared" si="42"/>
        <v>10.232453333333329</v>
      </c>
      <c r="Z309">
        <f t="shared" si="42"/>
        <v>10.158248333333329</v>
      </c>
      <c r="AA309">
        <f t="shared" si="42"/>
        <v>10.084043333333328</v>
      </c>
      <c r="AB309">
        <f t="shared" si="42"/>
        <v>10.009838333333327</v>
      </c>
      <c r="AC309">
        <f t="shared" si="42"/>
        <v>9.9356333333333282</v>
      </c>
      <c r="AD309">
        <f t="shared" si="40"/>
        <v>8.5999433333333286</v>
      </c>
    </row>
    <row r="310" spans="2:30" x14ac:dyDescent="0.2">
      <c r="B310" s="7">
        <v>44879</v>
      </c>
      <c r="C310" s="8">
        <v>6.2270833333333293</v>
      </c>
      <c r="D310">
        <f t="shared" si="36"/>
        <v>9.5032583333333296</v>
      </c>
      <c r="E310">
        <f t="shared" si="39"/>
        <v>9.4290533333333286</v>
      </c>
      <c r="F310">
        <f t="shared" si="39"/>
        <v>9.3548483333333294</v>
      </c>
      <c r="G310">
        <f t="shared" si="39"/>
        <v>9.2806433333333302</v>
      </c>
      <c r="H310">
        <f t="shared" si="39"/>
        <v>9.2064383333333293</v>
      </c>
      <c r="I310">
        <f t="shared" si="39"/>
        <v>9.1322333333333301</v>
      </c>
      <c r="J310">
        <f t="shared" si="39"/>
        <v>9.0580283333333291</v>
      </c>
      <c r="K310">
        <f t="shared" si="39"/>
        <v>8.9838233333333299</v>
      </c>
      <c r="L310">
        <f t="shared" si="39"/>
        <v>8.909618333333329</v>
      </c>
      <c r="M310">
        <f t="shared" si="39"/>
        <v>8.8354133333333298</v>
      </c>
      <c r="N310">
        <f t="shared" si="39"/>
        <v>8.7612083333333288</v>
      </c>
      <c r="O310">
        <f t="shared" si="39"/>
        <v>8.6870033333333296</v>
      </c>
      <c r="P310">
        <f t="shared" si="39"/>
        <v>8.6127983333333304</v>
      </c>
      <c r="Q310">
        <f t="shared" si="39"/>
        <v>8.5385933333333295</v>
      </c>
      <c r="R310">
        <f t="shared" si="39"/>
        <v>8.4643883333333285</v>
      </c>
      <c r="S310">
        <f t="shared" si="39"/>
        <v>8.3901833333333293</v>
      </c>
      <c r="T310">
        <f t="shared" si="39"/>
        <v>8.3159783333333301</v>
      </c>
      <c r="U310">
        <f t="shared" si="42"/>
        <v>8.2417733333333292</v>
      </c>
      <c r="V310">
        <f t="shared" si="42"/>
        <v>8.1675683333333282</v>
      </c>
      <c r="W310">
        <f t="shared" si="42"/>
        <v>8.093363333333329</v>
      </c>
      <c r="X310">
        <f t="shared" si="42"/>
        <v>8.0191583333333298</v>
      </c>
      <c r="Y310">
        <f t="shared" si="42"/>
        <v>7.9449533333333289</v>
      </c>
      <c r="Z310">
        <f t="shared" si="42"/>
        <v>7.8707483333333288</v>
      </c>
      <c r="AA310">
        <f t="shared" si="42"/>
        <v>7.7965433333333287</v>
      </c>
      <c r="AB310">
        <f t="shared" si="42"/>
        <v>7.7223383333333286</v>
      </c>
      <c r="AC310">
        <f t="shared" si="42"/>
        <v>7.6481333333333286</v>
      </c>
      <c r="AD310">
        <f t="shared" si="40"/>
        <v>6.3124433333333299</v>
      </c>
    </row>
    <row r="311" spans="2:30" x14ac:dyDescent="0.2">
      <c r="B311" s="7">
        <v>44880</v>
      </c>
      <c r="C311" s="8">
        <v>7.9409722222222188</v>
      </c>
      <c r="D311">
        <f t="shared" si="36"/>
        <v>11.21714722222222</v>
      </c>
      <c r="E311">
        <f t="shared" si="39"/>
        <v>11.142942222222219</v>
      </c>
      <c r="F311">
        <f t="shared" si="39"/>
        <v>11.068737222222218</v>
      </c>
      <c r="G311">
        <f t="shared" si="39"/>
        <v>10.994532222222219</v>
      </c>
      <c r="H311">
        <f t="shared" si="39"/>
        <v>10.92032722222222</v>
      </c>
      <c r="I311">
        <f t="shared" si="39"/>
        <v>10.846122222222219</v>
      </c>
      <c r="J311">
        <f t="shared" si="39"/>
        <v>10.771917222222219</v>
      </c>
      <c r="K311">
        <f t="shared" si="39"/>
        <v>10.697712222222219</v>
      </c>
      <c r="L311">
        <f t="shared" si="39"/>
        <v>10.623507222222219</v>
      </c>
      <c r="M311">
        <f t="shared" si="39"/>
        <v>10.549302222222218</v>
      </c>
      <c r="N311">
        <f t="shared" si="39"/>
        <v>10.475097222222219</v>
      </c>
      <c r="O311">
        <f t="shared" si="39"/>
        <v>10.400892222222218</v>
      </c>
      <c r="P311">
        <f t="shared" si="39"/>
        <v>10.326687222222219</v>
      </c>
      <c r="Q311">
        <f t="shared" si="39"/>
        <v>10.25248222222222</v>
      </c>
      <c r="R311">
        <f t="shared" si="39"/>
        <v>10.178277222222219</v>
      </c>
      <c r="S311">
        <f t="shared" si="39"/>
        <v>10.104072222222218</v>
      </c>
      <c r="T311">
        <f t="shared" si="39"/>
        <v>10.029867222222219</v>
      </c>
      <c r="U311">
        <f t="shared" si="42"/>
        <v>9.9556622222222195</v>
      </c>
      <c r="V311">
        <f t="shared" si="42"/>
        <v>9.8814572222222186</v>
      </c>
      <c r="W311">
        <f t="shared" si="42"/>
        <v>9.8072522222222176</v>
      </c>
      <c r="X311">
        <f t="shared" si="42"/>
        <v>9.7330472222222184</v>
      </c>
      <c r="Y311">
        <f t="shared" si="42"/>
        <v>9.6588422222222192</v>
      </c>
      <c r="Z311">
        <f t="shared" si="42"/>
        <v>9.5846372222222183</v>
      </c>
      <c r="AA311">
        <f t="shared" si="42"/>
        <v>9.5104322222222173</v>
      </c>
      <c r="AB311">
        <f t="shared" si="42"/>
        <v>9.4362272222222181</v>
      </c>
      <c r="AC311">
        <f t="shared" si="42"/>
        <v>9.3620222222222189</v>
      </c>
      <c r="AD311">
        <f t="shared" si="40"/>
        <v>8.0263322222222193</v>
      </c>
    </row>
    <row r="312" spans="2:30" x14ac:dyDescent="0.2">
      <c r="B312" s="7">
        <v>44881</v>
      </c>
      <c r="C312" s="8">
        <v>9.3798611111111114</v>
      </c>
      <c r="D312">
        <f t="shared" si="36"/>
        <v>12.656036111111112</v>
      </c>
      <c r="E312">
        <f t="shared" si="39"/>
        <v>12.581831111111111</v>
      </c>
      <c r="F312">
        <f t="shared" si="39"/>
        <v>12.507626111111112</v>
      </c>
      <c r="G312">
        <f t="shared" si="39"/>
        <v>12.433421111111112</v>
      </c>
      <c r="H312">
        <f t="shared" ref="G312:T330" si="43">(-1.4841*H$3+3.6472)+$C312</f>
        <v>12.359216111111111</v>
      </c>
      <c r="I312">
        <f t="shared" si="43"/>
        <v>12.285011111111112</v>
      </c>
      <c r="J312">
        <f t="shared" si="43"/>
        <v>12.210806111111111</v>
      </c>
      <c r="K312">
        <f t="shared" si="43"/>
        <v>12.136601111111112</v>
      </c>
      <c r="L312">
        <f t="shared" si="43"/>
        <v>12.062396111111111</v>
      </c>
      <c r="M312">
        <f t="shared" si="43"/>
        <v>11.988191111111112</v>
      </c>
      <c r="N312">
        <f t="shared" si="43"/>
        <v>11.913986111111111</v>
      </c>
      <c r="O312">
        <f t="shared" si="43"/>
        <v>11.839781111111112</v>
      </c>
      <c r="P312">
        <f t="shared" si="43"/>
        <v>11.765576111111113</v>
      </c>
      <c r="Q312">
        <f t="shared" si="43"/>
        <v>11.691371111111112</v>
      </c>
      <c r="R312">
        <f t="shared" si="43"/>
        <v>11.617166111111111</v>
      </c>
      <c r="S312">
        <f t="shared" si="43"/>
        <v>11.542961111111111</v>
      </c>
      <c r="T312">
        <f t="shared" si="43"/>
        <v>11.468756111111112</v>
      </c>
      <c r="U312">
        <f t="shared" si="42"/>
        <v>11.394551111111111</v>
      </c>
      <c r="V312">
        <f t="shared" si="42"/>
        <v>11.32034611111111</v>
      </c>
      <c r="W312">
        <f t="shared" si="42"/>
        <v>11.246141111111111</v>
      </c>
      <c r="X312">
        <f t="shared" si="42"/>
        <v>11.171936111111112</v>
      </c>
      <c r="Y312">
        <f t="shared" si="42"/>
        <v>11.097731111111111</v>
      </c>
      <c r="Z312">
        <f t="shared" si="42"/>
        <v>11.02352611111111</v>
      </c>
      <c r="AA312">
        <f t="shared" si="42"/>
        <v>10.949321111111111</v>
      </c>
      <c r="AB312">
        <f t="shared" si="42"/>
        <v>10.875116111111112</v>
      </c>
      <c r="AC312">
        <f t="shared" si="42"/>
        <v>10.800911111111111</v>
      </c>
      <c r="AD312">
        <f t="shared" si="40"/>
        <v>9.4652211111111129</v>
      </c>
    </row>
    <row r="313" spans="2:30" x14ac:dyDescent="0.2">
      <c r="B313" s="7">
        <v>44882</v>
      </c>
      <c r="C313" s="8">
        <v>9.0694444444444358</v>
      </c>
      <c r="D313">
        <f t="shared" si="36"/>
        <v>12.345619444444436</v>
      </c>
      <c r="E313">
        <f t="shared" si="39"/>
        <v>12.271414444444435</v>
      </c>
      <c r="F313">
        <f t="shared" si="39"/>
        <v>12.197209444444436</v>
      </c>
      <c r="G313">
        <f t="shared" si="43"/>
        <v>12.123004444444437</v>
      </c>
      <c r="H313">
        <f t="shared" si="43"/>
        <v>12.048799444444436</v>
      </c>
      <c r="I313">
        <f t="shared" si="43"/>
        <v>11.974594444444437</v>
      </c>
      <c r="J313">
        <f t="shared" si="43"/>
        <v>11.900389444444436</v>
      </c>
      <c r="K313">
        <f t="shared" si="43"/>
        <v>11.826184444444436</v>
      </c>
      <c r="L313">
        <f t="shared" si="43"/>
        <v>11.751979444444435</v>
      </c>
      <c r="M313">
        <f t="shared" si="43"/>
        <v>11.677774444444436</v>
      </c>
      <c r="N313">
        <f t="shared" si="43"/>
        <v>11.603569444444435</v>
      </c>
      <c r="O313">
        <f t="shared" si="43"/>
        <v>11.529364444444436</v>
      </c>
      <c r="P313">
        <f t="shared" si="43"/>
        <v>11.455159444444437</v>
      </c>
      <c r="Q313">
        <f t="shared" si="43"/>
        <v>11.380954444444436</v>
      </c>
      <c r="R313">
        <f t="shared" si="43"/>
        <v>11.306749444444435</v>
      </c>
      <c r="S313">
        <f t="shared" si="43"/>
        <v>11.232544444444436</v>
      </c>
      <c r="T313">
        <f t="shared" si="43"/>
        <v>11.158339444444437</v>
      </c>
      <c r="U313">
        <f t="shared" si="42"/>
        <v>11.084134444444436</v>
      </c>
      <c r="V313">
        <f t="shared" si="42"/>
        <v>11.009929444444435</v>
      </c>
      <c r="W313">
        <f t="shared" si="42"/>
        <v>10.935724444444435</v>
      </c>
      <c r="X313">
        <f t="shared" si="42"/>
        <v>10.861519444444436</v>
      </c>
      <c r="Y313">
        <f t="shared" si="42"/>
        <v>10.787314444444435</v>
      </c>
      <c r="Z313">
        <f t="shared" si="42"/>
        <v>10.713109444444434</v>
      </c>
      <c r="AA313">
        <f t="shared" si="42"/>
        <v>10.638904444444435</v>
      </c>
      <c r="AB313">
        <f t="shared" si="42"/>
        <v>10.564699444444436</v>
      </c>
      <c r="AC313">
        <f t="shared" si="42"/>
        <v>10.490494444444435</v>
      </c>
      <c r="AD313">
        <f t="shared" si="40"/>
        <v>9.1548044444444372</v>
      </c>
    </row>
    <row r="314" spans="2:30" x14ac:dyDescent="0.2">
      <c r="B314" s="7">
        <v>44883</v>
      </c>
      <c r="C314" s="8">
        <v>7.8020833333333304</v>
      </c>
      <c r="D314">
        <f t="shared" si="36"/>
        <v>11.078258333333331</v>
      </c>
      <c r="E314">
        <f t="shared" si="39"/>
        <v>11.004053333333331</v>
      </c>
      <c r="F314">
        <f t="shared" si="39"/>
        <v>10.929848333333331</v>
      </c>
      <c r="G314">
        <f t="shared" si="43"/>
        <v>10.85564333333333</v>
      </c>
      <c r="H314">
        <f t="shared" si="43"/>
        <v>10.78143833333333</v>
      </c>
      <c r="I314">
        <f t="shared" si="43"/>
        <v>10.707233333333331</v>
      </c>
      <c r="J314">
        <f t="shared" si="43"/>
        <v>10.63302833333333</v>
      </c>
      <c r="K314">
        <f t="shared" si="43"/>
        <v>10.558823333333331</v>
      </c>
      <c r="L314">
        <f t="shared" si="43"/>
        <v>10.48461833333333</v>
      </c>
      <c r="M314">
        <f t="shared" si="43"/>
        <v>10.410413333333331</v>
      </c>
      <c r="N314">
        <f t="shared" si="43"/>
        <v>10.336208333333332</v>
      </c>
      <c r="O314">
        <f t="shared" si="43"/>
        <v>10.262003333333331</v>
      </c>
      <c r="P314">
        <f t="shared" si="43"/>
        <v>10.18779833333333</v>
      </c>
      <c r="Q314">
        <f t="shared" si="43"/>
        <v>10.113593333333331</v>
      </c>
      <c r="R314">
        <f t="shared" si="43"/>
        <v>10.039388333333331</v>
      </c>
      <c r="S314">
        <f t="shared" si="43"/>
        <v>9.9651833333333304</v>
      </c>
      <c r="T314">
        <f t="shared" si="43"/>
        <v>9.8909783333333294</v>
      </c>
      <c r="U314">
        <f t="shared" si="42"/>
        <v>9.8167733333333302</v>
      </c>
      <c r="V314">
        <f t="shared" si="42"/>
        <v>9.7425683333333311</v>
      </c>
      <c r="W314">
        <f t="shared" si="42"/>
        <v>9.6683633333333301</v>
      </c>
      <c r="X314">
        <f t="shared" si="42"/>
        <v>9.5941583333333291</v>
      </c>
      <c r="Y314">
        <f t="shared" si="42"/>
        <v>9.5199533333333299</v>
      </c>
      <c r="Z314">
        <f t="shared" si="42"/>
        <v>9.4457483333333307</v>
      </c>
      <c r="AA314">
        <f t="shared" si="42"/>
        <v>9.3715433333333298</v>
      </c>
      <c r="AB314">
        <f t="shared" si="42"/>
        <v>9.2973383333333288</v>
      </c>
      <c r="AC314">
        <f t="shared" si="42"/>
        <v>9.2231333333333296</v>
      </c>
      <c r="AD314">
        <f t="shared" si="40"/>
        <v>7.8874433333333309</v>
      </c>
    </row>
    <row r="315" spans="2:30" x14ac:dyDescent="0.2">
      <c r="B315" s="7">
        <v>44884</v>
      </c>
      <c r="C315" s="8">
        <v>5.0624999999999991</v>
      </c>
      <c r="D315">
        <f t="shared" si="36"/>
        <v>8.3386749999999985</v>
      </c>
      <c r="E315">
        <f t="shared" si="39"/>
        <v>8.2644699999999993</v>
      </c>
      <c r="F315">
        <f t="shared" si="39"/>
        <v>8.1902650000000001</v>
      </c>
      <c r="G315">
        <f t="shared" si="43"/>
        <v>8.1160599999999992</v>
      </c>
      <c r="H315">
        <f t="shared" si="43"/>
        <v>8.041855</v>
      </c>
      <c r="I315">
        <f t="shared" si="43"/>
        <v>7.967649999999999</v>
      </c>
      <c r="J315">
        <f t="shared" si="43"/>
        <v>7.8934449999999998</v>
      </c>
      <c r="K315">
        <f t="shared" si="43"/>
        <v>7.8192399999999989</v>
      </c>
      <c r="L315">
        <f t="shared" si="43"/>
        <v>7.7450349999999997</v>
      </c>
      <c r="M315">
        <f t="shared" si="43"/>
        <v>7.6708299999999987</v>
      </c>
      <c r="N315">
        <f t="shared" si="43"/>
        <v>7.5966249999999995</v>
      </c>
      <c r="O315">
        <f t="shared" si="43"/>
        <v>7.5224199999999994</v>
      </c>
      <c r="P315">
        <f t="shared" si="43"/>
        <v>7.4482149999999994</v>
      </c>
      <c r="Q315">
        <f t="shared" si="43"/>
        <v>7.3740099999999993</v>
      </c>
      <c r="R315">
        <f t="shared" si="43"/>
        <v>7.2998049999999992</v>
      </c>
      <c r="S315">
        <f t="shared" si="43"/>
        <v>7.2255999999999991</v>
      </c>
      <c r="T315">
        <f t="shared" si="43"/>
        <v>7.1513949999999991</v>
      </c>
      <c r="U315">
        <f t="shared" si="42"/>
        <v>7.077189999999999</v>
      </c>
      <c r="V315">
        <f t="shared" si="42"/>
        <v>7.0029849999999989</v>
      </c>
      <c r="W315">
        <f t="shared" si="42"/>
        <v>6.9287799999999988</v>
      </c>
      <c r="X315">
        <f t="shared" si="42"/>
        <v>6.8545749999999988</v>
      </c>
      <c r="Y315">
        <f t="shared" si="42"/>
        <v>6.7803699999999987</v>
      </c>
      <c r="Z315">
        <f t="shared" si="42"/>
        <v>6.7061649999999986</v>
      </c>
      <c r="AA315">
        <f t="shared" si="42"/>
        <v>6.6319599999999985</v>
      </c>
      <c r="AB315">
        <f t="shared" si="42"/>
        <v>6.5577549999999984</v>
      </c>
      <c r="AC315">
        <f t="shared" si="42"/>
        <v>6.4835499999999984</v>
      </c>
      <c r="AD315">
        <f t="shared" si="40"/>
        <v>5.1478599999999997</v>
      </c>
    </row>
    <row r="316" spans="2:30" x14ac:dyDescent="0.2">
      <c r="B316" s="7">
        <v>44885</v>
      </c>
      <c r="C316" s="8">
        <v>1.9444444444444453</v>
      </c>
      <c r="D316">
        <f t="shared" si="36"/>
        <v>5.2206194444444458</v>
      </c>
      <c r="E316">
        <f t="shared" si="39"/>
        <v>5.1464144444444457</v>
      </c>
      <c r="F316">
        <f t="shared" si="39"/>
        <v>5.0722094444444457</v>
      </c>
      <c r="G316">
        <f t="shared" si="43"/>
        <v>4.9980044444444456</v>
      </c>
      <c r="H316">
        <f t="shared" si="43"/>
        <v>4.9237994444444455</v>
      </c>
      <c r="I316">
        <f t="shared" si="43"/>
        <v>4.8495944444444454</v>
      </c>
      <c r="J316">
        <f t="shared" si="43"/>
        <v>4.7753894444444454</v>
      </c>
      <c r="K316">
        <f t="shared" si="43"/>
        <v>4.7011844444444453</v>
      </c>
      <c r="L316">
        <f t="shared" si="43"/>
        <v>4.6269794444444452</v>
      </c>
      <c r="M316">
        <f t="shared" si="43"/>
        <v>4.5527744444444451</v>
      </c>
      <c r="N316">
        <f t="shared" si="43"/>
        <v>4.4785694444444459</v>
      </c>
      <c r="O316">
        <f t="shared" si="43"/>
        <v>4.4043644444444459</v>
      </c>
      <c r="P316">
        <f t="shared" si="43"/>
        <v>4.3301594444444458</v>
      </c>
      <c r="Q316">
        <f t="shared" si="43"/>
        <v>4.2559544444444457</v>
      </c>
      <c r="R316">
        <f t="shared" si="43"/>
        <v>4.1817494444444456</v>
      </c>
      <c r="S316">
        <f t="shared" si="43"/>
        <v>4.1075444444444456</v>
      </c>
      <c r="T316">
        <f t="shared" si="43"/>
        <v>4.0333394444444455</v>
      </c>
      <c r="U316">
        <f t="shared" si="42"/>
        <v>3.9591344444444454</v>
      </c>
      <c r="V316">
        <f t="shared" si="42"/>
        <v>3.8849294444444453</v>
      </c>
      <c r="W316">
        <f t="shared" si="42"/>
        <v>3.8107244444444452</v>
      </c>
      <c r="X316">
        <f t="shared" si="42"/>
        <v>3.7365194444444452</v>
      </c>
      <c r="Y316">
        <f t="shared" si="42"/>
        <v>3.6623144444444451</v>
      </c>
      <c r="Z316">
        <f t="shared" si="42"/>
        <v>3.588109444444445</v>
      </c>
      <c r="AA316">
        <f t="shared" si="42"/>
        <v>3.5139044444444449</v>
      </c>
      <c r="AB316">
        <f t="shared" si="42"/>
        <v>3.4396994444444449</v>
      </c>
      <c r="AC316">
        <f t="shared" si="42"/>
        <v>3.3654944444444448</v>
      </c>
      <c r="AD316">
        <f t="shared" si="40"/>
        <v>2.0298044444444461</v>
      </c>
    </row>
    <row r="317" spans="2:30" x14ac:dyDescent="0.2">
      <c r="B317" s="7">
        <v>44886</v>
      </c>
      <c r="C317" s="8">
        <v>4.4437500000000023</v>
      </c>
      <c r="D317">
        <f t="shared" si="36"/>
        <v>7.7199250000000026</v>
      </c>
      <c r="E317">
        <f t="shared" si="39"/>
        <v>7.6457200000000025</v>
      </c>
      <c r="F317">
        <f t="shared" si="39"/>
        <v>7.5715150000000024</v>
      </c>
      <c r="G317">
        <f t="shared" si="43"/>
        <v>7.4973100000000024</v>
      </c>
      <c r="H317">
        <f t="shared" si="43"/>
        <v>7.4231050000000032</v>
      </c>
      <c r="I317">
        <f t="shared" si="43"/>
        <v>7.3489000000000022</v>
      </c>
      <c r="J317">
        <f t="shared" si="43"/>
        <v>7.274695000000003</v>
      </c>
      <c r="K317">
        <f t="shared" si="43"/>
        <v>7.2004900000000021</v>
      </c>
      <c r="L317">
        <f t="shared" si="43"/>
        <v>7.1262850000000029</v>
      </c>
      <c r="M317">
        <f t="shared" si="43"/>
        <v>7.0520800000000019</v>
      </c>
      <c r="N317">
        <f t="shared" si="43"/>
        <v>6.9778750000000027</v>
      </c>
      <c r="O317">
        <f t="shared" si="43"/>
        <v>6.9036700000000026</v>
      </c>
      <c r="P317">
        <f t="shared" si="43"/>
        <v>6.8294650000000026</v>
      </c>
      <c r="Q317">
        <f t="shared" si="43"/>
        <v>6.7552600000000025</v>
      </c>
      <c r="R317">
        <f t="shared" si="43"/>
        <v>6.6810550000000024</v>
      </c>
      <c r="S317">
        <f t="shared" si="43"/>
        <v>6.6068500000000023</v>
      </c>
      <c r="T317">
        <f t="shared" si="43"/>
        <v>6.5326450000000023</v>
      </c>
      <c r="U317">
        <f t="shared" si="42"/>
        <v>6.4584400000000022</v>
      </c>
      <c r="V317">
        <f t="shared" si="42"/>
        <v>6.3842350000000021</v>
      </c>
      <c r="W317">
        <f t="shared" si="42"/>
        <v>6.310030000000002</v>
      </c>
      <c r="X317">
        <f t="shared" si="42"/>
        <v>6.2358250000000019</v>
      </c>
      <c r="Y317">
        <f t="shared" si="42"/>
        <v>6.1616200000000019</v>
      </c>
      <c r="Z317">
        <f t="shared" si="42"/>
        <v>6.0874150000000018</v>
      </c>
      <c r="AA317">
        <f t="shared" si="42"/>
        <v>6.0132100000000017</v>
      </c>
      <c r="AB317">
        <f t="shared" si="42"/>
        <v>5.9390050000000016</v>
      </c>
      <c r="AC317">
        <f t="shared" si="42"/>
        <v>5.8648000000000016</v>
      </c>
      <c r="AD317">
        <f t="shared" si="40"/>
        <v>4.5291100000000029</v>
      </c>
    </row>
    <row r="318" spans="2:30" x14ac:dyDescent="0.2">
      <c r="B318" s="7">
        <v>44887</v>
      </c>
      <c r="C318" s="8">
        <v>5.4868055555555602</v>
      </c>
      <c r="D318">
        <f t="shared" si="36"/>
        <v>8.7629805555555613</v>
      </c>
      <c r="E318">
        <f t="shared" si="39"/>
        <v>8.6887755555555604</v>
      </c>
      <c r="F318">
        <f t="shared" si="39"/>
        <v>8.6145705555555594</v>
      </c>
      <c r="G318">
        <f t="shared" si="43"/>
        <v>8.5403655555555602</v>
      </c>
      <c r="H318">
        <f t="shared" si="43"/>
        <v>8.466160555555561</v>
      </c>
      <c r="I318">
        <f t="shared" si="43"/>
        <v>8.3919555555555601</v>
      </c>
      <c r="J318">
        <f t="shared" si="43"/>
        <v>8.3177505555555609</v>
      </c>
      <c r="K318">
        <f t="shared" si="43"/>
        <v>8.2435455555555599</v>
      </c>
      <c r="L318">
        <f t="shared" si="43"/>
        <v>8.1693405555555607</v>
      </c>
      <c r="M318">
        <f t="shared" si="43"/>
        <v>8.0951355555555597</v>
      </c>
      <c r="N318">
        <f t="shared" si="43"/>
        <v>8.0209305555555606</v>
      </c>
      <c r="O318">
        <f t="shared" si="43"/>
        <v>7.9467255555555605</v>
      </c>
      <c r="P318">
        <f t="shared" si="43"/>
        <v>7.8725205555555604</v>
      </c>
      <c r="Q318">
        <f t="shared" si="43"/>
        <v>7.7983155555555603</v>
      </c>
      <c r="R318">
        <f t="shared" si="43"/>
        <v>7.7241105555555603</v>
      </c>
      <c r="S318">
        <f t="shared" si="43"/>
        <v>7.6499055555555602</v>
      </c>
      <c r="T318">
        <f t="shared" si="43"/>
        <v>7.5757005555555601</v>
      </c>
      <c r="U318">
        <f t="shared" si="42"/>
        <v>7.50149555555556</v>
      </c>
      <c r="V318">
        <f t="shared" si="42"/>
        <v>7.4272905555555599</v>
      </c>
      <c r="W318">
        <f t="shared" si="42"/>
        <v>7.3530855555555599</v>
      </c>
      <c r="X318">
        <f t="shared" si="42"/>
        <v>7.2788805555555598</v>
      </c>
      <c r="Y318">
        <f t="shared" si="42"/>
        <v>7.2046755555555597</v>
      </c>
      <c r="Z318">
        <f t="shared" si="42"/>
        <v>7.1304705555555596</v>
      </c>
      <c r="AA318">
        <f t="shared" si="42"/>
        <v>7.0562655555555596</v>
      </c>
      <c r="AB318">
        <f t="shared" si="42"/>
        <v>6.9820605555555595</v>
      </c>
      <c r="AC318">
        <f t="shared" si="42"/>
        <v>6.9078555555555594</v>
      </c>
      <c r="AD318">
        <f t="shared" si="40"/>
        <v>5.5721655555555607</v>
      </c>
    </row>
    <row r="319" spans="2:30" x14ac:dyDescent="0.2">
      <c r="B319" s="7">
        <v>44888</v>
      </c>
      <c r="C319" s="8">
        <v>6.6763888888888845</v>
      </c>
      <c r="D319">
        <f t="shared" si="36"/>
        <v>9.9525638888888857</v>
      </c>
      <c r="E319">
        <f t="shared" si="39"/>
        <v>9.8783588888888847</v>
      </c>
      <c r="F319">
        <f t="shared" si="39"/>
        <v>9.8041538888888837</v>
      </c>
      <c r="G319">
        <f t="shared" si="43"/>
        <v>9.7299488888888845</v>
      </c>
      <c r="H319">
        <f t="shared" si="43"/>
        <v>9.6557438888888854</v>
      </c>
      <c r="I319">
        <f t="shared" si="43"/>
        <v>9.5815388888888844</v>
      </c>
      <c r="J319">
        <f t="shared" si="43"/>
        <v>9.5073338888888852</v>
      </c>
      <c r="K319">
        <f t="shared" si="43"/>
        <v>9.4331288888888842</v>
      </c>
      <c r="L319">
        <f t="shared" si="43"/>
        <v>9.358923888888885</v>
      </c>
      <c r="M319">
        <f t="shared" si="43"/>
        <v>9.2847188888888841</v>
      </c>
      <c r="N319">
        <f t="shared" si="43"/>
        <v>9.2105138888888849</v>
      </c>
      <c r="O319">
        <f t="shared" si="43"/>
        <v>9.1363088888888839</v>
      </c>
      <c r="P319">
        <f t="shared" si="43"/>
        <v>9.0621038888888847</v>
      </c>
      <c r="Q319">
        <f t="shared" si="43"/>
        <v>8.9878988888888856</v>
      </c>
      <c r="R319">
        <f t="shared" si="43"/>
        <v>8.9136938888888846</v>
      </c>
      <c r="S319">
        <f t="shared" si="43"/>
        <v>8.8394888888888836</v>
      </c>
      <c r="T319">
        <f t="shared" si="43"/>
        <v>8.7652838888888844</v>
      </c>
      <c r="U319">
        <f t="shared" si="42"/>
        <v>8.6910788888888852</v>
      </c>
      <c r="V319">
        <f t="shared" si="42"/>
        <v>8.6168738888888843</v>
      </c>
      <c r="W319">
        <f t="shared" si="42"/>
        <v>8.5426688888888833</v>
      </c>
      <c r="X319">
        <f t="shared" si="42"/>
        <v>8.4684638888888841</v>
      </c>
      <c r="Y319">
        <f t="shared" si="42"/>
        <v>8.3942588888888849</v>
      </c>
      <c r="Z319">
        <f t="shared" si="42"/>
        <v>8.320053888888884</v>
      </c>
      <c r="AA319">
        <f t="shared" si="42"/>
        <v>8.245848888888883</v>
      </c>
      <c r="AB319">
        <f t="shared" si="42"/>
        <v>8.1716438888888838</v>
      </c>
      <c r="AC319">
        <f t="shared" si="42"/>
        <v>8.0974388888888846</v>
      </c>
      <c r="AD319">
        <f t="shared" si="40"/>
        <v>6.761748888888885</v>
      </c>
    </row>
    <row r="320" spans="2:30" x14ac:dyDescent="0.2">
      <c r="B320" s="7">
        <v>44889</v>
      </c>
      <c r="C320" s="8">
        <v>6.9555555555555548</v>
      </c>
      <c r="D320">
        <f t="shared" si="36"/>
        <v>10.231730555555554</v>
      </c>
      <c r="E320">
        <f t="shared" si="39"/>
        <v>10.157525555555555</v>
      </c>
      <c r="F320">
        <f t="shared" si="39"/>
        <v>10.083320555555556</v>
      </c>
      <c r="G320">
        <f t="shared" si="43"/>
        <v>10.009115555555555</v>
      </c>
      <c r="H320">
        <f t="shared" si="43"/>
        <v>9.9349105555555557</v>
      </c>
      <c r="I320">
        <f t="shared" si="43"/>
        <v>9.8607055555555547</v>
      </c>
      <c r="J320">
        <f t="shared" si="43"/>
        <v>9.7865005555555555</v>
      </c>
      <c r="K320">
        <f t="shared" si="43"/>
        <v>9.7122955555555546</v>
      </c>
      <c r="L320">
        <f t="shared" si="43"/>
        <v>9.6380905555555554</v>
      </c>
      <c r="M320">
        <f t="shared" si="43"/>
        <v>9.5638855555555544</v>
      </c>
      <c r="N320">
        <f t="shared" si="43"/>
        <v>9.4896805555555552</v>
      </c>
      <c r="O320">
        <f t="shared" si="43"/>
        <v>9.415475555555556</v>
      </c>
      <c r="P320">
        <f t="shared" si="43"/>
        <v>9.3412705555555551</v>
      </c>
      <c r="Q320">
        <f t="shared" si="43"/>
        <v>9.2670655555555541</v>
      </c>
      <c r="R320">
        <f t="shared" si="43"/>
        <v>9.1928605555555549</v>
      </c>
      <c r="S320">
        <f t="shared" si="43"/>
        <v>9.1186555555555557</v>
      </c>
      <c r="T320">
        <f t="shared" si="43"/>
        <v>9.0444505555555548</v>
      </c>
      <c r="U320">
        <f t="shared" si="42"/>
        <v>8.9702455555555538</v>
      </c>
      <c r="V320">
        <f t="shared" si="42"/>
        <v>8.8960405555555546</v>
      </c>
      <c r="W320">
        <f t="shared" si="42"/>
        <v>8.8218355555555554</v>
      </c>
      <c r="X320">
        <f t="shared" si="42"/>
        <v>8.7476305555555545</v>
      </c>
      <c r="Y320">
        <f t="shared" si="42"/>
        <v>8.6734255555555535</v>
      </c>
      <c r="Z320">
        <f t="shared" si="42"/>
        <v>8.5992205555555543</v>
      </c>
      <c r="AA320">
        <f t="shared" si="42"/>
        <v>8.5250155555555551</v>
      </c>
      <c r="AB320">
        <f t="shared" si="42"/>
        <v>8.4508105555555542</v>
      </c>
      <c r="AC320">
        <f t="shared" si="42"/>
        <v>8.3766055555555532</v>
      </c>
      <c r="AD320">
        <f t="shared" si="40"/>
        <v>7.0409155555555554</v>
      </c>
    </row>
    <row r="321" spans="2:30" x14ac:dyDescent="0.2">
      <c r="B321" s="7">
        <v>44890</v>
      </c>
      <c r="C321" s="8">
        <v>7.3034722222222239</v>
      </c>
      <c r="D321">
        <f t="shared" si="36"/>
        <v>10.579647222222224</v>
      </c>
      <c r="E321">
        <f t="shared" si="39"/>
        <v>10.505442222222225</v>
      </c>
      <c r="F321">
        <f t="shared" si="39"/>
        <v>10.431237222222224</v>
      </c>
      <c r="G321">
        <f t="shared" si="43"/>
        <v>10.357032222222223</v>
      </c>
      <c r="H321">
        <f t="shared" si="43"/>
        <v>10.282827222222224</v>
      </c>
      <c r="I321">
        <f t="shared" si="43"/>
        <v>10.208622222222225</v>
      </c>
      <c r="J321">
        <f t="shared" si="43"/>
        <v>10.134417222222224</v>
      </c>
      <c r="K321">
        <f t="shared" si="43"/>
        <v>10.060212222222225</v>
      </c>
      <c r="L321">
        <f t="shared" si="43"/>
        <v>9.9860072222222236</v>
      </c>
      <c r="M321">
        <f t="shared" si="43"/>
        <v>9.9118022222222244</v>
      </c>
      <c r="N321">
        <f t="shared" si="43"/>
        <v>9.8375972222222252</v>
      </c>
      <c r="O321">
        <f t="shared" si="43"/>
        <v>9.7633922222222242</v>
      </c>
      <c r="P321">
        <f t="shared" si="43"/>
        <v>9.6891872222222233</v>
      </c>
      <c r="Q321">
        <f t="shared" si="43"/>
        <v>9.6149822222222241</v>
      </c>
      <c r="R321">
        <f t="shared" si="43"/>
        <v>9.5407772222222249</v>
      </c>
      <c r="S321">
        <f t="shared" si="43"/>
        <v>9.4665722222222239</v>
      </c>
      <c r="T321">
        <f t="shared" si="43"/>
        <v>9.392367222222223</v>
      </c>
      <c r="U321">
        <f t="shared" si="42"/>
        <v>9.3181622222222238</v>
      </c>
      <c r="V321">
        <f t="shared" si="42"/>
        <v>9.2439572222222246</v>
      </c>
      <c r="W321">
        <f t="shared" si="42"/>
        <v>9.1697522222222236</v>
      </c>
      <c r="X321">
        <f t="shared" si="42"/>
        <v>9.0955472222222227</v>
      </c>
      <c r="Y321">
        <f t="shared" si="42"/>
        <v>9.0213422222222235</v>
      </c>
      <c r="Z321">
        <f t="shared" si="42"/>
        <v>8.9471372222222243</v>
      </c>
      <c r="AA321">
        <f t="shared" si="42"/>
        <v>8.8729322222222233</v>
      </c>
      <c r="AB321">
        <f t="shared" si="42"/>
        <v>8.7987272222222224</v>
      </c>
      <c r="AC321">
        <f t="shared" si="42"/>
        <v>8.7245222222222232</v>
      </c>
      <c r="AD321">
        <f t="shared" si="40"/>
        <v>7.3888322222222245</v>
      </c>
    </row>
    <row r="322" spans="2:30" x14ac:dyDescent="0.2">
      <c r="B322" s="7">
        <v>44891</v>
      </c>
      <c r="C322" s="8">
        <v>6.154166666666665</v>
      </c>
      <c r="D322">
        <f t="shared" si="36"/>
        <v>9.4303416666666653</v>
      </c>
      <c r="E322">
        <f t="shared" si="39"/>
        <v>9.3561366666666643</v>
      </c>
      <c r="F322">
        <f t="shared" si="39"/>
        <v>9.2819316666666651</v>
      </c>
      <c r="G322">
        <f t="shared" si="43"/>
        <v>9.2077266666666659</v>
      </c>
      <c r="H322">
        <f t="shared" si="43"/>
        <v>9.133521666666665</v>
      </c>
      <c r="I322">
        <f t="shared" si="43"/>
        <v>9.0593166666666658</v>
      </c>
      <c r="J322">
        <f t="shared" si="43"/>
        <v>8.9851116666666648</v>
      </c>
      <c r="K322">
        <f t="shared" si="43"/>
        <v>8.9109066666666656</v>
      </c>
      <c r="L322">
        <f t="shared" si="43"/>
        <v>8.8367016666666647</v>
      </c>
      <c r="M322">
        <f t="shared" si="43"/>
        <v>8.7624966666666655</v>
      </c>
      <c r="N322">
        <f t="shared" si="43"/>
        <v>8.6882916666666645</v>
      </c>
      <c r="O322">
        <f t="shared" si="43"/>
        <v>8.6140866666666653</v>
      </c>
      <c r="P322">
        <f t="shared" si="43"/>
        <v>8.5398816666666661</v>
      </c>
      <c r="Q322">
        <f t="shared" si="43"/>
        <v>8.4656766666666652</v>
      </c>
      <c r="R322">
        <f t="shared" si="43"/>
        <v>8.3914716666666642</v>
      </c>
      <c r="S322">
        <f t="shared" si="43"/>
        <v>8.317266666666665</v>
      </c>
      <c r="T322">
        <f t="shared" si="43"/>
        <v>8.2430616666666658</v>
      </c>
      <c r="U322">
        <f t="shared" si="42"/>
        <v>8.1688566666666649</v>
      </c>
      <c r="V322">
        <f t="shared" si="42"/>
        <v>8.0946516666666639</v>
      </c>
      <c r="W322">
        <f t="shared" si="42"/>
        <v>8.0204466666666647</v>
      </c>
      <c r="X322">
        <f t="shared" si="42"/>
        <v>7.9462416666666646</v>
      </c>
      <c r="Y322">
        <f t="shared" si="42"/>
        <v>7.8720366666666646</v>
      </c>
      <c r="Z322">
        <f t="shared" si="42"/>
        <v>7.7978316666666645</v>
      </c>
      <c r="AA322">
        <f t="shared" si="42"/>
        <v>7.7236266666666644</v>
      </c>
      <c r="AB322">
        <f t="shared" si="42"/>
        <v>7.6494216666666643</v>
      </c>
      <c r="AC322">
        <f t="shared" si="42"/>
        <v>7.5752166666666643</v>
      </c>
      <c r="AD322">
        <f t="shared" si="40"/>
        <v>6.2395266666666656</v>
      </c>
    </row>
    <row r="323" spans="2:30" x14ac:dyDescent="0.2">
      <c r="B323" s="7">
        <v>44892</v>
      </c>
      <c r="C323" s="8">
        <v>6.0152777777777722</v>
      </c>
      <c r="D323">
        <f t="shared" si="36"/>
        <v>9.2914527777777725</v>
      </c>
      <c r="E323">
        <f t="shared" si="39"/>
        <v>9.2172477777777715</v>
      </c>
      <c r="F323">
        <f t="shared" si="39"/>
        <v>9.1430427777777723</v>
      </c>
      <c r="G323">
        <f t="shared" si="43"/>
        <v>9.0688377777777731</v>
      </c>
      <c r="H323">
        <f t="shared" si="43"/>
        <v>8.9946327777777721</v>
      </c>
      <c r="I323">
        <f t="shared" si="43"/>
        <v>8.920427777777773</v>
      </c>
      <c r="J323">
        <f t="shared" si="43"/>
        <v>8.846222777777772</v>
      </c>
      <c r="K323">
        <f t="shared" si="43"/>
        <v>8.7720177777777728</v>
      </c>
      <c r="L323">
        <f t="shared" si="43"/>
        <v>8.6978127777777718</v>
      </c>
      <c r="M323">
        <f t="shared" si="43"/>
        <v>8.6236077777777727</v>
      </c>
      <c r="N323">
        <f t="shared" si="43"/>
        <v>8.5494027777777717</v>
      </c>
      <c r="O323">
        <f t="shared" si="43"/>
        <v>8.4751977777777725</v>
      </c>
      <c r="P323">
        <f t="shared" si="43"/>
        <v>8.4009927777777733</v>
      </c>
      <c r="Q323">
        <f t="shared" si="43"/>
        <v>8.3267877777777723</v>
      </c>
      <c r="R323">
        <f t="shared" si="43"/>
        <v>8.2525827777777714</v>
      </c>
      <c r="S323">
        <f t="shared" si="43"/>
        <v>8.1783777777777722</v>
      </c>
      <c r="T323">
        <f t="shared" si="43"/>
        <v>8.104172777777773</v>
      </c>
      <c r="U323">
        <f t="shared" si="42"/>
        <v>8.029967777777772</v>
      </c>
      <c r="V323">
        <f t="shared" si="42"/>
        <v>7.955762777777772</v>
      </c>
      <c r="W323">
        <f t="shared" si="42"/>
        <v>7.8815577777777719</v>
      </c>
      <c r="X323">
        <f t="shared" si="42"/>
        <v>7.8073527777777718</v>
      </c>
      <c r="Y323">
        <f t="shared" si="42"/>
        <v>7.7331477777777717</v>
      </c>
      <c r="Z323">
        <f t="shared" si="42"/>
        <v>7.6589427777777717</v>
      </c>
      <c r="AA323">
        <f t="shared" si="42"/>
        <v>7.5847377777777716</v>
      </c>
      <c r="AB323">
        <f t="shared" si="42"/>
        <v>7.5105327777777715</v>
      </c>
      <c r="AC323">
        <f t="shared" si="42"/>
        <v>7.4363277777777714</v>
      </c>
      <c r="AD323">
        <f t="shared" si="40"/>
        <v>6.1006377777777727</v>
      </c>
    </row>
    <row r="324" spans="2:30" x14ac:dyDescent="0.2">
      <c r="B324" s="7">
        <v>44893</v>
      </c>
      <c r="C324" s="8">
        <v>7.424305555555561</v>
      </c>
      <c r="D324">
        <f t="shared" si="36"/>
        <v>10.700480555555561</v>
      </c>
      <c r="E324">
        <f t="shared" si="39"/>
        <v>10.626275555555562</v>
      </c>
      <c r="F324">
        <f t="shared" si="39"/>
        <v>10.552070555555561</v>
      </c>
      <c r="G324">
        <f t="shared" si="43"/>
        <v>10.47786555555556</v>
      </c>
      <c r="H324">
        <f t="shared" si="43"/>
        <v>10.403660555555561</v>
      </c>
      <c r="I324">
        <f t="shared" si="43"/>
        <v>10.329455555555562</v>
      </c>
      <c r="J324">
        <f t="shared" si="43"/>
        <v>10.255250555555561</v>
      </c>
      <c r="K324">
        <f t="shared" si="43"/>
        <v>10.181045555555562</v>
      </c>
      <c r="L324">
        <f t="shared" si="43"/>
        <v>10.106840555555561</v>
      </c>
      <c r="M324">
        <f t="shared" si="43"/>
        <v>10.032635555555562</v>
      </c>
      <c r="N324">
        <f t="shared" si="43"/>
        <v>9.9584305555555623</v>
      </c>
      <c r="O324">
        <f t="shared" si="43"/>
        <v>9.8842255555555614</v>
      </c>
      <c r="P324">
        <f t="shared" si="43"/>
        <v>9.8100205555555604</v>
      </c>
      <c r="Q324">
        <f t="shared" si="43"/>
        <v>9.7358155555555612</v>
      </c>
      <c r="R324">
        <f t="shared" si="43"/>
        <v>9.661610555555562</v>
      </c>
      <c r="S324">
        <f t="shared" si="43"/>
        <v>9.5874055555555611</v>
      </c>
      <c r="T324">
        <f t="shared" si="43"/>
        <v>9.5132005555555601</v>
      </c>
      <c r="U324">
        <f t="shared" si="42"/>
        <v>9.4389955555555609</v>
      </c>
      <c r="V324">
        <f t="shared" si="42"/>
        <v>9.3647905555555617</v>
      </c>
      <c r="W324">
        <f t="shared" si="42"/>
        <v>9.2905855555555608</v>
      </c>
      <c r="X324">
        <f t="shared" si="42"/>
        <v>9.2163805555555598</v>
      </c>
      <c r="Y324">
        <f t="shared" si="42"/>
        <v>9.1421755555555606</v>
      </c>
      <c r="Z324">
        <f t="shared" si="42"/>
        <v>9.0679705555555614</v>
      </c>
      <c r="AA324">
        <f t="shared" si="42"/>
        <v>8.9937655555555605</v>
      </c>
      <c r="AB324">
        <f t="shared" si="42"/>
        <v>8.9195605555555595</v>
      </c>
      <c r="AC324">
        <f t="shared" si="42"/>
        <v>8.8453555555555603</v>
      </c>
      <c r="AD324">
        <f t="shared" si="40"/>
        <v>7.5096655555555616</v>
      </c>
    </row>
    <row r="325" spans="2:30" x14ac:dyDescent="0.2">
      <c r="B325" s="7">
        <v>44894</v>
      </c>
      <c r="C325" s="8">
        <v>7.1694444444444434</v>
      </c>
      <c r="D325">
        <f t="shared" si="36"/>
        <v>10.445619444444443</v>
      </c>
      <c r="E325">
        <f t="shared" si="39"/>
        <v>10.371414444444444</v>
      </c>
      <c r="F325">
        <f t="shared" si="39"/>
        <v>10.297209444444444</v>
      </c>
      <c r="G325">
        <f t="shared" si="43"/>
        <v>10.223004444444443</v>
      </c>
      <c r="H325">
        <f t="shared" si="43"/>
        <v>10.148799444444444</v>
      </c>
      <c r="I325">
        <f t="shared" si="43"/>
        <v>10.074594444444443</v>
      </c>
      <c r="J325">
        <f t="shared" si="43"/>
        <v>10.000389444444444</v>
      </c>
      <c r="K325">
        <f t="shared" si="43"/>
        <v>9.9261844444444431</v>
      </c>
      <c r="L325">
        <f t="shared" si="43"/>
        <v>9.851979444444444</v>
      </c>
      <c r="M325">
        <f t="shared" si="43"/>
        <v>9.777774444444443</v>
      </c>
      <c r="N325">
        <f t="shared" si="43"/>
        <v>9.7035694444444438</v>
      </c>
      <c r="O325">
        <f t="shared" si="43"/>
        <v>9.6293644444444446</v>
      </c>
      <c r="P325">
        <f t="shared" si="43"/>
        <v>9.5551594444444437</v>
      </c>
      <c r="Q325">
        <f t="shared" si="43"/>
        <v>9.4809544444444427</v>
      </c>
      <c r="R325">
        <f t="shared" si="43"/>
        <v>9.4067494444444435</v>
      </c>
      <c r="S325">
        <f t="shared" si="43"/>
        <v>9.3325444444444443</v>
      </c>
      <c r="T325">
        <f t="shared" si="43"/>
        <v>9.2583394444444433</v>
      </c>
      <c r="U325">
        <f t="shared" si="42"/>
        <v>9.1841344444444424</v>
      </c>
      <c r="V325">
        <f t="shared" si="42"/>
        <v>9.1099294444444432</v>
      </c>
      <c r="W325">
        <f t="shared" si="42"/>
        <v>9.035724444444444</v>
      </c>
      <c r="X325">
        <f t="shared" si="42"/>
        <v>8.961519444444443</v>
      </c>
      <c r="Y325">
        <f t="shared" si="42"/>
        <v>8.8873144444444421</v>
      </c>
      <c r="Z325">
        <f t="shared" si="42"/>
        <v>8.8131094444444429</v>
      </c>
      <c r="AA325">
        <f t="shared" si="42"/>
        <v>8.7389044444444437</v>
      </c>
      <c r="AB325">
        <f t="shared" si="42"/>
        <v>8.6646994444444427</v>
      </c>
      <c r="AC325">
        <f t="shared" si="42"/>
        <v>8.5904944444444418</v>
      </c>
      <c r="AD325">
        <f t="shared" si="40"/>
        <v>7.2548044444444439</v>
      </c>
    </row>
    <row r="326" spans="2:30" x14ac:dyDescent="0.2">
      <c r="B326" s="7">
        <v>44895</v>
      </c>
      <c r="C326" s="8">
        <v>6.6368055555555534</v>
      </c>
      <c r="D326">
        <f t="shared" ref="D326:D357" si="44">(-1.4841*D$3+3.6472)+C326</f>
        <v>9.9129805555555528</v>
      </c>
      <c r="E326">
        <f t="shared" si="39"/>
        <v>9.8387755555555536</v>
      </c>
      <c r="F326">
        <f t="shared" si="39"/>
        <v>9.7645705555555544</v>
      </c>
      <c r="G326">
        <f t="shared" si="43"/>
        <v>9.6903655555555535</v>
      </c>
      <c r="H326">
        <f t="shared" si="43"/>
        <v>9.6161605555555543</v>
      </c>
      <c r="I326">
        <f t="shared" si="43"/>
        <v>9.5419555555555533</v>
      </c>
      <c r="J326">
        <f t="shared" si="43"/>
        <v>9.4677505555555541</v>
      </c>
      <c r="K326">
        <f t="shared" si="43"/>
        <v>9.3935455555555532</v>
      </c>
      <c r="L326">
        <f t="shared" si="43"/>
        <v>9.319340555555554</v>
      </c>
      <c r="M326">
        <f t="shared" si="43"/>
        <v>9.245135555555553</v>
      </c>
      <c r="N326">
        <f t="shared" si="43"/>
        <v>9.1709305555555538</v>
      </c>
      <c r="O326">
        <f t="shared" si="43"/>
        <v>9.0967255555555546</v>
      </c>
      <c r="P326">
        <f t="shared" si="43"/>
        <v>9.0225205555555537</v>
      </c>
      <c r="Q326">
        <f t="shared" si="43"/>
        <v>8.9483155555555527</v>
      </c>
      <c r="R326">
        <f t="shared" si="43"/>
        <v>8.8741105555555535</v>
      </c>
      <c r="S326">
        <f t="shared" si="43"/>
        <v>8.7999055555555543</v>
      </c>
      <c r="T326">
        <f t="shared" si="43"/>
        <v>8.7257005555555534</v>
      </c>
      <c r="U326">
        <f t="shared" si="42"/>
        <v>8.6514955555555524</v>
      </c>
      <c r="V326">
        <f t="shared" si="42"/>
        <v>8.5772905555555532</v>
      </c>
      <c r="W326">
        <f t="shared" si="42"/>
        <v>8.503085555555554</v>
      </c>
      <c r="X326">
        <f t="shared" si="42"/>
        <v>8.428880555555553</v>
      </c>
      <c r="Y326">
        <f t="shared" si="42"/>
        <v>8.3546755555555521</v>
      </c>
      <c r="Z326">
        <f t="shared" si="42"/>
        <v>8.2804705555555529</v>
      </c>
      <c r="AA326">
        <f t="shared" si="42"/>
        <v>8.2062655555555537</v>
      </c>
      <c r="AB326">
        <f t="shared" si="42"/>
        <v>8.1320605555555527</v>
      </c>
      <c r="AC326">
        <f t="shared" si="42"/>
        <v>8.0578555555555518</v>
      </c>
      <c r="AD326">
        <f t="shared" si="40"/>
        <v>6.722165555555554</v>
      </c>
    </row>
    <row r="327" spans="2:30" x14ac:dyDescent="0.2">
      <c r="B327" s="7">
        <v>44896</v>
      </c>
      <c r="C327" s="8">
        <v>4.8263888888888902</v>
      </c>
      <c r="D327">
        <f t="shared" si="44"/>
        <v>8.1025638888888913</v>
      </c>
      <c r="E327">
        <f t="shared" si="39"/>
        <v>8.0283588888888904</v>
      </c>
      <c r="F327">
        <f t="shared" si="39"/>
        <v>7.9541538888888903</v>
      </c>
      <c r="G327">
        <f t="shared" si="43"/>
        <v>7.8799488888888902</v>
      </c>
      <c r="H327">
        <f t="shared" si="43"/>
        <v>7.805743888888891</v>
      </c>
      <c r="I327">
        <f t="shared" si="43"/>
        <v>7.7315388888888901</v>
      </c>
      <c r="J327">
        <f t="shared" si="43"/>
        <v>7.6573338888888909</v>
      </c>
      <c r="K327">
        <f t="shared" si="43"/>
        <v>7.5831288888888899</v>
      </c>
      <c r="L327">
        <f t="shared" si="43"/>
        <v>7.5089238888888907</v>
      </c>
      <c r="M327">
        <f t="shared" si="43"/>
        <v>7.4347188888888898</v>
      </c>
      <c r="N327">
        <f t="shared" si="43"/>
        <v>7.3605138888888906</v>
      </c>
      <c r="O327">
        <f t="shared" si="43"/>
        <v>7.2863088888888905</v>
      </c>
      <c r="P327">
        <f t="shared" si="43"/>
        <v>7.2121038888888904</v>
      </c>
      <c r="Q327">
        <f t="shared" si="43"/>
        <v>7.1378988888888903</v>
      </c>
      <c r="R327">
        <f t="shared" si="43"/>
        <v>7.0636938888888903</v>
      </c>
      <c r="S327">
        <f t="shared" si="43"/>
        <v>6.9894888888888902</v>
      </c>
      <c r="T327">
        <f t="shared" si="43"/>
        <v>6.9152838888888901</v>
      </c>
      <c r="U327">
        <f t="shared" si="42"/>
        <v>6.84107888888889</v>
      </c>
      <c r="V327">
        <f t="shared" si="42"/>
        <v>6.76687388888889</v>
      </c>
      <c r="W327">
        <f t="shared" si="42"/>
        <v>6.6926688888888899</v>
      </c>
      <c r="X327">
        <f t="shared" si="42"/>
        <v>6.6184638888888898</v>
      </c>
      <c r="Y327">
        <f t="shared" si="42"/>
        <v>6.5442588888888897</v>
      </c>
      <c r="Z327">
        <f t="shared" si="42"/>
        <v>6.4700538888888897</v>
      </c>
      <c r="AA327">
        <f t="shared" si="42"/>
        <v>6.3958488888888896</v>
      </c>
      <c r="AB327">
        <f t="shared" si="42"/>
        <v>6.3216438888888895</v>
      </c>
      <c r="AC327">
        <f t="shared" si="42"/>
        <v>6.2474388888888894</v>
      </c>
      <c r="AD327">
        <f t="shared" si="40"/>
        <v>4.9117488888888907</v>
      </c>
    </row>
    <row r="328" spans="2:30" x14ac:dyDescent="0.2">
      <c r="B328" s="7">
        <v>44897</v>
      </c>
      <c r="C328" s="8">
        <v>3.8486111111111145</v>
      </c>
      <c r="D328">
        <f t="shared" si="44"/>
        <v>7.1247861111111153</v>
      </c>
      <c r="E328">
        <f t="shared" si="39"/>
        <v>7.0505811111111143</v>
      </c>
      <c r="F328">
        <f t="shared" si="39"/>
        <v>6.9763761111111151</v>
      </c>
      <c r="G328">
        <f t="shared" si="43"/>
        <v>6.9021711111111141</v>
      </c>
      <c r="H328">
        <f t="shared" si="43"/>
        <v>6.827966111111115</v>
      </c>
      <c r="I328">
        <f t="shared" si="43"/>
        <v>6.7537611111111149</v>
      </c>
      <c r="J328">
        <f t="shared" si="43"/>
        <v>6.6795561111111148</v>
      </c>
      <c r="K328">
        <f t="shared" si="43"/>
        <v>6.6053511111111147</v>
      </c>
      <c r="L328">
        <f t="shared" si="43"/>
        <v>6.5311461111111146</v>
      </c>
      <c r="M328">
        <f t="shared" si="43"/>
        <v>6.4569411111111146</v>
      </c>
      <c r="N328">
        <f t="shared" si="43"/>
        <v>6.3827361111111145</v>
      </c>
      <c r="O328">
        <f t="shared" si="43"/>
        <v>6.3085311111111153</v>
      </c>
      <c r="P328">
        <f t="shared" si="43"/>
        <v>6.2343261111111143</v>
      </c>
      <c r="Q328">
        <f t="shared" si="43"/>
        <v>6.1601211111111152</v>
      </c>
      <c r="R328">
        <f t="shared" si="43"/>
        <v>6.0859161111111142</v>
      </c>
      <c r="S328">
        <f t="shared" si="43"/>
        <v>6.011711111111115</v>
      </c>
      <c r="T328">
        <f t="shared" si="43"/>
        <v>5.937506111111114</v>
      </c>
      <c r="U328">
        <f t="shared" si="42"/>
        <v>5.8633011111111148</v>
      </c>
      <c r="V328">
        <f t="shared" si="42"/>
        <v>5.7890961111111139</v>
      </c>
      <c r="W328">
        <f t="shared" si="42"/>
        <v>5.7148911111111147</v>
      </c>
      <c r="X328">
        <f t="shared" si="42"/>
        <v>5.6406861111111137</v>
      </c>
      <c r="Y328">
        <f t="shared" si="42"/>
        <v>5.5664811111111145</v>
      </c>
      <c r="Z328">
        <f t="shared" si="42"/>
        <v>5.4922761111111136</v>
      </c>
      <c r="AA328">
        <f t="shared" si="42"/>
        <v>5.4180711111111144</v>
      </c>
      <c r="AB328">
        <f t="shared" si="42"/>
        <v>5.3438661111111134</v>
      </c>
      <c r="AC328">
        <f t="shared" si="42"/>
        <v>5.2696611111111142</v>
      </c>
      <c r="AD328">
        <f t="shared" si="40"/>
        <v>3.9339711111111151</v>
      </c>
    </row>
    <row r="329" spans="2:30" x14ac:dyDescent="0.2">
      <c r="B329" s="7">
        <v>44898</v>
      </c>
      <c r="C329" s="8">
        <v>1.8749999999999989</v>
      </c>
      <c r="D329">
        <f t="shared" si="44"/>
        <v>5.1511749999999994</v>
      </c>
      <c r="E329">
        <f t="shared" si="39"/>
        <v>5.0769699999999993</v>
      </c>
      <c r="F329">
        <f t="shared" si="39"/>
        <v>5.0027649999999992</v>
      </c>
      <c r="G329">
        <f t="shared" si="43"/>
        <v>4.9285599999999992</v>
      </c>
      <c r="H329">
        <f t="shared" si="43"/>
        <v>4.8543549999999991</v>
      </c>
      <c r="I329">
        <f t="shared" si="43"/>
        <v>4.780149999999999</v>
      </c>
      <c r="J329">
        <f t="shared" si="43"/>
        <v>4.7059449999999989</v>
      </c>
      <c r="K329">
        <f t="shared" si="43"/>
        <v>4.6317399999999989</v>
      </c>
      <c r="L329">
        <f t="shared" si="43"/>
        <v>4.5575349999999988</v>
      </c>
      <c r="M329">
        <f t="shared" si="43"/>
        <v>4.4833299999999987</v>
      </c>
      <c r="N329">
        <f t="shared" si="43"/>
        <v>4.4091249999999995</v>
      </c>
      <c r="O329">
        <f t="shared" si="43"/>
        <v>4.3349199999999994</v>
      </c>
      <c r="P329">
        <f t="shared" si="43"/>
        <v>4.2607149999999994</v>
      </c>
      <c r="Q329">
        <f t="shared" si="43"/>
        <v>4.1865099999999993</v>
      </c>
      <c r="R329">
        <f t="shared" si="43"/>
        <v>4.1123049999999992</v>
      </c>
      <c r="S329">
        <f t="shared" si="43"/>
        <v>4.0380999999999991</v>
      </c>
      <c r="T329">
        <f t="shared" si="43"/>
        <v>3.9638949999999991</v>
      </c>
      <c r="U329">
        <f t="shared" si="42"/>
        <v>3.889689999999999</v>
      </c>
      <c r="V329">
        <f t="shared" si="42"/>
        <v>3.8154849999999989</v>
      </c>
      <c r="W329">
        <f t="shared" si="42"/>
        <v>3.7412799999999988</v>
      </c>
      <c r="X329">
        <f t="shared" si="42"/>
        <v>3.6670749999999988</v>
      </c>
      <c r="Y329">
        <f t="shared" si="42"/>
        <v>3.5928699999999987</v>
      </c>
      <c r="Z329">
        <f t="shared" si="42"/>
        <v>3.5186649999999986</v>
      </c>
      <c r="AA329">
        <f t="shared" si="42"/>
        <v>3.4444599999999985</v>
      </c>
      <c r="AB329">
        <f t="shared" si="42"/>
        <v>3.3702549999999984</v>
      </c>
      <c r="AC329">
        <f t="shared" si="42"/>
        <v>3.2960499999999984</v>
      </c>
      <c r="AD329">
        <f t="shared" si="40"/>
        <v>1.9603599999999994</v>
      </c>
    </row>
    <row r="330" spans="2:30" x14ac:dyDescent="0.2">
      <c r="B330" s="7">
        <v>44899</v>
      </c>
      <c r="C330" s="8">
        <v>0.68124999999999902</v>
      </c>
      <c r="D330">
        <f t="shared" si="44"/>
        <v>3.9574249999999993</v>
      </c>
      <c r="E330">
        <f t="shared" si="39"/>
        <v>3.8832199999999992</v>
      </c>
      <c r="F330">
        <f t="shared" si="39"/>
        <v>3.8090149999999992</v>
      </c>
      <c r="G330">
        <f t="shared" si="43"/>
        <v>3.7348099999999991</v>
      </c>
      <c r="H330">
        <f t="shared" si="43"/>
        <v>3.6606049999999994</v>
      </c>
      <c r="I330">
        <f t="shared" si="43"/>
        <v>3.5863999999999994</v>
      </c>
      <c r="J330">
        <f t="shared" si="43"/>
        <v>3.5121949999999993</v>
      </c>
      <c r="K330">
        <f t="shared" ref="G330:T348" si="45">(-1.4841*K$3+3.6472)+$C330</f>
        <v>3.4379899999999992</v>
      </c>
      <c r="L330">
        <f t="shared" si="45"/>
        <v>3.3637849999999991</v>
      </c>
      <c r="M330">
        <f t="shared" si="45"/>
        <v>3.2895799999999991</v>
      </c>
      <c r="N330">
        <f t="shared" si="45"/>
        <v>3.2153749999999994</v>
      </c>
      <c r="O330">
        <f t="shared" si="45"/>
        <v>3.1411699999999994</v>
      </c>
      <c r="P330">
        <f t="shared" si="45"/>
        <v>3.0669649999999993</v>
      </c>
      <c r="Q330">
        <f t="shared" si="45"/>
        <v>2.9927599999999992</v>
      </c>
      <c r="R330">
        <f t="shared" si="45"/>
        <v>2.9185549999999991</v>
      </c>
      <c r="S330">
        <f t="shared" si="45"/>
        <v>2.844349999999999</v>
      </c>
      <c r="T330">
        <f t="shared" si="45"/>
        <v>2.770144999999999</v>
      </c>
      <c r="U330">
        <f t="shared" si="42"/>
        <v>2.6959399999999989</v>
      </c>
      <c r="V330">
        <f t="shared" si="42"/>
        <v>2.6217349999999988</v>
      </c>
      <c r="W330">
        <f t="shared" si="42"/>
        <v>2.5475299999999987</v>
      </c>
      <c r="X330">
        <f t="shared" si="42"/>
        <v>2.4733249999999987</v>
      </c>
      <c r="Y330">
        <f t="shared" si="42"/>
        <v>2.3991199999999986</v>
      </c>
      <c r="Z330">
        <f t="shared" si="42"/>
        <v>2.3249149999999985</v>
      </c>
      <c r="AA330">
        <f t="shared" si="42"/>
        <v>2.2507099999999984</v>
      </c>
      <c r="AB330">
        <f t="shared" si="42"/>
        <v>2.1765049999999984</v>
      </c>
      <c r="AC330">
        <f t="shared" si="42"/>
        <v>2.1022999999999983</v>
      </c>
      <c r="AD330">
        <f t="shared" si="40"/>
        <v>0.76660999999999957</v>
      </c>
    </row>
    <row r="331" spans="2:30" x14ac:dyDescent="0.2">
      <c r="B331" s="7">
        <v>44900</v>
      </c>
      <c r="C331" s="8">
        <v>2.7368055555555553</v>
      </c>
      <c r="D331">
        <f t="shared" si="44"/>
        <v>6.012980555555556</v>
      </c>
      <c r="E331">
        <f t="shared" si="39"/>
        <v>5.938775555555555</v>
      </c>
      <c r="F331">
        <f t="shared" si="39"/>
        <v>5.8645705555555558</v>
      </c>
      <c r="G331">
        <f t="shared" si="45"/>
        <v>5.7903655555555549</v>
      </c>
      <c r="H331">
        <f t="shared" si="45"/>
        <v>5.7161605555555557</v>
      </c>
      <c r="I331">
        <f t="shared" si="45"/>
        <v>5.6419555555555556</v>
      </c>
      <c r="J331">
        <f t="shared" si="45"/>
        <v>5.5677505555555555</v>
      </c>
      <c r="K331">
        <f t="shared" si="45"/>
        <v>5.4935455555555555</v>
      </c>
      <c r="L331">
        <f t="shared" si="45"/>
        <v>5.4193405555555554</v>
      </c>
      <c r="M331">
        <f t="shared" si="45"/>
        <v>5.3451355555555553</v>
      </c>
      <c r="N331">
        <f t="shared" si="45"/>
        <v>5.2709305555555552</v>
      </c>
      <c r="O331">
        <f t="shared" si="45"/>
        <v>5.196725555555556</v>
      </c>
      <c r="P331">
        <f t="shared" si="45"/>
        <v>5.1225205555555551</v>
      </c>
      <c r="Q331">
        <f t="shared" si="45"/>
        <v>5.0483155555555559</v>
      </c>
      <c r="R331">
        <f t="shared" si="45"/>
        <v>4.9741105555555549</v>
      </c>
      <c r="S331">
        <f t="shared" si="45"/>
        <v>4.8999055555555557</v>
      </c>
      <c r="T331">
        <f t="shared" si="45"/>
        <v>4.8257005555555548</v>
      </c>
      <c r="U331">
        <f t="shared" si="42"/>
        <v>4.7514955555555556</v>
      </c>
      <c r="V331">
        <f t="shared" si="42"/>
        <v>4.6772905555555546</v>
      </c>
      <c r="W331">
        <f t="shared" si="42"/>
        <v>4.6030855555555554</v>
      </c>
      <c r="X331">
        <f t="shared" si="42"/>
        <v>4.5288805555555545</v>
      </c>
      <c r="Y331">
        <f t="shared" si="42"/>
        <v>4.4546755555555553</v>
      </c>
      <c r="Z331">
        <f t="shared" si="42"/>
        <v>4.3804705555555543</v>
      </c>
      <c r="AA331">
        <f t="shared" si="42"/>
        <v>4.3062655555555551</v>
      </c>
      <c r="AB331">
        <f t="shared" si="42"/>
        <v>4.2320605555555542</v>
      </c>
      <c r="AC331">
        <f t="shared" si="42"/>
        <v>4.157855555555555</v>
      </c>
      <c r="AD331">
        <f t="shared" si="40"/>
        <v>2.8221655555555558</v>
      </c>
    </row>
    <row r="332" spans="2:30" x14ac:dyDescent="0.2">
      <c r="B332" s="7">
        <v>44901</v>
      </c>
      <c r="C332" s="8">
        <v>3.8798611111111074</v>
      </c>
      <c r="D332">
        <f t="shared" si="44"/>
        <v>7.1560361111111082</v>
      </c>
      <c r="E332">
        <f t="shared" si="39"/>
        <v>7.0818311111111072</v>
      </c>
      <c r="F332">
        <f t="shared" si="39"/>
        <v>7.007626111111108</v>
      </c>
      <c r="G332">
        <f t="shared" si="45"/>
        <v>6.933421111111107</v>
      </c>
      <c r="H332">
        <f t="shared" si="45"/>
        <v>6.8592161111111078</v>
      </c>
      <c r="I332">
        <f t="shared" si="45"/>
        <v>6.7850111111111078</v>
      </c>
      <c r="J332">
        <f t="shared" si="45"/>
        <v>6.7108061111111077</v>
      </c>
      <c r="K332">
        <f t="shared" si="45"/>
        <v>6.6366011111111076</v>
      </c>
      <c r="L332">
        <f t="shared" si="45"/>
        <v>6.5623961111111075</v>
      </c>
      <c r="M332">
        <f t="shared" si="45"/>
        <v>6.4881911111111075</v>
      </c>
      <c r="N332">
        <f t="shared" si="45"/>
        <v>6.4139861111111074</v>
      </c>
      <c r="O332">
        <f t="shared" si="45"/>
        <v>6.3397811111111082</v>
      </c>
      <c r="P332">
        <f t="shared" si="45"/>
        <v>6.2655761111111072</v>
      </c>
      <c r="Q332">
        <f t="shared" si="45"/>
        <v>6.191371111111108</v>
      </c>
      <c r="R332">
        <f t="shared" si="45"/>
        <v>6.1171661111111071</v>
      </c>
      <c r="S332">
        <f t="shared" si="45"/>
        <v>6.0429611111111079</v>
      </c>
      <c r="T332">
        <f t="shared" si="45"/>
        <v>5.9687561111111069</v>
      </c>
      <c r="U332">
        <f t="shared" si="42"/>
        <v>5.8945511111111077</v>
      </c>
      <c r="V332">
        <f t="shared" si="42"/>
        <v>5.8203461111111068</v>
      </c>
      <c r="W332">
        <f t="shared" si="42"/>
        <v>5.7461411111111076</v>
      </c>
      <c r="X332">
        <f t="shared" si="42"/>
        <v>5.6719361111111066</v>
      </c>
      <c r="Y332">
        <f t="shared" si="42"/>
        <v>5.5977311111111074</v>
      </c>
      <c r="Z332">
        <f t="shared" si="42"/>
        <v>5.5235261111111065</v>
      </c>
      <c r="AA332">
        <f t="shared" si="42"/>
        <v>5.4493211111111073</v>
      </c>
      <c r="AB332">
        <f t="shared" si="42"/>
        <v>5.3751161111111063</v>
      </c>
      <c r="AC332">
        <f t="shared" ref="U332:AD357" si="46">(-1.4841*AC$3+3.6472)+$C332</f>
        <v>5.3009111111111071</v>
      </c>
      <c r="AD332">
        <f t="shared" si="46"/>
        <v>3.965221111111108</v>
      </c>
    </row>
    <row r="333" spans="2:30" x14ac:dyDescent="0.2">
      <c r="B333" s="7">
        <v>44902</v>
      </c>
      <c r="C333" s="8">
        <v>3.7305555555555552</v>
      </c>
      <c r="D333">
        <f t="shared" si="44"/>
        <v>7.0067305555555555</v>
      </c>
      <c r="E333">
        <f t="shared" si="39"/>
        <v>6.9325255555555554</v>
      </c>
      <c r="F333">
        <f t="shared" si="39"/>
        <v>6.8583205555555553</v>
      </c>
      <c r="G333">
        <f t="shared" si="45"/>
        <v>6.7841155555555552</v>
      </c>
      <c r="H333">
        <f t="shared" si="45"/>
        <v>6.709910555555556</v>
      </c>
      <c r="I333">
        <f t="shared" si="45"/>
        <v>6.6357055555555551</v>
      </c>
      <c r="J333">
        <f t="shared" si="45"/>
        <v>6.5615005555555559</v>
      </c>
      <c r="K333">
        <f t="shared" si="45"/>
        <v>6.4872955555555549</v>
      </c>
      <c r="L333">
        <f t="shared" si="45"/>
        <v>6.4130905555555557</v>
      </c>
      <c r="M333">
        <f t="shared" si="45"/>
        <v>6.3388855555555548</v>
      </c>
      <c r="N333">
        <f t="shared" si="45"/>
        <v>6.2646805555555556</v>
      </c>
      <c r="O333">
        <f t="shared" si="45"/>
        <v>6.1904755555555555</v>
      </c>
      <c r="P333">
        <f t="shared" si="45"/>
        <v>6.1162705555555554</v>
      </c>
      <c r="Q333">
        <f t="shared" si="45"/>
        <v>6.0420655555555554</v>
      </c>
      <c r="R333">
        <f t="shared" si="45"/>
        <v>5.9678605555555553</v>
      </c>
      <c r="S333">
        <f t="shared" si="45"/>
        <v>5.8936555555555552</v>
      </c>
      <c r="T333">
        <f t="shared" si="45"/>
        <v>5.8194505555555551</v>
      </c>
      <c r="U333">
        <f t="shared" si="46"/>
        <v>5.7452455555555551</v>
      </c>
      <c r="V333">
        <f t="shared" si="46"/>
        <v>5.671040555555555</v>
      </c>
      <c r="W333">
        <f t="shared" si="46"/>
        <v>5.5968355555555549</v>
      </c>
      <c r="X333">
        <f t="shared" si="46"/>
        <v>5.5226305555555548</v>
      </c>
      <c r="Y333">
        <f t="shared" si="46"/>
        <v>5.4484255555555547</v>
      </c>
      <c r="Z333">
        <f t="shared" si="46"/>
        <v>5.3742205555555547</v>
      </c>
      <c r="AA333">
        <f t="shared" si="46"/>
        <v>5.3000155555555546</v>
      </c>
      <c r="AB333">
        <f t="shared" si="46"/>
        <v>5.2258105555555545</v>
      </c>
      <c r="AC333">
        <f t="shared" si="46"/>
        <v>5.1516055555555544</v>
      </c>
      <c r="AD333">
        <f t="shared" si="46"/>
        <v>3.8159155555555557</v>
      </c>
    </row>
    <row r="334" spans="2:30" x14ac:dyDescent="0.2">
      <c r="B334" s="7">
        <v>44903</v>
      </c>
      <c r="C334" s="8">
        <v>3.5076388888888932</v>
      </c>
      <c r="D334">
        <f t="shared" si="44"/>
        <v>6.7838138888888935</v>
      </c>
      <c r="E334">
        <f t="shared" si="39"/>
        <v>6.7096088888888934</v>
      </c>
      <c r="F334">
        <f t="shared" si="39"/>
        <v>6.6354038888888933</v>
      </c>
      <c r="G334">
        <f t="shared" si="45"/>
        <v>6.5611988888888932</v>
      </c>
      <c r="H334">
        <f t="shared" si="45"/>
        <v>6.4869938888888932</v>
      </c>
      <c r="I334">
        <f t="shared" si="45"/>
        <v>6.412788888888894</v>
      </c>
      <c r="J334">
        <f t="shared" si="45"/>
        <v>6.338583888888893</v>
      </c>
      <c r="K334">
        <f t="shared" si="45"/>
        <v>6.2643788888888938</v>
      </c>
      <c r="L334">
        <f t="shared" si="45"/>
        <v>6.1901738888888929</v>
      </c>
      <c r="M334">
        <f t="shared" si="45"/>
        <v>6.1159688888888937</v>
      </c>
      <c r="N334">
        <f t="shared" si="45"/>
        <v>6.0417638888888936</v>
      </c>
      <c r="O334">
        <f t="shared" si="45"/>
        <v>5.9675588888888935</v>
      </c>
      <c r="P334">
        <f t="shared" si="45"/>
        <v>5.8933538888888934</v>
      </c>
      <c r="Q334">
        <f t="shared" si="45"/>
        <v>5.8191488888888934</v>
      </c>
      <c r="R334">
        <f t="shared" si="45"/>
        <v>5.7449438888888933</v>
      </c>
      <c r="S334">
        <f t="shared" si="45"/>
        <v>5.6707388888888932</v>
      </c>
      <c r="T334">
        <f t="shared" si="45"/>
        <v>5.5965338888888931</v>
      </c>
      <c r="U334">
        <f t="shared" si="46"/>
        <v>5.5223288888888931</v>
      </c>
      <c r="V334">
        <f t="shared" si="46"/>
        <v>5.448123888888893</v>
      </c>
      <c r="W334">
        <f t="shared" si="46"/>
        <v>5.3739188888888929</v>
      </c>
      <c r="X334">
        <f t="shared" si="46"/>
        <v>5.2997138888888928</v>
      </c>
      <c r="Y334">
        <f t="shared" si="46"/>
        <v>5.2255088888888928</v>
      </c>
      <c r="Z334">
        <f t="shared" si="46"/>
        <v>5.1513038888888927</v>
      </c>
      <c r="AA334">
        <f t="shared" si="46"/>
        <v>5.0770988888888926</v>
      </c>
      <c r="AB334">
        <f t="shared" si="46"/>
        <v>5.0028938888888925</v>
      </c>
      <c r="AC334">
        <f t="shared" si="46"/>
        <v>4.9286888888888924</v>
      </c>
      <c r="AD334">
        <f t="shared" si="46"/>
        <v>3.5929988888888937</v>
      </c>
    </row>
    <row r="335" spans="2:30" x14ac:dyDescent="0.2">
      <c r="B335" s="7">
        <v>44904</v>
      </c>
      <c r="C335" s="8">
        <v>2.3124999999999991</v>
      </c>
      <c r="D335">
        <f t="shared" si="44"/>
        <v>5.5886749999999994</v>
      </c>
      <c r="E335">
        <f t="shared" si="39"/>
        <v>5.5144699999999993</v>
      </c>
      <c r="F335">
        <f t="shared" si="39"/>
        <v>5.4402649999999992</v>
      </c>
      <c r="G335">
        <f t="shared" si="45"/>
        <v>5.3660599999999992</v>
      </c>
      <c r="H335">
        <f t="shared" si="45"/>
        <v>5.291855</v>
      </c>
      <c r="I335">
        <f t="shared" si="45"/>
        <v>5.217649999999999</v>
      </c>
      <c r="J335">
        <f t="shared" si="45"/>
        <v>5.1434449999999998</v>
      </c>
      <c r="K335">
        <f t="shared" si="45"/>
        <v>5.0692399999999989</v>
      </c>
      <c r="L335">
        <f t="shared" si="45"/>
        <v>4.9950349999999997</v>
      </c>
      <c r="M335">
        <f t="shared" si="45"/>
        <v>4.9208299999999987</v>
      </c>
      <c r="N335">
        <f t="shared" si="45"/>
        <v>4.8466249999999995</v>
      </c>
      <c r="O335">
        <f t="shared" si="45"/>
        <v>4.7724199999999994</v>
      </c>
      <c r="P335">
        <f t="shared" si="45"/>
        <v>4.6982149999999994</v>
      </c>
      <c r="Q335">
        <f t="shared" si="45"/>
        <v>4.6240099999999993</v>
      </c>
      <c r="R335">
        <f t="shared" si="45"/>
        <v>4.5498049999999992</v>
      </c>
      <c r="S335">
        <f t="shared" si="45"/>
        <v>4.4755999999999991</v>
      </c>
      <c r="T335">
        <f t="shared" si="45"/>
        <v>4.4013949999999991</v>
      </c>
      <c r="U335">
        <f t="shared" si="46"/>
        <v>4.327189999999999</v>
      </c>
      <c r="V335">
        <f t="shared" si="46"/>
        <v>4.2529849999999989</v>
      </c>
      <c r="W335">
        <f t="shared" si="46"/>
        <v>4.1787799999999988</v>
      </c>
      <c r="X335">
        <f t="shared" si="46"/>
        <v>4.1045749999999988</v>
      </c>
      <c r="Y335">
        <f t="shared" si="46"/>
        <v>4.0303699999999987</v>
      </c>
      <c r="Z335">
        <f t="shared" si="46"/>
        <v>3.9561649999999986</v>
      </c>
      <c r="AA335">
        <f t="shared" si="46"/>
        <v>3.8819599999999985</v>
      </c>
      <c r="AB335">
        <f t="shared" si="46"/>
        <v>3.8077549999999984</v>
      </c>
      <c r="AC335">
        <f t="shared" si="46"/>
        <v>3.7335499999999984</v>
      </c>
      <c r="AD335">
        <f t="shared" si="46"/>
        <v>2.3978599999999997</v>
      </c>
    </row>
    <row r="336" spans="2:30" x14ac:dyDescent="0.2">
      <c r="B336" s="7">
        <v>44905</v>
      </c>
      <c r="C336" s="8">
        <v>1.7965277777777762</v>
      </c>
      <c r="D336">
        <f t="shared" si="44"/>
        <v>5.072702777777776</v>
      </c>
      <c r="E336">
        <f t="shared" si="39"/>
        <v>4.9984977777777768</v>
      </c>
      <c r="F336">
        <f t="shared" si="39"/>
        <v>4.9242927777777759</v>
      </c>
      <c r="G336">
        <f t="shared" si="45"/>
        <v>4.8500877777777767</v>
      </c>
      <c r="H336">
        <f t="shared" si="45"/>
        <v>4.7758827777777766</v>
      </c>
      <c r="I336">
        <f t="shared" si="45"/>
        <v>4.7016777777777765</v>
      </c>
      <c r="J336">
        <f t="shared" si="45"/>
        <v>4.6274727777777764</v>
      </c>
      <c r="K336">
        <f t="shared" si="45"/>
        <v>4.5532677777777764</v>
      </c>
      <c r="L336">
        <f t="shared" si="45"/>
        <v>4.4790627777777763</v>
      </c>
      <c r="M336">
        <f t="shared" si="45"/>
        <v>4.4048577777777762</v>
      </c>
      <c r="N336">
        <f t="shared" si="45"/>
        <v>4.330652777777777</v>
      </c>
      <c r="O336">
        <f t="shared" si="45"/>
        <v>4.2564477777777761</v>
      </c>
      <c r="P336">
        <f t="shared" si="45"/>
        <v>4.1822427777777769</v>
      </c>
      <c r="Q336">
        <f t="shared" si="45"/>
        <v>4.1080377777777759</v>
      </c>
      <c r="R336">
        <f t="shared" si="45"/>
        <v>4.0338327777777767</v>
      </c>
      <c r="S336">
        <f t="shared" si="45"/>
        <v>3.9596277777777762</v>
      </c>
      <c r="T336">
        <f t="shared" si="45"/>
        <v>3.8854227777777761</v>
      </c>
      <c r="U336">
        <f t="shared" si="46"/>
        <v>3.811217777777776</v>
      </c>
      <c r="V336">
        <f t="shared" si="46"/>
        <v>3.737012777777776</v>
      </c>
      <c r="W336">
        <f t="shared" si="46"/>
        <v>3.6628077777777759</v>
      </c>
      <c r="X336">
        <f t="shared" si="46"/>
        <v>3.5886027777777758</v>
      </c>
      <c r="Y336">
        <f t="shared" si="46"/>
        <v>3.5143977777777757</v>
      </c>
      <c r="Z336">
        <f t="shared" si="46"/>
        <v>3.4401927777777757</v>
      </c>
      <c r="AA336">
        <f t="shared" si="46"/>
        <v>3.3659877777777756</v>
      </c>
      <c r="AB336">
        <f t="shared" si="46"/>
        <v>3.2917827777777755</v>
      </c>
      <c r="AC336">
        <f t="shared" si="46"/>
        <v>3.2175777777777754</v>
      </c>
      <c r="AD336">
        <f t="shared" si="46"/>
        <v>1.8818877777777767</v>
      </c>
    </row>
    <row r="337" spans="2:30" x14ac:dyDescent="0.2">
      <c r="B337" s="7">
        <v>44906</v>
      </c>
      <c r="C337" s="8">
        <v>2.1020833333333342</v>
      </c>
      <c r="D337">
        <f t="shared" si="44"/>
        <v>5.3782583333333349</v>
      </c>
      <c r="E337">
        <f t="shared" si="39"/>
        <v>5.304053333333334</v>
      </c>
      <c r="F337">
        <f t="shared" si="39"/>
        <v>5.2298483333333348</v>
      </c>
      <c r="G337">
        <f t="shared" si="45"/>
        <v>5.1556433333333338</v>
      </c>
      <c r="H337">
        <f t="shared" si="45"/>
        <v>5.0814383333333346</v>
      </c>
      <c r="I337">
        <f t="shared" si="45"/>
        <v>5.0072333333333345</v>
      </c>
      <c r="J337">
        <f t="shared" si="45"/>
        <v>4.9330283333333345</v>
      </c>
      <c r="K337">
        <f t="shared" si="45"/>
        <v>4.8588233333333344</v>
      </c>
      <c r="L337">
        <f t="shared" si="45"/>
        <v>4.7846183333333343</v>
      </c>
      <c r="M337">
        <f t="shared" si="45"/>
        <v>4.7104133333333342</v>
      </c>
      <c r="N337">
        <f t="shared" si="45"/>
        <v>4.6362083333333342</v>
      </c>
      <c r="O337">
        <f t="shared" si="45"/>
        <v>4.562003333333335</v>
      </c>
      <c r="P337">
        <f t="shared" si="45"/>
        <v>4.487798333333334</v>
      </c>
      <c r="Q337">
        <f t="shared" si="45"/>
        <v>4.4135933333333348</v>
      </c>
      <c r="R337">
        <f t="shared" si="45"/>
        <v>4.3393883333333338</v>
      </c>
      <c r="S337">
        <f t="shared" si="45"/>
        <v>4.2651833333333347</v>
      </c>
      <c r="T337">
        <f t="shared" si="45"/>
        <v>4.1909783333333337</v>
      </c>
      <c r="U337">
        <f t="shared" si="46"/>
        <v>4.1167733333333345</v>
      </c>
      <c r="V337">
        <f t="shared" si="46"/>
        <v>4.0425683333333335</v>
      </c>
      <c r="W337">
        <f t="shared" si="46"/>
        <v>3.9683633333333339</v>
      </c>
      <c r="X337">
        <f t="shared" si="46"/>
        <v>3.8941583333333338</v>
      </c>
      <c r="Y337">
        <f t="shared" si="46"/>
        <v>3.8199533333333338</v>
      </c>
      <c r="Z337">
        <f t="shared" si="46"/>
        <v>3.7457483333333337</v>
      </c>
      <c r="AA337">
        <f t="shared" si="46"/>
        <v>3.6715433333333336</v>
      </c>
      <c r="AB337">
        <f t="shared" si="46"/>
        <v>3.5973383333333335</v>
      </c>
      <c r="AC337">
        <f t="shared" si="46"/>
        <v>3.5231333333333335</v>
      </c>
      <c r="AD337">
        <f t="shared" si="46"/>
        <v>2.1874433333333347</v>
      </c>
    </row>
    <row r="338" spans="2:30" x14ac:dyDescent="0.2">
      <c r="B338" s="7">
        <v>44907</v>
      </c>
      <c r="C338" s="8">
        <v>1.6576388888888893</v>
      </c>
      <c r="D338">
        <f t="shared" si="44"/>
        <v>4.9338138888888894</v>
      </c>
      <c r="E338">
        <f t="shared" si="39"/>
        <v>4.8596088888888893</v>
      </c>
      <c r="F338">
        <f t="shared" si="39"/>
        <v>4.7854038888888892</v>
      </c>
      <c r="G338">
        <f t="shared" si="45"/>
        <v>4.7111988888888892</v>
      </c>
      <c r="H338">
        <f t="shared" si="45"/>
        <v>4.63699388888889</v>
      </c>
      <c r="I338">
        <f t="shared" si="45"/>
        <v>4.5627888888888899</v>
      </c>
      <c r="J338">
        <f t="shared" si="45"/>
        <v>4.4885838888888898</v>
      </c>
      <c r="K338">
        <f t="shared" si="45"/>
        <v>4.4143788888888897</v>
      </c>
      <c r="L338">
        <f t="shared" si="45"/>
        <v>4.3401738888888897</v>
      </c>
      <c r="M338">
        <f t="shared" si="45"/>
        <v>4.2659688888888896</v>
      </c>
      <c r="N338">
        <f t="shared" si="45"/>
        <v>4.1917638888888895</v>
      </c>
      <c r="O338">
        <f t="shared" si="45"/>
        <v>4.1175588888888894</v>
      </c>
      <c r="P338">
        <f t="shared" si="45"/>
        <v>4.0433538888888894</v>
      </c>
      <c r="Q338">
        <f t="shared" si="45"/>
        <v>3.9691488888888893</v>
      </c>
      <c r="R338">
        <f t="shared" si="45"/>
        <v>3.8949438888888892</v>
      </c>
      <c r="S338">
        <f t="shared" si="45"/>
        <v>3.8207388888888891</v>
      </c>
      <c r="T338">
        <f t="shared" si="45"/>
        <v>3.7465338888888891</v>
      </c>
      <c r="U338">
        <f t="shared" si="46"/>
        <v>3.672328888888889</v>
      </c>
      <c r="V338">
        <f t="shared" si="46"/>
        <v>3.5981238888888889</v>
      </c>
      <c r="W338">
        <f t="shared" si="46"/>
        <v>3.5239188888888888</v>
      </c>
      <c r="X338">
        <f t="shared" si="46"/>
        <v>3.4497138888888887</v>
      </c>
      <c r="Y338">
        <f t="shared" si="46"/>
        <v>3.3755088888888887</v>
      </c>
      <c r="Z338">
        <f t="shared" si="46"/>
        <v>3.3013038888888886</v>
      </c>
      <c r="AA338">
        <f t="shared" si="46"/>
        <v>3.2270988888888885</v>
      </c>
      <c r="AB338">
        <f t="shared" si="46"/>
        <v>3.1528938888888884</v>
      </c>
      <c r="AC338">
        <f t="shared" si="46"/>
        <v>3.0786888888888884</v>
      </c>
      <c r="AD338">
        <f t="shared" si="46"/>
        <v>1.7429988888888899</v>
      </c>
    </row>
    <row r="339" spans="2:30" x14ac:dyDescent="0.2">
      <c r="B339" s="7">
        <v>44908</v>
      </c>
      <c r="C339" s="8">
        <v>1.7166666666666672</v>
      </c>
      <c r="D339">
        <f t="shared" si="44"/>
        <v>4.9928416666666671</v>
      </c>
      <c r="E339">
        <f t="shared" si="39"/>
        <v>4.9186366666666679</v>
      </c>
      <c r="F339">
        <f t="shared" si="39"/>
        <v>4.8444316666666669</v>
      </c>
      <c r="G339">
        <f t="shared" si="45"/>
        <v>4.7702266666666677</v>
      </c>
      <c r="H339">
        <f t="shared" si="45"/>
        <v>4.6960216666666676</v>
      </c>
      <c r="I339">
        <f t="shared" si="45"/>
        <v>4.6218166666666676</v>
      </c>
      <c r="J339">
        <f t="shared" si="45"/>
        <v>4.5476116666666675</v>
      </c>
      <c r="K339">
        <f t="shared" si="45"/>
        <v>4.4734066666666674</v>
      </c>
      <c r="L339">
        <f t="shared" si="45"/>
        <v>4.3992016666666673</v>
      </c>
      <c r="M339">
        <f t="shared" si="45"/>
        <v>4.3249966666666673</v>
      </c>
      <c r="N339">
        <f t="shared" si="45"/>
        <v>4.2507916666666681</v>
      </c>
      <c r="O339">
        <f t="shared" si="45"/>
        <v>4.1765866666666671</v>
      </c>
      <c r="P339">
        <f t="shared" si="45"/>
        <v>4.1023816666666679</v>
      </c>
      <c r="Q339">
        <f t="shared" si="45"/>
        <v>4.028176666666667</v>
      </c>
      <c r="R339">
        <f t="shared" si="45"/>
        <v>3.9539716666666673</v>
      </c>
      <c r="S339">
        <f t="shared" si="45"/>
        <v>3.8797666666666673</v>
      </c>
      <c r="T339">
        <f t="shared" si="45"/>
        <v>3.8055616666666672</v>
      </c>
      <c r="U339">
        <f t="shared" si="46"/>
        <v>3.7313566666666671</v>
      </c>
      <c r="V339">
        <f t="shared" si="46"/>
        <v>3.657151666666667</v>
      </c>
      <c r="W339">
        <f t="shared" si="46"/>
        <v>3.5829466666666669</v>
      </c>
      <c r="X339">
        <f t="shared" si="46"/>
        <v>3.5087416666666669</v>
      </c>
      <c r="Y339">
        <f t="shared" si="46"/>
        <v>3.4345366666666668</v>
      </c>
      <c r="Z339">
        <f t="shared" si="46"/>
        <v>3.3603316666666667</v>
      </c>
      <c r="AA339">
        <f t="shared" si="46"/>
        <v>3.2861266666666666</v>
      </c>
      <c r="AB339">
        <f t="shared" si="46"/>
        <v>3.2119216666666666</v>
      </c>
      <c r="AC339">
        <f t="shared" si="46"/>
        <v>3.1377166666666665</v>
      </c>
      <c r="AD339">
        <f t="shared" si="46"/>
        <v>1.8020266666666678</v>
      </c>
    </row>
    <row r="340" spans="2:30" x14ac:dyDescent="0.2">
      <c r="B340" s="7">
        <v>44909</v>
      </c>
      <c r="C340" s="8">
        <v>1.8625000000000018</v>
      </c>
      <c r="D340">
        <f t="shared" si="44"/>
        <v>5.1386750000000019</v>
      </c>
      <c r="E340">
        <f t="shared" si="39"/>
        <v>5.0644700000000018</v>
      </c>
      <c r="F340">
        <f t="shared" si="39"/>
        <v>4.9902650000000017</v>
      </c>
      <c r="G340">
        <f t="shared" si="45"/>
        <v>4.9160600000000017</v>
      </c>
      <c r="H340">
        <f t="shared" si="45"/>
        <v>4.8418550000000025</v>
      </c>
      <c r="I340">
        <f t="shared" si="45"/>
        <v>4.7676500000000024</v>
      </c>
      <c r="J340">
        <f t="shared" si="45"/>
        <v>4.6934450000000023</v>
      </c>
      <c r="K340">
        <f t="shared" si="45"/>
        <v>4.6192400000000022</v>
      </c>
      <c r="L340">
        <f t="shared" si="45"/>
        <v>4.5450350000000022</v>
      </c>
      <c r="M340">
        <f t="shared" si="45"/>
        <v>4.4708300000000021</v>
      </c>
      <c r="N340">
        <f t="shared" si="45"/>
        <v>4.396625000000002</v>
      </c>
      <c r="O340">
        <f t="shared" si="45"/>
        <v>4.3224200000000019</v>
      </c>
      <c r="P340">
        <f t="shared" si="45"/>
        <v>4.2482150000000019</v>
      </c>
      <c r="Q340">
        <f t="shared" si="45"/>
        <v>4.1740100000000018</v>
      </c>
      <c r="R340">
        <f t="shared" si="45"/>
        <v>4.0998050000000017</v>
      </c>
      <c r="S340">
        <f t="shared" si="45"/>
        <v>4.0256000000000016</v>
      </c>
      <c r="T340">
        <f t="shared" si="45"/>
        <v>3.9513950000000015</v>
      </c>
      <c r="U340">
        <f t="shared" si="46"/>
        <v>3.8771900000000015</v>
      </c>
      <c r="V340">
        <f t="shared" si="46"/>
        <v>3.8029850000000014</v>
      </c>
      <c r="W340">
        <f t="shared" si="46"/>
        <v>3.7287800000000013</v>
      </c>
      <c r="X340">
        <f t="shared" si="46"/>
        <v>3.6545750000000012</v>
      </c>
      <c r="Y340">
        <f t="shared" si="46"/>
        <v>3.5803700000000012</v>
      </c>
      <c r="Z340">
        <f t="shared" si="46"/>
        <v>3.5061650000000011</v>
      </c>
      <c r="AA340">
        <f t="shared" si="46"/>
        <v>3.431960000000001</v>
      </c>
      <c r="AB340">
        <f t="shared" si="46"/>
        <v>3.3577550000000009</v>
      </c>
      <c r="AC340">
        <f t="shared" si="46"/>
        <v>3.2835500000000009</v>
      </c>
      <c r="AD340">
        <f t="shared" si="46"/>
        <v>1.9478600000000024</v>
      </c>
    </row>
    <row r="341" spans="2:30" x14ac:dyDescent="0.2">
      <c r="B341" s="7">
        <v>44910</v>
      </c>
      <c r="C341" s="8">
        <v>1.8572916666666646</v>
      </c>
      <c r="D341">
        <f t="shared" si="44"/>
        <v>5.1334666666666653</v>
      </c>
      <c r="E341">
        <f t="shared" ref="E341:F357" si="47">(-1.4841*E$3+3.6472)+$C341</f>
        <v>5.0592616666666643</v>
      </c>
      <c r="F341">
        <f t="shared" si="47"/>
        <v>4.9850566666666651</v>
      </c>
      <c r="G341">
        <f t="shared" si="45"/>
        <v>4.9108516666666642</v>
      </c>
      <c r="H341">
        <f t="shared" si="45"/>
        <v>4.836646666666665</v>
      </c>
      <c r="I341">
        <f t="shared" si="45"/>
        <v>4.7624416666666649</v>
      </c>
      <c r="J341">
        <f t="shared" si="45"/>
        <v>4.6882366666666648</v>
      </c>
      <c r="K341">
        <f t="shared" si="45"/>
        <v>4.6140316666666648</v>
      </c>
      <c r="L341">
        <f t="shared" si="45"/>
        <v>4.5398266666666647</v>
      </c>
      <c r="M341">
        <f t="shared" si="45"/>
        <v>4.4656216666666646</v>
      </c>
      <c r="N341">
        <f t="shared" si="45"/>
        <v>4.3914166666666645</v>
      </c>
      <c r="O341">
        <f t="shared" si="45"/>
        <v>4.3172116666666653</v>
      </c>
      <c r="P341">
        <f t="shared" si="45"/>
        <v>4.2430066666666644</v>
      </c>
      <c r="Q341">
        <f t="shared" si="45"/>
        <v>4.1688016666666652</v>
      </c>
      <c r="R341">
        <f t="shared" si="45"/>
        <v>4.0945966666666642</v>
      </c>
      <c r="S341">
        <f t="shared" si="45"/>
        <v>4.020391666666665</v>
      </c>
      <c r="T341">
        <f t="shared" si="45"/>
        <v>3.9461866666666645</v>
      </c>
      <c r="U341">
        <f t="shared" si="46"/>
        <v>3.8719816666666644</v>
      </c>
      <c r="V341">
        <f t="shared" si="46"/>
        <v>3.7977766666666644</v>
      </c>
      <c r="W341">
        <f t="shared" si="46"/>
        <v>3.7235716666666643</v>
      </c>
      <c r="X341">
        <f t="shared" si="46"/>
        <v>3.6493666666666642</v>
      </c>
      <c r="Y341">
        <f t="shared" si="46"/>
        <v>3.5751616666666641</v>
      </c>
      <c r="Z341">
        <f t="shared" si="46"/>
        <v>3.5009566666666641</v>
      </c>
      <c r="AA341">
        <f t="shared" si="46"/>
        <v>3.426751666666664</v>
      </c>
      <c r="AB341">
        <f t="shared" si="46"/>
        <v>3.3525466666666639</v>
      </c>
      <c r="AC341">
        <f t="shared" si="46"/>
        <v>3.2783416666666638</v>
      </c>
      <c r="AD341">
        <f t="shared" si="46"/>
        <v>1.9426516666666651</v>
      </c>
    </row>
    <row r="342" spans="2:30" x14ac:dyDescent="0.2">
      <c r="B342" s="7">
        <v>44911</v>
      </c>
      <c r="C342" s="8">
        <v>1.9861111111111127</v>
      </c>
      <c r="D342">
        <f t="shared" si="44"/>
        <v>5.2622861111111128</v>
      </c>
      <c r="E342">
        <f t="shared" si="47"/>
        <v>5.1880811111111127</v>
      </c>
      <c r="F342">
        <f t="shared" si="47"/>
        <v>5.1138761111111126</v>
      </c>
      <c r="G342">
        <f t="shared" si="45"/>
        <v>5.0396711111111125</v>
      </c>
      <c r="H342">
        <f t="shared" si="45"/>
        <v>4.9654661111111134</v>
      </c>
      <c r="I342">
        <f t="shared" si="45"/>
        <v>4.8912611111111133</v>
      </c>
      <c r="J342">
        <f t="shared" si="45"/>
        <v>4.8170561111111132</v>
      </c>
      <c r="K342">
        <f t="shared" si="45"/>
        <v>4.7428511111111131</v>
      </c>
      <c r="L342">
        <f t="shared" si="45"/>
        <v>4.6686461111111131</v>
      </c>
      <c r="M342">
        <f t="shared" si="45"/>
        <v>4.594441111111113</v>
      </c>
      <c r="N342">
        <f t="shared" si="45"/>
        <v>4.5202361111111129</v>
      </c>
      <c r="O342">
        <f t="shared" si="45"/>
        <v>4.4460311111111128</v>
      </c>
      <c r="P342">
        <f t="shared" si="45"/>
        <v>4.3718261111111127</v>
      </c>
      <c r="Q342">
        <f t="shared" si="45"/>
        <v>4.2976211111111127</v>
      </c>
      <c r="R342">
        <f t="shared" si="45"/>
        <v>4.2234161111111126</v>
      </c>
      <c r="S342">
        <f t="shared" si="45"/>
        <v>4.1492111111111125</v>
      </c>
      <c r="T342">
        <f t="shared" si="45"/>
        <v>4.0750061111111124</v>
      </c>
      <c r="U342">
        <f t="shared" si="46"/>
        <v>4.0008011111111124</v>
      </c>
      <c r="V342">
        <f t="shared" si="46"/>
        <v>3.9265961111111123</v>
      </c>
      <c r="W342">
        <f t="shared" si="46"/>
        <v>3.8523911111111122</v>
      </c>
      <c r="X342">
        <f t="shared" si="46"/>
        <v>3.7781861111111121</v>
      </c>
      <c r="Y342">
        <f t="shared" si="46"/>
        <v>3.7039811111111121</v>
      </c>
      <c r="Z342">
        <f t="shared" si="46"/>
        <v>3.629776111111112</v>
      </c>
      <c r="AA342">
        <f t="shared" si="46"/>
        <v>3.5555711111111119</v>
      </c>
      <c r="AB342">
        <f t="shared" si="46"/>
        <v>3.4813661111111118</v>
      </c>
      <c r="AC342">
        <f t="shared" si="46"/>
        <v>3.4071611111111118</v>
      </c>
      <c r="AD342">
        <f t="shared" si="46"/>
        <v>2.071471111111113</v>
      </c>
    </row>
    <row r="343" spans="2:30" x14ac:dyDescent="0.2">
      <c r="B343" s="7">
        <v>44912</v>
      </c>
      <c r="C343" s="8">
        <v>1.9222222222222227</v>
      </c>
      <c r="D343">
        <f t="shared" si="44"/>
        <v>5.1983972222222228</v>
      </c>
      <c r="E343">
        <f t="shared" si="47"/>
        <v>5.1241922222222227</v>
      </c>
      <c r="F343">
        <f t="shared" si="47"/>
        <v>5.0499872222222226</v>
      </c>
      <c r="G343">
        <f t="shared" si="45"/>
        <v>4.9757822222222226</v>
      </c>
      <c r="H343">
        <f t="shared" si="45"/>
        <v>4.9015772222222234</v>
      </c>
      <c r="I343">
        <f t="shared" si="45"/>
        <v>4.8273722222222233</v>
      </c>
      <c r="J343">
        <f t="shared" si="45"/>
        <v>4.7531672222222232</v>
      </c>
      <c r="K343">
        <f t="shared" si="45"/>
        <v>4.6789622222222231</v>
      </c>
      <c r="L343">
        <f t="shared" si="45"/>
        <v>4.6047572222222231</v>
      </c>
      <c r="M343">
        <f t="shared" si="45"/>
        <v>4.530552222222223</v>
      </c>
      <c r="N343">
        <f t="shared" si="45"/>
        <v>4.4563472222222229</v>
      </c>
      <c r="O343">
        <f t="shared" si="45"/>
        <v>4.3821422222222228</v>
      </c>
      <c r="P343">
        <f t="shared" si="45"/>
        <v>4.3079372222222228</v>
      </c>
      <c r="Q343">
        <f t="shared" si="45"/>
        <v>4.2337322222222227</v>
      </c>
      <c r="R343">
        <f t="shared" si="45"/>
        <v>4.1595272222222226</v>
      </c>
      <c r="S343">
        <f t="shared" si="45"/>
        <v>4.0853222222222225</v>
      </c>
      <c r="T343">
        <f t="shared" si="45"/>
        <v>4.0111172222222224</v>
      </c>
      <c r="U343">
        <f t="shared" si="46"/>
        <v>3.9369122222222224</v>
      </c>
      <c r="V343">
        <f t="shared" si="46"/>
        <v>3.8627072222222223</v>
      </c>
      <c r="W343">
        <f t="shared" si="46"/>
        <v>3.7885022222222222</v>
      </c>
      <c r="X343">
        <f t="shared" si="46"/>
        <v>3.7142972222222221</v>
      </c>
      <c r="Y343">
        <f t="shared" si="46"/>
        <v>3.6400922222222221</v>
      </c>
      <c r="Z343">
        <f t="shared" si="46"/>
        <v>3.565887222222222</v>
      </c>
      <c r="AA343">
        <f t="shared" si="46"/>
        <v>3.4916822222222219</v>
      </c>
      <c r="AB343">
        <f t="shared" si="46"/>
        <v>3.4174772222222218</v>
      </c>
      <c r="AC343">
        <f t="shared" si="46"/>
        <v>3.3432722222222218</v>
      </c>
      <c r="AD343">
        <f t="shared" si="46"/>
        <v>2.007582222222223</v>
      </c>
    </row>
    <row r="344" spans="2:30" x14ac:dyDescent="0.2">
      <c r="B344" s="7">
        <v>44913</v>
      </c>
      <c r="C344" s="8">
        <v>1.4798611111111126</v>
      </c>
      <c r="D344">
        <f t="shared" si="44"/>
        <v>4.7560361111111131</v>
      </c>
      <c r="E344">
        <f t="shared" si="47"/>
        <v>4.6818311111111131</v>
      </c>
      <c r="F344">
        <f t="shared" si="47"/>
        <v>4.607626111111113</v>
      </c>
      <c r="G344">
        <f t="shared" si="45"/>
        <v>4.5334211111111129</v>
      </c>
      <c r="H344">
        <f t="shared" si="45"/>
        <v>4.4592161111111128</v>
      </c>
      <c r="I344">
        <f t="shared" si="45"/>
        <v>4.3850111111111127</v>
      </c>
      <c r="J344">
        <f t="shared" si="45"/>
        <v>4.3108061111111127</v>
      </c>
      <c r="K344">
        <f t="shared" si="45"/>
        <v>4.2366011111111126</v>
      </c>
      <c r="L344">
        <f t="shared" si="45"/>
        <v>4.1623961111111125</v>
      </c>
      <c r="M344">
        <f t="shared" si="45"/>
        <v>4.0881911111111124</v>
      </c>
      <c r="N344">
        <f t="shared" si="45"/>
        <v>4.0139861111111133</v>
      </c>
      <c r="O344">
        <f t="shared" si="45"/>
        <v>3.9397811111111132</v>
      </c>
      <c r="P344">
        <f t="shared" si="45"/>
        <v>3.8655761111111131</v>
      </c>
      <c r="Q344">
        <f t="shared" si="45"/>
        <v>3.791371111111113</v>
      </c>
      <c r="R344">
        <f t="shared" si="45"/>
        <v>3.7171661111111129</v>
      </c>
      <c r="S344">
        <f t="shared" si="45"/>
        <v>3.6429611111111129</v>
      </c>
      <c r="T344">
        <f t="shared" si="45"/>
        <v>3.5687561111111128</v>
      </c>
      <c r="U344">
        <f t="shared" si="46"/>
        <v>3.4945511111111127</v>
      </c>
      <c r="V344">
        <f t="shared" si="46"/>
        <v>3.4203461111111126</v>
      </c>
      <c r="W344">
        <f t="shared" si="46"/>
        <v>3.3461411111111126</v>
      </c>
      <c r="X344">
        <f t="shared" si="46"/>
        <v>3.2719361111111125</v>
      </c>
      <c r="Y344">
        <f t="shared" si="46"/>
        <v>3.1977311111111124</v>
      </c>
      <c r="Z344">
        <f t="shared" si="46"/>
        <v>3.1235261111111123</v>
      </c>
      <c r="AA344">
        <f t="shared" si="46"/>
        <v>3.0493211111111123</v>
      </c>
      <c r="AB344">
        <f t="shared" si="46"/>
        <v>2.9751161111111122</v>
      </c>
      <c r="AC344">
        <f t="shared" si="46"/>
        <v>2.9009111111111121</v>
      </c>
      <c r="AD344">
        <f t="shared" si="46"/>
        <v>1.5652211111111132</v>
      </c>
    </row>
    <row r="345" spans="2:30" x14ac:dyDescent="0.2">
      <c r="B345" s="7">
        <v>44914</v>
      </c>
      <c r="C345" s="8">
        <v>0.75208333333333266</v>
      </c>
      <c r="D345">
        <f t="shared" si="44"/>
        <v>4.0282583333333326</v>
      </c>
      <c r="E345">
        <f t="shared" si="47"/>
        <v>3.954053333333333</v>
      </c>
      <c r="F345">
        <f t="shared" si="47"/>
        <v>3.8798483333333329</v>
      </c>
      <c r="G345">
        <f t="shared" si="45"/>
        <v>3.8056433333333328</v>
      </c>
      <c r="H345">
        <f t="shared" si="45"/>
        <v>3.7314383333333332</v>
      </c>
      <c r="I345">
        <f t="shared" si="45"/>
        <v>3.6572333333333331</v>
      </c>
      <c r="J345">
        <f t="shared" si="45"/>
        <v>3.583028333333333</v>
      </c>
      <c r="K345">
        <f t="shared" si="45"/>
        <v>3.508823333333333</v>
      </c>
      <c r="L345">
        <f t="shared" si="45"/>
        <v>3.4346183333333329</v>
      </c>
      <c r="M345">
        <f t="shared" si="45"/>
        <v>3.3604133333333328</v>
      </c>
      <c r="N345">
        <f t="shared" si="45"/>
        <v>3.2862083333333332</v>
      </c>
      <c r="O345">
        <f t="shared" si="45"/>
        <v>3.2120033333333331</v>
      </c>
      <c r="P345">
        <f t="shared" si="45"/>
        <v>3.137798333333333</v>
      </c>
      <c r="Q345">
        <f t="shared" si="45"/>
        <v>3.0635933333333329</v>
      </c>
      <c r="R345">
        <f t="shared" si="45"/>
        <v>2.9893883333333329</v>
      </c>
      <c r="S345">
        <f t="shared" si="45"/>
        <v>2.9151833333333328</v>
      </c>
      <c r="T345">
        <f t="shared" si="45"/>
        <v>2.8409783333333327</v>
      </c>
      <c r="U345">
        <f t="shared" si="46"/>
        <v>2.7667733333333326</v>
      </c>
      <c r="V345">
        <f t="shared" si="46"/>
        <v>2.6925683333333326</v>
      </c>
      <c r="W345">
        <f t="shared" si="46"/>
        <v>2.6183633333333325</v>
      </c>
      <c r="X345">
        <f t="shared" si="46"/>
        <v>2.5441583333333324</v>
      </c>
      <c r="Y345">
        <f t="shared" si="46"/>
        <v>2.4699533333333323</v>
      </c>
      <c r="Z345">
        <f t="shared" si="46"/>
        <v>2.3957483333333323</v>
      </c>
      <c r="AA345">
        <f t="shared" si="46"/>
        <v>2.3215433333333322</v>
      </c>
      <c r="AB345">
        <f t="shared" si="46"/>
        <v>2.2473383333333321</v>
      </c>
      <c r="AC345">
        <f t="shared" si="46"/>
        <v>2.173133333333332</v>
      </c>
      <c r="AD345">
        <f t="shared" si="46"/>
        <v>0.83744333333333321</v>
      </c>
    </row>
    <row r="346" spans="2:30" x14ac:dyDescent="0.2">
      <c r="B346" s="7">
        <v>44915</v>
      </c>
      <c r="C346" s="8">
        <v>3.0618055555555577</v>
      </c>
      <c r="D346">
        <f t="shared" si="44"/>
        <v>6.3379805555555579</v>
      </c>
      <c r="E346">
        <f t="shared" si="47"/>
        <v>6.2637755555555579</v>
      </c>
      <c r="F346">
        <f t="shared" si="47"/>
        <v>6.1895705555555578</v>
      </c>
      <c r="G346">
        <f t="shared" si="45"/>
        <v>6.1153655555555577</v>
      </c>
      <c r="H346">
        <f t="shared" si="45"/>
        <v>6.0411605555555585</v>
      </c>
      <c r="I346">
        <f t="shared" si="45"/>
        <v>5.9669555555555576</v>
      </c>
      <c r="J346">
        <f t="shared" si="45"/>
        <v>5.8927505555555584</v>
      </c>
      <c r="K346">
        <f t="shared" si="45"/>
        <v>5.8185455555555574</v>
      </c>
      <c r="L346">
        <f t="shared" si="45"/>
        <v>5.7443405555555582</v>
      </c>
      <c r="M346">
        <f t="shared" si="45"/>
        <v>5.6701355555555573</v>
      </c>
      <c r="N346">
        <f t="shared" si="45"/>
        <v>5.5959305555555581</v>
      </c>
      <c r="O346">
        <f t="shared" si="45"/>
        <v>5.521725555555558</v>
      </c>
      <c r="P346">
        <f t="shared" si="45"/>
        <v>5.4475205555555579</v>
      </c>
      <c r="Q346">
        <f t="shared" si="45"/>
        <v>5.3733155555555578</v>
      </c>
      <c r="R346">
        <f t="shared" si="45"/>
        <v>5.2991105555555578</v>
      </c>
      <c r="S346">
        <f t="shared" si="45"/>
        <v>5.2249055555555577</v>
      </c>
      <c r="T346">
        <f t="shared" si="45"/>
        <v>5.1507005555555576</v>
      </c>
      <c r="U346">
        <f t="shared" si="46"/>
        <v>5.0764955555555575</v>
      </c>
      <c r="V346">
        <f t="shared" si="46"/>
        <v>5.0022905555555575</v>
      </c>
      <c r="W346">
        <f t="shared" si="46"/>
        <v>4.9280855555555574</v>
      </c>
      <c r="X346">
        <f t="shared" si="46"/>
        <v>4.8538805555555573</v>
      </c>
      <c r="Y346">
        <f t="shared" si="46"/>
        <v>4.7796755555555572</v>
      </c>
      <c r="Z346">
        <f t="shared" si="46"/>
        <v>4.7054705555555572</v>
      </c>
      <c r="AA346">
        <f t="shared" si="46"/>
        <v>4.6312655555555571</v>
      </c>
      <c r="AB346">
        <f t="shared" si="46"/>
        <v>4.557060555555557</v>
      </c>
      <c r="AC346">
        <f t="shared" si="46"/>
        <v>4.4828555555555569</v>
      </c>
      <c r="AD346">
        <f t="shared" si="46"/>
        <v>3.1471655555555582</v>
      </c>
    </row>
    <row r="347" spans="2:30" x14ac:dyDescent="0.2">
      <c r="B347" s="7">
        <v>44916</v>
      </c>
      <c r="C347" s="8">
        <v>4.4576388888888934</v>
      </c>
      <c r="D347">
        <f t="shared" si="44"/>
        <v>7.7338138888888937</v>
      </c>
      <c r="E347">
        <f t="shared" si="47"/>
        <v>7.6596088888888936</v>
      </c>
      <c r="F347">
        <f t="shared" si="47"/>
        <v>7.5854038888888935</v>
      </c>
      <c r="G347">
        <f t="shared" si="45"/>
        <v>7.5111988888888934</v>
      </c>
      <c r="H347">
        <f t="shared" si="45"/>
        <v>7.4369938888888942</v>
      </c>
      <c r="I347">
        <f t="shared" si="45"/>
        <v>7.3627888888888933</v>
      </c>
      <c r="J347">
        <f t="shared" si="45"/>
        <v>7.2885838888888941</v>
      </c>
      <c r="K347">
        <f t="shared" si="45"/>
        <v>7.2143788888888931</v>
      </c>
      <c r="L347">
        <f t="shared" si="45"/>
        <v>7.1401738888888939</v>
      </c>
      <c r="M347">
        <f t="shared" si="45"/>
        <v>7.065968888888893</v>
      </c>
      <c r="N347">
        <f t="shared" si="45"/>
        <v>6.9917638888888938</v>
      </c>
      <c r="O347">
        <f t="shared" si="45"/>
        <v>6.9175588888888937</v>
      </c>
      <c r="P347">
        <f t="shared" si="45"/>
        <v>6.8433538888888936</v>
      </c>
      <c r="Q347">
        <f t="shared" si="45"/>
        <v>6.7691488888888935</v>
      </c>
      <c r="R347">
        <f t="shared" si="45"/>
        <v>6.6949438888888935</v>
      </c>
      <c r="S347">
        <f t="shared" si="45"/>
        <v>6.6207388888888934</v>
      </c>
      <c r="T347">
        <f t="shared" si="45"/>
        <v>6.5465338888888933</v>
      </c>
      <c r="U347">
        <f t="shared" si="46"/>
        <v>6.4723288888888932</v>
      </c>
      <c r="V347">
        <f t="shared" si="46"/>
        <v>6.3981238888888932</v>
      </c>
      <c r="W347">
        <f t="shared" si="46"/>
        <v>6.3239188888888931</v>
      </c>
      <c r="X347">
        <f t="shared" si="46"/>
        <v>6.249713888888893</v>
      </c>
      <c r="Y347">
        <f t="shared" si="46"/>
        <v>6.1755088888888929</v>
      </c>
      <c r="Z347">
        <f t="shared" si="46"/>
        <v>6.1013038888888929</v>
      </c>
      <c r="AA347">
        <f t="shared" si="46"/>
        <v>6.0270988888888928</v>
      </c>
      <c r="AB347">
        <f t="shared" si="46"/>
        <v>5.9528938888888927</v>
      </c>
      <c r="AC347">
        <f t="shared" si="46"/>
        <v>5.8786888888888926</v>
      </c>
      <c r="AD347">
        <f t="shared" si="46"/>
        <v>4.5429988888888939</v>
      </c>
    </row>
    <row r="348" spans="2:30" x14ac:dyDescent="0.2">
      <c r="B348" s="7">
        <v>44917</v>
      </c>
      <c r="C348" s="8">
        <v>5.9770833333333311</v>
      </c>
      <c r="D348">
        <f t="shared" si="44"/>
        <v>9.2532583333333314</v>
      </c>
      <c r="E348">
        <f t="shared" si="47"/>
        <v>9.1790533333333322</v>
      </c>
      <c r="F348">
        <f t="shared" si="47"/>
        <v>9.1048483333333312</v>
      </c>
      <c r="G348">
        <f t="shared" si="45"/>
        <v>9.0306433333333302</v>
      </c>
      <c r="H348">
        <f t="shared" si="45"/>
        <v>8.9564383333333311</v>
      </c>
      <c r="I348">
        <f t="shared" si="45"/>
        <v>8.8822333333333319</v>
      </c>
      <c r="J348">
        <f t="shared" si="45"/>
        <v>8.8080283333333309</v>
      </c>
      <c r="K348">
        <f t="shared" si="45"/>
        <v>8.7338233333333317</v>
      </c>
      <c r="L348">
        <f t="shared" si="45"/>
        <v>8.6596183333333308</v>
      </c>
      <c r="M348">
        <f t="shared" si="45"/>
        <v>8.5854133333333316</v>
      </c>
      <c r="N348">
        <f t="shared" ref="G348:T357" si="48">(-1.4841*N$3+3.6472)+$C348</f>
        <v>8.5112083333333324</v>
      </c>
      <c r="O348">
        <f t="shared" si="48"/>
        <v>8.4370033333333314</v>
      </c>
      <c r="P348">
        <f t="shared" si="48"/>
        <v>8.3627983333333304</v>
      </c>
      <c r="Q348">
        <f t="shared" si="48"/>
        <v>8.2885933333333313</v>
      </c>
      <c r="R348">
        <f t="shared" si="48"/>
        <v>8.2143883333333321</v>
      </c>
      <c r="S348">
        <f t="shared" si="48"/>
        <v>8.1401833333333311</v>
      </c>
      <c r="T348">
        <f t="shared" si="48"/>
        <v>8.0659783333333301</v>
      </c>
      <c r="U348">
        <f t="shared" si="46"/>
        <v>7.991773333333331</v>
      </c>
      <c r="V348">
        <f t="shared" si="46"/>
        <v>7.9175683333333309</v>
      </c>
      <c r="W348">
        <f t="shared" si="46"/>
        <v>7.8433633333333308</v>
      </c>
      <c r="X348">
        <f t="shared" si="46"/>
        <v>7.7691583333333307</v>
      </c>
      <c r="Y348">
        <f t="shared" si="46"/>
        <v>7.6949533333333306</v>
      </c>
      <c r="Z348">
        <f t="shared" si="46"/>
        <v>7.6207483333333306</v>
      </c>
      <c r="AA348">
        <f t="shared" si="46"/>
        <v>7.5465433333333305</v>
      </c>
      <c r="AB348">
        <f t="shared" si="46"/>
        <v>7.4723383333333304</v>
      </c>
      <c r="AC348">
        <f t="shared" si="46"/>
        <v>7.3981333333333303</v>
      </c>
      <c r="AD348">
        <f t="shared" si="46"/>
        <v>6.0624433333333316</v>
      </c>
    </row>
    <row r="349" spans="2:30" x14ac:dyDescent="0.2">
      <c r="B349" s="7">
        <v>44918</v>
      </c>
      <c r="C349" s="8">
        <v>6.97708333333334</v>
      </c>
      <c r="D349">
        <f t="shared" si="44"/>
        <v>10.25325833333334</v>
      </c>
      <c r="E349">
        <f t="shared" si="47"/>
        <v>10.179053333333339</v>
      </c>
      <c r="F349">
        <f t="shared" si="47"/>
        <v>10.10484833333334</v>
      </c>
      <c r="G349">
        <f t="shared" si="48"/>
        <v>10.030643333333341</v>
      </c>
      <c r="H349">
        <f t="shared" si="48"/>
        <v>9.9564383333333399</v>
      </c>
      <c r="I349">
        <f t="shared" si="48"/>
        <v>9.8822333333333408</v>
      </c>
      <c r="J349">
        <f t="shared" si="48"/>
        <v>9.8080283333333398</v>
      </c>
      <c r="K349">
        <f t="shared" si="48"/>
        <v>9.7338233333333406</v>
      </c>
      <c r="L349">
        <f t="shared" si="48"/>
        <v>9.6596183333333396</v>
      </c>
      <c r="M349">
        <f t="shared" si="48"/>
        <v>9.5854133333333404</v>
      </c>
      <c r="N349">
        <f t="shared" si="48"/>
        <v>9.5112083333333395</v>
      </c>
      <c r="O349">
        <f t="shared" si="48"/>
        <v>9.4370033333333403</v>
      </c>
      <c r="P349">
        <f t="shared" si="48"/>
        <v>9.3627983333333411</v>
      </c>
      <c r="Q349">
        <f t="shared" si="48"/>
        <v>9.2885933333333401</v>
      </c>
      <c r="R349">
        <f t="shared" si="48"/>
        <v>9.2143883333333392</v>
      </c>
      <c r="S349">
        <f t="shared" si="48"/>
        <v>9.14018333333334</v>
      </c>
      <c r="T349">
        <f t="shared" si="48"/>
        <v>9.0659783333333408</v>
      </c>
      <c r="U349">
        <f t="shared" si="46"/>
        <v>8.9917733333333398</v>
      </c>
      <c r="V349">
        <f t="shared" si="46"/>
        <v>8.9175683333333389</v>
      </c>
      <c r="W349">
        <f t="shared" si="46"/>
        <v>8.8433633333333397</v>
      </c>
      <c r="X349">
        <f t="shared" si="46"/>
        <v>8.7691583333333405</v>
      </c>
      <c r="Y349">
        <f t="shared" si="46"/>
        <v>8.6949533333333395</v>
      </c>
      <c r="Z349">
        <f t="shared" si="46"/>
        <v>8.6207483333333386</v>
      </c>
      <c r="AA349">
        <f t="shared" si="46"/>
        <v>8.5465433333333394</v>
      </c>
      <c r="AB349">
        <f t="shared" si="46"/>
        <v>8.4723383333333402</v>
      </c>
      <c r="AC349">
        <f t="shared" si="46"/>
        <v>8.3981333333333392</v>
      </c>
      <c r="AD349">
        <f t="shared" si="46"/>
        <v>7.0624433333333405</v>
      </c>
    </row>
    <row r="350" spans="2:30" x14ac:dyDescent="0.2">
      <c r="B350" s="7">
        <v>44919</v>
      </c>
      <c r="C350" s="8">
        <v>7.1131944444444377</v>
      </c>
      <c r="D350">
        <f t="shared" si="44"/>
        <v>10.389369444444437</v>
      </c>
      <c r="E350">
        <f t="shared" si="47"/>
        <v>10.315164444444438</v>
      </c>
      <c r="F350">
        <f t="shared" si="47"/>
        <v>10.240959444444439</v>
      </c>
      <c r="G350">
        <f t="shared" si="48"/>
        <v>10.166754444444438</v>
      </c>
      <c r="H350">
        <f t="shared" si="48"/>
        <v>10.092549444444439</v>
      </c>
      <c r="I350">
        <f t="shared" si="48"/>
        <v>10.018344444444438</v>
      </c>
      <c r="J350">
        <f t="shared" si="48"/>
        <v>9.9441394444444384</v>
      </c>
      <c r="K350">
        <f t="shared" si="48"/>
        <v>9.8699344444444375</v>
      </c>
      <c r="L350">
        <f t="shared" si="48"/>
        <v>9.7957294444444383</v>
      </c>
      <c r="M350">
        <f t="shared" si="48"/>
        <v>9.7215244444444373</v>
      </c>
      <c r="N350">
        <f t="shared" si="48"/>
        <v>9.6473194444444381</v>
      </c>
      <c r="O350">
        <f t="shared" si="48"/>
        <v>9.5731144444444389</v>
      </c>
      <c r="P350">
        <f t="shared" si="48"/>
        <v>9.498909444444438</v>
      </c>
      <c r="Q350">
        <f t="shared" si="48"/>
        <v>9.424704444444437</v>
      </c>
      <c r="R350">
        <f t="shared" si="48"/>
        <v>9.3504994444444378</v>
      </c>
      <c r="S350">
        <f t="shared" si="48"/>
        <v>9.2762944444444386</v>
      </c>
      <c r="T350">
        <f t="shared" si="48"/>
        <v>9.2020894444444377</v>
      </c>
      <c r="U350">
        <f t="shared" si="46"/>
        <v>9.1278844444444367</v>
      </c>
      <c r="V350">
        <f t="shared" si="46"/>
        <v>9.0536794444444375</v>
      </c>
      <c r="W350">
        <f t="shared" si="46"/>
        <v>8.9794744444444383</v>
      </c>
      <c r="X350">
        <f t="shared" si="46"/>
        <v>8.9052694444444374</v>
      </c>
      <c r="Y350">
        <f t="shared" si="46"/>
        <v>8.8310644444444364</v>
      </c>
      <c r="Z350">
        <f t="shared" si="46"/>
        <v>8.7568594444444372</v>
      </c>
      <c r="AA350">
        <f t="shared" si="46"/>
        <v>8.682654444444438</v>
      </c>
      <c r="AB350">
        <f t="shared" si="46"/>
        <v>8.608449444444437</v>
      </c>
      <c r="AC350">
        <f t="shared" si="46"/>
        <v>8.5342444444444361</v>
      </c>
      <c r="AD350">
        <f t="shared" si="46"/>
        <v>7.1985544444444383</v>
      </c>
    </row>
    <row r="351" spans="2:30" x14ac:dyDescent="0.2">
      <c r="B351" s="7">
        <v>44920</v>
      </c>
      <c r="C351" s="8">
        <v>6.7111111111111095</v>
      </c>
      <c r="D351">
        <f t="shared" si="44"/>
        <v>9.9872861111111106</v>
      </c>
      <c r="E351">
        <f t="shared" si="47"/>
        <v>9.9130811111111097</v>
      </c>
      <c r="F351">
        <f t="shared" si="47"/>
        <v>9.8388761111111087</v>
      </c>
      <c r="G351">
        <f t="shared" si="48"/>
        <v>9.7646711111111095</v>
      </c>
      <c r="H351">
        <f t="shared" si="48"/>
        <v>9.6904661111111103</v>
      </c>
      <c r="I351">
        <f t="shared" si="48"/>
        <v>9.6162611111111094</v>
      </c>
      <c r="J351">
        <f t="shared" si="48"/>
        <v>9.5420561111111102</v>
      </c>
      <c r="K351">
        <f t="shared" si="48"/>
        <v>9.4678511111111092</v>
      </c>
      <c r="L351">
        <f t="shared" si="48"/>
        <v>9.39364611111111</v>
      </c>
      <c r="M351">
        <f t="shared" si="48"/>
        <v>9.3194411111111091</v>
      </c>
      <c r="N351">
        <f t="shared" si="48"/>
        <v>9.2452361111111099</v>
      </c>
      <c r="O351">
        <f t="shared" si="48"/>
        <v>9.1710311111111089</v>
      </c>
      <c r="P351">
        <f t="shared" si="48"/>
        <v>9.0968261111111097</v>
      </c>
      <c r="Q351">
        <f t="shared" si="48"/>
        <v>9.0226211111111105</v>
      </c>
      <c r="R351">
        <f t="shared" si="48"/>
        <v>8.9484161111111096</v>
      </c>
      <c r="S351">
        <f t="shared" si="48"/>
        <v>8.8742111111111086</v>
      </c>
      <c r="T351">
        <f t="shared" si="48"/>
        <v>8.8000061111111094</v>
      </c>
      <c r="U351">
        <f t="shared" si="46"/>
        <v>8.7258011111111102</v>
      </c>
      <c r="V351">
        <f t="shared" si="46"/>
        <v>8.6515961111111093</v>
      </c>
      <c r="W351">
        <f t="shared" si="46"/>
        <v>8.5773911111111083</v>
      </c>
      <c r="X351">
        <f t="shared" si="46"/>
        <v>8.5031861111111091</v>
      </c>
      <c r="Y351">
        <f t="shared" si="46"/>
        <v>8.4289811111111099</v>
      </c>
      <c r="Z351">
        <f t="shared" si="46"/>
        <v>8.354776111111109</v>
      </c>
      <c r="AA351">
        <f t="shared" si="46"/>
        <v>8.280571111111108</v>
      </c>
      <c r="AB351">
        <f t="shared" si="46"/>
        <v>8.2063661111111088</v>
      </c>
      <c r="AC351">
        <f t="shared" si="46"/>
        <v>8.1321611111111096</v>
      </c>
      <c r="AD351">
        <f t="shared" si="46"/>
        <v>6.79647111111111</v>
      </c>
    </row>
    <row r="352" spans="2:30" x14ac:dyDescent="0.2">
      <c r="B352" s="7">
        <v>44921</v>
      </c>
      <c r="C352" s="8">
        <v>6.1222222222222236</v>
      </c>
      <c r="D352">
        <f t="shared" si="44"/>
        <v>9.3983972222222238</v>
      </c>
      <c r="E352">
        <f t="shared" si="47"/>
        <v>9.3241922222222229</v>
      </c>
      <c r="F352">
        <f t="shared" si="47"/>
        <v>9.2499872222222237</v>
      </c>
      <c r="G352">
        <f t="shared" si="48"/>
        <v>9.1757822222222245</v>
      </c>
      <c r="H352">
        <f t="shared" si="48"/>
        <v>9.1015772222222235</v>
      </c>
      <c r="I352">
        <f t="shared" si="48"/>
        <v>9.0273722222222244</v>
      </c>
      <c r="J352">
        <f t="shared" si="48"/>
        <v>8.9531672222222234</v>
      </c>
      <c r="K352">
        <f t="shared" si="48"/>
        <v>8.8789622222222242</v>
      </c>
      <c r="L352">
        <f t="shared" si="48"/>
        <v>8.8047572222222232</v>
      </c>
      <c r="M352">
        <f t="shared" si="48"/>
        <v>8.730552222222224</v>
      </c>
      <c r="N352">
        <f t="shared" si="48"/>
        <v>8.6563472222222231</v>
      </c>
      <c r="O352">
        <f t="shared" si="48"/>
        <v>8.5821422222222239</v>
      </c>
      <c r="P352">
        <f t="shared" si="48"/>
        <v>8.5079372222222247</v>
      </c>
      <c r="Q352">
        <f t="shared" si="48"/>
        <v>8.4337322222222237</v>
      </c>
      <c r="R352">
        <f t="shared" si="48"/>
        <v>8.3595272222222228</v>
      </c>
      <c r="S352">
        <f t="shared" si="48"/>
        <v>8.2853222222222236</v>
      </c>
      <c r="T352">
        <f t="shared" si="48"/>
        <v>8.2111172222222244</v>
      </c>
      <c r="U352">
        <f t="shared" si="46"/>
        <v>8.1369122222222234</v>
      </c>
      <c r="V352">
        <f t="shared" si="46"/>
        <v>8.0627072222222225</v>
      </c>
      <c r="W352">
        <f t="shared" si="46"/>
        <v>7.9885022222222233</v>
      </c>
      <c r="X352">
        <f t="shared" si="46"/>
        <v>7.9142972222222232</v>
      </c>
      <c r="Y352">
        <f t="shared" si="46"/>
        <v>7.8400922222222231</v>
      </c>
      <c r="Z352">
        <f t="shared" si="46"/>
        <v>7.7658872222222231</v>
      </c>
      <c r="AA352">
        <f t="shared" si="46"/>
        <v>7.691682222222223</v>
      </c>
      <c r="AB352">
        <f t="shared" si="46"/>
        <v>7.6174772222222229</v>
      </c>
      <c r="AC352">
        <f t="shared" si="46"/>
        <v>7.5432722222222228</v>
      </c>
      <c r="AD352">
        <f t="shared" si="46"/>
        <v>6.2075822222222241</v>
      </c>
    </row>
    <row r="353" spans="2:30" x14ac:dyDescent="0.2">
      <c r="B353" s="7">
        <v>44922</v>
      </c>
      <c r="C353" s="8">
        <v>4.3826388888888834</v>
      </c>
      <c r="D353">
        <f t="shared" si="44"/>
        <v>7.6588138888888837</v>
      </c>
      <c r="E353">
        <f t="shared" si="47"/>
        <v>7.5846088888888836</v>
      </c>
      <c r="F353">
        <f t="shared" si="47"/>
        <v>7.5104038888888836</v>
      </c>
      <c r="G353">
        <f t="shared" si="48"/>
        <v>7.4361988888888835</v>
      </c>
      <c r="H353">
        <f t="shared" si="48"/>
        <v>7.3619938888888843</v>
      </c>
      <c r="I353">
        <f t="shared" si="48"/>
        <v>7.2877888888888833</v>
      </c>
      <c r="J353">
        <f t="shared" si="48"/>
        <v>7.2135838888888841</v>
      </c>
      <c r="K353">
        <f t="shared" si="48"/>
        <v>7.1393788888888832</v>
      </c>
      <c r="L353">
        <f t="shared" si="48"/>
        <v>7.065173888888884</v>
      </c>
      <c r="M353">
        <f t="shared" si="48"/>
        <v>6.990968888888883</v>
      </c>
      <c r="N353">
        <f t="shared" si="48"/>
        <v>6.9167638888888838</v>
      </c>
      <c r="O353">
        <f t="shared" si="48"/>
        <v>6.8425588888888838</v>
      </c>
      <c r="P353">
        <f t="shared" si="48"/>
        <v>6.7683538888888837</v>
      </c>
      <c r="Q353">
        <f t="shared" si="48"/>
        <v>6.6941488888888836</v>
      </c>
      <c r="R353">
        <f t="shared" si="48"/>
        <v>6.6199438888888835</v>
      </c>
      <c r="S353">
        <f t="shared" si="48"/>
        <v>6.5457388888888834</v>
      </c>
      <c r="T353">
        <f t="shared" si="48"/>
        <v>6.4715338888888834</v>
      </c>
      <c r="U353">
        <f t="shared" si="46"/>
        <v>6.3973288888888833</v>
      </c>
      <c r="V353">
        <f t="shared" si="46"/>
        <v>6.3231238888888832</v>
      </c>
      <c r="W353">
        <f t="shared" si="46"/>
        <v>6.2489188888888831</v>
      </c>
      <c r="X353">
        <f t="shared" si="46"/>
        <v>6.1747138888888831</v>
      </c>
      <c r="Y353">
        <f t="shared" si="46"/>
        <v>6.100508888888883</v>
      </c>
      <c r="Z353">
        <f t="shared" si="46"/>
        <v>6.0263038888888829</v>
      </c>
      <c r="AA353">
        <f t="shared" si="46"/>
        <v>5.9520988888888828</v>
      </c>
      <c r="AB353">
        <f t="shared" si="46"/>
        <v>5.8778938888888828</v>
      </c>
      <c r="AC353">
        <f t="shared" si="46"/>
        <v>5.8036888888888827</v>
      </c>
      <c r="AD353">
        <f t="shared" si="46"/>
        <v>4.467998888888884</v>
      </c>
    </row>
    <row r="354" spans="2:30" x14ac:dyDescent="0.2">
      <c r="B354" s="7">
        <v>44923</v>
      </c>
      <c r="C354" s="8">
        <v>6.6812499999999995</v>
      </c>
      <c r="D354">
        <f t="shared" si="44"/>
        <v>9.9574250000000006</v>
      </c>
      <c r="E354">
        <f t="shared" si="47"/>
        <v>9.8832199999999997</v>
      </c>
      <c r="F354">
        <f t="shared" si="47"/>
        <v>9.8090149999999987</v>
      </c>
      <c r="G354">
        <f t="shared" si="48"/>
        <v>9.7348099999999995</v>
      </c>
      <c r="H354">
        <f t="shared" si="48"/>
        <v>9.6606050000000003</v>
      </c>
      <c r="I354">
        <f t="shared" si="48"/>
        <v>9.5863999999999994</v>
      </c>
      <c r="J354">
        <f t="shared" si="48"/>
        <v>9.5121950000000002</v>
      </c>
      <c r="K354">
        <f t="shared" si="48"/>
        <v>9.4379899999999992</v>
      </c>
      <c r="L354">
        <f t="shared" si="48"/>
        <v>9.363785</v>
      </c>
      <c r="M354">
        <f t="shared" si="48"/>
        <v>9.2895799999999991</v>
      </c>
      <c r="N354">
        <f t="shared" si="48"/>
        <v>9.2153749999999999</v>
      </c>
      <c r="O354">
        <f t="shared" si="48"/>
        <v>9.1411699999999989</v>
      </c>
      <c r="P354">
        <f t="shared" si="48"/>
        <v>9.0669649999999997</v>
      </c>
      <c r="Q354">
        <f t="shared" si="48"/>
        <v>8.9927600000000005</v>
      </c>
      <c r="R354">
        <f t="shared" si="48"/>
        <v>8.9185549999999996</v>
      </c>
      <c r="S354">
        <f t="shared" si="48"/>
        <v>8.8443499999999986</v>
      </c>
      <c r="T354">
        <f t="shared" si="48"/>
        <v>8.7701449999999994</v>
      </c>
      <c r="U354">
        <f t="shared" si="46"/>
        <v>8.6959400000000002</v>
      </c>
      <c r="V354">
        <f t="shared" si="46"/>
        <v>8.6217349999999993</v>
      </c>
      <c r="W354">
        <f t="shared" si="46"/>
        <v>8.5475299999999983</v>
      </c>
      <c r="X354">
        <f t="shared" si="46"/>
        <v>8.4733249999999991</v>
      </c>
      <c r="Y354">
        <f t="shared" si="46"/>
        <v>8.3991199999999999</v>
      </c>
      <c r="Z354">
        <f t="shared" si="46"/>
        <v>8.324914999999999</v>
      </c>
      <c r="AA354">
        <f t="shared" si="46"/>
        <v>8.250709999999998</v>
      </c>
      <c r="AB354">
        <f t="shared" si="46"/>
        <v>8.1765049999999988</v>
      </c>
      <c r="AC354">
        <f t="shared" si="46"/>
        <v>8.1022999999999996</v>
      </c>
      <c r="AD354">
        <f t="shared" si="46"/>
        <v>6.76661</v>
      </c>
    </row>
    <row r="355" spans="2:30" x14ac:dyDescent="0.2">
      <c r="B355" s="7">
        <v>44924</v>
      </c>
      <c r="C355" s="8">
        <v>7.4805555555555507</v>
      </c>
      <c r="D355">
        <f t="shared" si="44"/>
        <v>10.756730555555551</v>
      </c>
      <c r="E355">
        <f t="shared" si="47"/>
        <v>10.68252555555555</v>
      </c>
      <c r="F355">
        <f t="shared" si="47"/>
        <v>10.608320555555551</v>
      </c>
      <c r="G355">
        <f t="shared" si="48"/>
        <v>10.534115555555552</v>
      </c>
      <c r="H355">
        <f t="shared" si="48"/>
        <v>10.459910555555551</v>
      </c>
      <c r="I355">
        <f t="shared" si="48"/>
        <v>10.385705555555552</v>
      </c>
      <c r="J355">
        <f t="shared" si="48"/>
        <v>10.311500555555551</v>
      </c>
      <c r="K355">
        <f t="shared" si="48"/>
        <v>10.237295555555551</v>
      </c>
      <c r="L355">
        <f t="shared" si="48"/>
        <v>10.16309055555555</v>
      </c>
      <c r="M355">
        <f t="shared" si="48"/>
        <v>10.088885555555551</v>
      </c>
      <c r="N355">
        <f t="shared" si="48"/>
        <v>10.01468055555555</v>
      </c>
      <c r="O355">
        <f t="shared" si="48"/>
        <v>9.9404755555555511</v>
      </c>
      <c r="P355">
        <f t="shared" si="48"/>
        <v>9.8662705555555519</v>
      </c>
      <c r="Q355">
        <f t="shared" si="48"/>
        <v>9.7920655555555509</v>
      </c>
      <c r="R355">
        <f t="shared" si="48"/>
        <v>9.71786055555555</v>
      </c>
      <c r="S355">
        <f t="shared" si="48"/>
        <v>9.6436555555555508</v>
      </c>
      <c r="T355">
        <f t="shared" si="48"/>
        <v>9.5694505555555516</v>
      </c>
      <c r="U355">
        <f t="shared" si="46"/>
        <v>9.4952455555555506</v>
      </c>
      <c r="V355">
        <f t="shared" si="46"/>
        <v>9.4210405555555496</v>
      </c>
      <c r="W355">
        <f t="shared" si="46"/>
        <v>9.3468355555555505</v>
      </c>
      <c r="X355">
        <f t="shared" si="46"/>
        <v>9.2726305555555513</v>
      </c>
      <c r="Y355">
        <f t="shared" si="46"/>
        <v>9.1984255555555503</v>
      </c>
      <c r="Z355">
        <f t="shared" si="46"/>
        <v>9.1242205555555493</v>
      </c>
      <c r="AA355">
        <f t="shared" si="46"/>
        <v>9.0500155555555502</v>
      </c>
      <c r="AB355">
        <f t="shared" si="46"/>
        <v>8.975810555555551</v>
      </c>
      <c r="AC355">
        <f t="shared" si="46"/>
        <v>8.90160555555555</v>
      </c>
      <c r="AD355">
        <f t="shared" si="46"/>
        <v>7.5659155555555513</v>
      </c>
    </row>
    <row r="356" spans="2:30" x14ac:dyDescent="0.2">
      <c r="B356" s="7">
        <v>44925</v>
      </c>
      <c r="C356" s="8">
        <v>5.6076388888888893</v>
      </c>
      <c r="D356">
        <f t="shared" si="44"/>
        <v>8.8838138888888896</v>
      </c>
      <c r="E356">
        <f t="shared" si="47"/>
        <v>8.8096088888888886</v>
      </c>
      <c r="F356">
        <f t="shared" si="47"/>
        <v>8.7354038888888894</v>
      </c>
      <c r="G356">
        <f t="shared" si="48"/>
        <v>8.6611988888888902</v>
      </c>
      <c r="H356">
        <f t="shared" si="48"/>
        <v>8.5869938888888893</v>
      </c>
      <c r="I356">
        <f t="shared" si="48"/>
        <v>8.5127888888888901</v>
      </c>
      <c r="J356">
        <f t="shared" si="48"/>
        <v>8.4385838888888891</v>
      </c>
      <c r="K356">
        <f t="shared" si="48"/>
        <v>8.3643788888888899</v>
      </c>
      <c r="L356">
        <f t="shared" si="48"/>
        <v>8.290173888888889</v>
      </c>
      <c r="M356">
        <f t="shared" si="48"/>
        <v>8.2159688888888898</v>
      </c>
      <c r="N356">
        <f t="shared" si="48"/>
        <v>8.1417638888888888</v>
      </c>
      <c r="O356">
        <f t="shared" si="48"/>
        <v>8.0675588888888896</v>
      </c>
      <c r="P356">
        <f t="shared" si="48"/>
        <v>7.9933538888888895</v>
      </c>
      <c r="Q356">
        <f t="shared" si="48"/>
        <v>7.9191488888888895</v>
      </c>
      <c r="R356">
        <f t="shared" si="48"/>
        <v>7.8449438888888894</v>
      </c>
      <c r="S356">
        <f t="shared" si="48"/>
        <v>7.7707388888888893</v>
      </c>
      <c r="T356">
        <f t="shared" si="48"/>
        <v>7.6965338888888892</v>
      </c>
      <c r="U356">
        <f t="shared" si="46"/>
        <v>7.6223288888888892</v>
      </c>
      <c r="V356">
        <f t="shared" si="46"/>
        <v>7.5481238888888891</v>
      </c>
      <c r="W356">
        <f t="shared" si="46"/>
        <v>7.473918888888889</v>
      </c>
      <c r="X356">
        <f t="shared" si="46"/>
        <v>7.3997138888888889</v>
      </c>
      <c r="Y356">
        <f t="shared" si="46"/>
        <v>7.3255088888888888</v>
      </c>
      <c r="Z356">
        <f t="shared" si="46"/>
        <v>7.2513038888888888</v>
      </c>
      <c r="AA356">
        <f t="shared" si="46"/>
        <v>7.1770988888888887</v>
      </c>
      <c r="AB356">
        <f t="shared" si="46"/>
        <v>7.1028938888888886</v>
      </c>
      <c r="AC356">
        <f t="shared" si="46"/>
        <v>7.0286888888888885</v>
      </c>
      <c r="AD356">
        <f t="shared" si="46"/>
        <v>5.6929988888888898</v>
      </c>
    </row>
    <row r="357" spans="2:30" x14ac:dyDescent="0.2">
      <c r="B357" s="7">
        <v>44926</v>
      </c>
      <c r="C357" s="8">
        <v>9.731944444444439</v>
      </c>
      <c r="D357">
        <f t="shared" si="44"/>
        <v>13.008119444444439</v>
      </c>
      <c r="E357">
        <f t="shared" si="47"/>
        <v>12.93391444444444</v>
      </c>
      <c r="F357">
        <f t="shared" si="47"/>
        <v>12.859709444444439</v>
      </c>
      <c r="G357">
        <f t="shared" si="48"/>
        <v>12.785504444444438</v>
      </c>
      <c r="H357">
        <f t="shared" si="48"/>
        <v>12.711299444444439</v>
      </c>
      <c r="I357">
        <f t="shared" si="48"/>
        <v>12.63709444444444</v>
      </c>
      <c r="J357">
        <f t="shared" si="48"/>
        <v>12.562889444444439</v>
      </c>
      <c r="K357">
        <f t="shared" si="48"/>
        <v>12.48868444444444</v>
      </c>
      <c r="L357">
        <f t="shared" si="48"/>
        <v>12.414479444444439</v>
      </c>
      <c r="M357">
        <f t="shared" si="48"/>
        <v>12.340274444444439</v>
      </c>
      <c r="N357">
        <f t="shared" si="48"/>
        <v>12.26606944444444</v>
      </c>
      <c r="O357">
        <f t="shared" si="48"/>
        <v>12.191864444444439</v>
      </c>
      <c r="P357">
        <f t="shared" si="48"/>
        <v>12.117659444444438</v>
      </c>
      <c r="Q357">
        <f t="shared" si="48"/>
        <v>12.043454444444439</v>
      </c>
      <c r="R357">
        <f t="shared" si="48"/>
        <v>11.96924944444444</v>
      </c>
      <c r="S357">
        <f t="shared" si="48"/>
        <v>11.895044444444439</v>
      </c>
      <c r="T357">
        <f t="shared" si="48"/>
        <v>11.820839444444438</v>
      </c>
      <c r="U357">
        <f t="shared" si="46"/>
        <v>11.746634444444439</v>
      </c>
      <c r="V357">
        <f t="shared" si="46"/>
        <v>11.67242944444444</v>
      </c>
      <c r="W357">
        <f t="shared" si="46"/>
        <v>11.598224444444439</v>
      </c>
      <c r="X357">
        <f t="shared" si="46"/>
        <v>11.524019444444438</v>
      </c>
      <c r="Y357">
        <f t="shared" si="46"/>
        <v>11.449814444444439</v>
      </c>
      <c r="Z357">
        <f t="shared" si="46"/>
        <v>11.375609444444439</v>
      </c>
      <c r="AA357">
        <f t="shared" si="46"/>
        <v>11.301404444444438</v>
      </c>
      <c r="AB357">
        <f t="shared" si="46"/>
        <v>11.227199444444437</v>
      </c>
      <c r="AC357">
        <f t="shared" si="46"/>
        <v>11.152994444444438</v>
      </c>
      <c r="AD357">
        <f t="shared" si="46"/>
        <v>9.8173044444444386</v>
      </c>
    </row>
  </sheetData>
  <mergeCells count="1">
    <mergeCell ref="C1:O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BB92-1E2A-4DA8-8741-89157CF56CE6}">
  <sheetPr codeName="Blad5"/>
  <dimension ref="B1:C26"/>
  <sheetViews>
    <sheetView workbookViewId="0">
      <selection activeCell="H5" sqref="H5"/>
    </sheetView>
  </sheetViews>
  <sheetFormatPr defaultRowHeight="12.6" x14ac:dyDescent="0.2"/>
  <sheetData>
    <row r="1" spans="2:3" x14ac:dyDescent="0.2">
      <c r="B1">
        <v>0.25</v>
      </c>
      <c r="C1">
        <v>25.002168982950845</v>
      </c>
    </row>
    <row r="2" spans="2:3" x14ac:dyDescent="0.2">
      <c r="B2">
        <v>0.3</v>
      </c>
      <c r="C2">
        <v>24.927963982950846</v>
      </c>
    </row>
    <row r="3" spans="2:3" x14ac:dyDescent="0.2">
      <c r="B3">
        <v>0.35</v>
      </c>
      <c r="C3">
        <v>24.853758982950847</v>
      </c>
    </row>
    <row r="4" spans="2:3" x14ac:dyDescent="0.2">
      <c r="B4">
        <v>0.39999999999999997</v>
      </c>
      <c r="C4">
        <v>24.779553982950848</v>
      </c>
    </row>
    <row r="5" spans="2:3" x14ac:dyDescent="0.2">
      <c r="B5">
        <v>0.44999999999999996</v>
      </c>
      <c r="C5">
        <v>24.705348982950849</v>
      </c>
    </row>
    <row r="6" spans="2:3" x14ac:dyDescent="0.2">
      <c r="B6">
        <v>0.49999999999999994</v>
      </c>
      <c r="C6">
        <v>24.631143982950842</v>
      </c>
    </row>
    <row r="7" spans="2:3" x14ac:dyDescent="0.2">
      <c r="B7">
        <v>0.54999999999999993</v>
      </c>
      <c r="C7">
        <v>24.556938982950843</v>
      </c>
    </row>
    <row r="8" spans="2:3" x14ac:dyDescent="0.2">
      <c r="B8">
        <v>0.6</v>
      </c>
      <c r="C8">
        <v>24.482733982950844</v>
      </c>
    </row>
    <row r="9" spans="2:3" x14ac:dyDescent="0.2">
      <c r="B9">
        <v>0.65</v>
      </c>
      <c r="C9">
        <v>24.408528982950845</v>
      </c>
    </row>
    <row r="10" spans="2:3" x14ac:dyDescent="0.2">
      <c r="B10">
        <v>0.70000000000000007</v>
      </c>
      <c r="C10">
        <v>24.334323982950846</v>
      </c>
    </row>
    <row r="11" spans="2:3" x14ac:dyDescent="0.2">
      <c r="B11">
        <v>0.75000000000000011</v>
      </c>
      <c r="C11">
        <v>24.260118982950846</v>
      </c>
    </row>
    <row r="12" spans="2:3" x14ac:dyDescent="0.2">
      <c r="B12">
        <v>0.80000000000000016</v>
      </c>
      <c r="C12">
        <v>24.185913982950847</v>
      </c>
    </row>
    <row r="13" spans="2:3" x14ac:dyDescent="0.2">
      <c r="B13">
        <v>0.8500000000000002</v>
      </c>
      <c r="C13">
        <v>24.111708982950848</v>
      </c>
    </row>
    <row r="14" spans="2:3" x14ac:dyDescent="0.2">
      <c r="B14">
        <v>0.90000000000000024</v>
      </c>
      <c r="C14">
        <v>24.037503982950849</v>
      </c>
    </row>
    <row r="15" spans="2:3" x14ac:dyDescent="0.2">
      <c r="B15">
        <v>0.95000000000000029</v>
      </c>
      <c r="C15">
        <v>23.963298982950842</v>
      </c>
    </row>
    <row r="16" spans="2:3" x14ac:dyDescent="0.2">
      <c r="B16">
        <v>1.0000000000000002</v>
      </c>
      <c r="C16">
        <v>23.889093982950843</v>
      </c>
    </row>
    <row r="17" spans="2:3" x14ac:dyDescent="0.2">
      <c r="B17">
        <v>1.0500000000000003</v>
      </c>
      <c r="C17">
        <v>23.814888982950844</v>
      </c>
    </row>
    <row r="18" spans="2:3" x14ac:dyDescent="0.2">
      <c r="B18">
        <v>1.1000000000000003</v>
      </c>
      <c r="C18">
        <v>23.740683982950845</v>
      </c>
    </row>
    <row r="19" spans="2:3" x14ac:dyDescent="0.2">
      <c r="B19">
        <v>1.1500000000000004</v>
      </c>
      <c r="C19">
        <v>23.666478982950846</v>
      </c>
    </row>
    <row r="20" spans="2:3" x14ac:dyDescent="0.2">
      <c r="B20">
        <v>1.2000000000000004</v>
      </c>
      <c r="C20">
        <v>23.592273982950847</v>
      </c>
    </row>
    <row r="21" spans="2:3" x14ac:dyDescent="0.2">
      <c r="B21">
        <v>1.2500000000000004</v>
      </c>
      <c r="C21">
        <v>23.518068982950847</v>
      </c>
    </row>
    <row r="22" spans="2:3" x14ac:dyDescent="0.2">
      <c r="B22">
        <v>1.3000000000000005</v>
      </c>
      <c r="C22">
        <v>23.443863982950848</v>
      </c>
    </row>
    <row r="23" spans="2:3" x14ac:dyDescent="0.2">
      <c r="B23">
        <v>1.3500000000000005</v>
      </c>
      <c r="C23">
        <v>23.369658982950842</v>
      </c>
    </row>
    <row r="24" spans="2:3" x14ac:dyDescent="0.2">
      <c r="B24">
        <v>1.4000000000000006</v>
      </c>
      <c r="C24">
        <v>23.295453982950843</v>
      </c>
    </row>
    <row r="25" spans="2:3" x14ac:dyDescent="0.2">
      <c r="B25">
        <v>1.4500000000000006</v>
      </c>
      <c r="C25">
        <v>23.221248982950843</v>
      </c>
    </row>
    <row r="26" spans="2:3" x14ac:dyDescent="0.2">
      <c r="B26">
        <v>1.5000000000000007</v>
      </c>
      <c r="C26">
        <v>23.147043982950844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Max curven_2_typen</vt:lpstr>
      <vt:lpstr>CURVE_Haarvaten_obv_Kooijpolder</vt:lpstr>
      <vt:lpstr>Formule max afh van diepte</vt:lpstr>
      <vt:lpstr>Tinput for haarvaten 2085</vt:lpstr>
      <vt:lpstr>Tinput for haarvaten Klimaat'14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Michielsen, Bruce</dc:creator>
  <cp:lastModifiedBy>Siebe Bosch</cp:lastModifiedBy>
  <dcterms:created xsi:type="dcterms:W3CDTF">2023-06-15T12:28:01Z</dcterms:created>
  <dcterms:modified xsi:type="dcterms:W3CDTF">2023-10-06T14:28:00Z</dcterms:modified>
</cp:coreProperties>
</file>